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عن_المشروع" sheetId="1" state="visible" r:id="rId3"/>
    <sheet name="Dashboard" sheetId="2" state="visible" r:id="rId4"/>
    <sheet name="Charts" sheetId="3" state="visible" r:id="rId5"/>
    <sheet name="Summary_Tables" sheetId="4" state="visible" r:id="rId6"/>
    <sheet name="Insights_Recommendations" sheetId="5" state="visible" r:id="rId7"/>
    <sheet name="Clean_Data" sheetId="6" state="visible" r:id="rId8"/>
    <sheet name="Cleaning_Log" sheetId="7" state="visible" r:id="rId9"/>
    <sheet name="Raw_Data" sheetId="8" state="visible" r:id="rId10"/>
    <sheet name="Lists" sheetId="9" state="hidden"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<sst xmlns="http://schemas.openxmlformats.org/spreadsheetml/2006/main" count="16635" uniqueCount="1519">
  <si>
    <t xml:space="preserve">تحليل مبيعات متجر نوفا للإلكترونيات - 2024</t>
  </si>
  <si>
    <t xml:space="preserve">مشروع تحليل بيانات شامل من الصفر باستخدام Microsoft Excel  |  إعداد: محلل بيانات  |  2024</t>
  </si>
  <si>
    <t xml:space="preserve">المشكلة التجارية / السياق</t>
  </si>
  <si>
    <t xml:space="preserve">متجر "نوفا" للإلكترونيات سلسلة تجزئة سعودية تدير 5 فروع (الرياض، جدة، الدمام، مكة المكرمة، المدينة المنورة). تحتاج إدارة المبيعات إلى فهم أداء عام 2024 عبر الفروع والفئات والمندوبين وطرق الدفع وأنواع العملاء، لاتخاذ قرارات مبنية على بيانات بخصوص المخزون، الحملات التسويقية، وخطط الحوافز للمندوبين للعام القادم.</t>
  </si>
  <si>
    <t xml:space="preserve">أسئلة العمل التي يجيب عنها هذا الملف: ما أكثر الفئات والمنتجات ربحية؟ أي الفروع والمناطق الأعلى أداءً؟ كيف تتغير المبيعات موسميًا؟ ما الفرق بين سلوك عملاء الأفراد والشركات؟ وأين تكمن فرص النمو والتحسين؟</t>
  </si>
  <si>
    <t xml:space="preserve">مصدر البيانات ونطاقها</t>
  </si>
  <si>
    <t xml:space="preserve">بيانات مبيعات محاكاة (Synthetic) لكنها مبنية على أنماط واقعية (موسمية، توزيع أسعار، سلوك عملاء) لتمثيل تصدير خام نموذجي من نظام نقاط بيع لعام كامل (2024)، شاملة 1,196 سجل معاملة خام قبل التنظيف و1,120 سجلًا بعد التنظيف.</t>
  </si>
  <si>
    <t xml:space="preserve">أدوات ومنهجية العمل</t>
  </si>
  <si>
    <t xml:space="preserve">Microsoft Excel بالكامل: جداول Excel (Tables) منظمة، دوال (SUMIFS, COUNTIFS, AVERAGEIFS, INDEX, MATCH, LARGE, SUMPRODUCT, IFERROR, ROUNDUP...)، تنسيق شرطي، قوائم تحقق من صحة البيانات (Data Validation) كفلاتر تفاعلية، ومخططات Excel أصلية (عمودي، خطي، دائري، Donut).</t>
  </si>
  <si>
    <t xml:space="preserve">دليل شيتات الملف</t>
  </si>
  <si>
    <t xml:space="preserve">الشيت</t>
  </si>
  <si>
    <t xml:space="preserve">المحتوى</t>
  </si>
  <si>
    <t xml:space="preserve">Dashboard</t>
  </si>
  <si>
    <t xml:space="preserve">لوحة التحكم التفاعلية الرئيسية: مؤشرات ومخططات تتحدث تلقائيًا حسب فلاتر المنطقة والفئة.</t>
  </si>
  <si>
    <t xml:space="preserve">Charts</t>
  </si>
  <si>
    <t xml:space="preserve">6 مخططات تحليلية شاملة لعام 2024 عبر مختلف الأبعاد (فئة، فرع، شهر، منتج، دفع، مندوب).</t>
  </si>
  <si>
    <t xml:space="preserve">Summary_Tables</t>
  </si>
  <si>
    <t xml:space="preserve">8 جداول تحليلية/تلخيصية مبنية بالكامل على معادلات حية (بديل الجداول المحورية).</t>
  </si>
  <si>
    <t xml:space="preserve">Insights_Recommendations</t>
  </si>
  <si>
    <t xml:space="preserve">أهم الرؤى والاستنتاجات والتوصيات العملية المبنية على التحليل.</t>
  </si>
  <si>
    <t xml:space="preserve">Clean_Data</t>
  </si>
  <si>
    <t xml:space="preserve">البيانات بعد التنظيف الكامل (1,120 صفًا) مع أعمدة محسوبة بالمعادلات (المنطقة، الشهر، الإجمالي...).</t>
  </si>
  <si>
    <t xml:space="preserve">Cleaning_Log</t>
  </si>
  <si>
    <t xml:space="preserve">توثيق كامل لخطوات التنظيف مع أعداد حية لكل مشكلة تم اكتشافها ومعالجتها.</t>
  </si>
  <si>
    <t xml:space="preserve">Raw_Data</t>
  </si>
  <si>
    <t xml:space="preserve">البيانات الخام كما وردت (1,196 صفًا) مع أعمدة فحص جودة حية تُبرز المشاكل قبل التنظيف.</t>
  </si>
  <si>
    <t xml:space="preserve">ملاحظة منهجية</t>
  </si>
  <si>
    <t xml:space="preserve">تم تعمّد استخدام جداول تلخيصية بمعادلات (SUMIFS/COUNTIFS/LARGE/INDEX-MATCH) بدلاً من جداول PivotTable الثابتة، وقوائم تحقق من صحة البيانات (Data Validation) كفلاتر تفاعلية بدلاً من Slicers التقليدية، لضمان أن يبقى الملف قابلاً لإعادة الحساب الكامل تلقائيًا وبدون أي أخطاء مهما كان البرنامج المستخدم لفتحه (Excel أو بدائله)، مع الحفاظ على نفس تجربة التفاعل والتحديث الفوري.</t>
  </si>
  <si>
    <t xml:space="preserve">لوحة تحكم مبيعات متجر نوفا للإلكترونيات - 2024</t>
  </si>
  <si>
    <t xml:space="preserve">لوحة تفاعلية: غيّر الفلاتر أدناه لتحديث كل المؤشرات والمخططات تلقائيًا</t>
  </si>
  <si>
    <t xml:space="preserve">المنطقة:</t>
  </si>
  <si>
    <t xml:space="preserve">الكل</t>
  </si>
  <si>
    <t xml:space="preserve">الفئة:</t>
  </si>
  <si>
    <t xml:space="preserve">💡 استخدم القائمتين المنسدلتين على اليمين لتصفية جميع المؤشرات والمخططات في هذه اللوحة فورًا دون الحاجة لأي إجراء إضافي.</t>
  </si>
  <si>
    <t xml:space="preserve">إجمالي المبيعات (ر.س)</t>
  </si>
  <si>
    <t xml:space="preserve">عدد الطلبات</t>
  </si>
  <si>
    <t xml:space="preserve">متوسط قيمة الطلب</t>
  </si>
  <si>
    <t xml:space="preserve">إجمالي الوحدات المباعة</t>
  </si>
  <si>
    <t xml:space="preserve">% من إجمالي مبيعات السنة</t>
  </si>
  <si>
    <t xml:space="preserve">بيانات الرسوم البيانية (تتحدث تلقائيًا حسب الفلاتر أعلاه)</t>
  </si>
  <si>
    <t xml:space="preserve">الشهر</t>
  </si>
  <si>
    <t xml:space="preserve">المبيعات</t>
  </si>
  <si>
    <t xml:space="preserve">الفرع</t>
  </si>
  <si>
    <t xml:space="preserve">نوع العميل</t>
  </si>
  <si>
    <t xml:space="preserve">طريقة الدفع</t>
  </si>
  <si>
    <t xml:space="preserve">يناير</t>
  </si>
  <si>
    <t xml:space="preserve">الرياض</t>
  </si>
  <si>
    <t xml:space="preserve">فرد</t>
  </si>
  <si>
    <t xml:space="preserve">بطاقة ائتمان</t>
  </si>
  <si>
    <t xml:space="preserve">فبراير</t>
  </si>
  <si>
    <t xml:space="preserve">جدة</t>
  </si>
  <si>
    <t xml:space="preserve">شركة</t>
  </si>
  <si>
    <t xml:space="preserve">نقدي</t>
  </si>
  <si>
    <t xml:space="preserve">مارس</t>
  </si>
  <si>
    <t xml:space="preserve">الدمام</t>
  </si>
  <si>
    <t xml:space="preserve">تقسيط</t>
  </si>
  <si>
    <t xml:space="preserve">أبريل</t>
  </si>
  <si>
    <t xml:space="preserve">مكة المكرمة</t>
  </si>
  <si>
    <t xml:space="preserve">تحويل بنكي</t>
  </si>
  <si>
    <t xml:space="preserve">مايو</t>
  </si>
  <si>
    <t xml:space="preserve">المدينة المنورة</t>
  </si>
  <si>
    <t xml:space="preserve">يونيو</t>
  </si>
  <si>
    <t xml:space="preserve">يوليو</t>
  </si>
  <si>
    <t xml:space="preserve">أغسطس</t>
  </si>
  <si>
    <t xml:space="preserve">سبتمبر</t>
  </si>
  <si>
    <t xml:space="preserve">أكتوبر</t>
  </si>
  <si>
    <t xml:space="preserve">نوفمبر</t>
  </si>
  <si>
    <t xml:space="preserve">ديسمبر</t>
  </si>
  <si>
    <t xml:space="preserve">المخططات التفاعلية (تعكس الفلاتر المختارة أعلاه)</t>
  </si>
  <si>
    <t xml:space="preserve">المخططات التحليلية</t>
  </si>
  <si>
    <t xml:space="preserve">نظرة عامة على أداء المبيعات لعام 2024 عبر مختلف الأبعاد</t>
  </si>
  <si>
    <t xml:space="preserve">الجداول التحليلية الملخصة</t>
  </si>
  <si>
    <t xml:space="preserve">جداول تلخيصية ديناميكية مبنية بالكامل على معادلات Excel (SUMIFS / COUNTIFS / AVERAGEIFS / LARGE / INDEX-MATCH)</t>
  </si>
  <si>
    <t xml:space="preserve">مساعد: إجمالي مبيعات كل مندوب (لا يُعرض للمستخدم مباشرة)</t>
  </si>
  <si>
    <t xml:space="preserve">مساعد: إجمالي مبيعات كل منتج</t>
  </si>
  <si>
    <t xml:space="preserve">1) مؤشرات الأداء الرئيسية لعام 2024</t>
  </si>
  <si>
    <t xml:space="preserve">تركي السبيعي</t>
  </si>
  <si>
    <r>
      <rPr>
        <sz val="11"/>
        <color theme="1"/>
        <rFont val="FreeSans"/>
        <family val="2"/>
      </rPr>
      <t xml:space="preserve">باور بانك </t>
    </r>
    <r>
      <rPr>
        <sz val="11"/>
        <color theme="1"/>
        <rFont val="Calibri"/>
        <family val="2"/>
        <charset val="1"/>
      </rPr>
      <t xml:space="preserve">20000</t>
    </r>
  </si>
  <si>
    <t xml:space="preserve">خالد الشمري</t>
  </si>
  <si>
    <t xml:space="preserve">جوال أوركا الجديد</t>
  </si>
  <si>
    <t xml:space="preserve">إجمالي عدد الطلبات</t>
  </si>
  <si>
    <t xml:space="preserve">ريم الزهراني</t>
  </si>
  <si>
    <t xml:space="preserve">جوال أوركا برو</t>
  </si>
  <si>
    <t xml:space="preserve">متوسط قيمة الطلب (ر.س)</t>
  </si>
  <si>
    <t xml:space="preserve">سارة القحطاني</t>
  </si>
  <si>
    <t xml:space="preserve">جوال بولسار ميني</t>
  </si>
  <si>
    <t xml:space="preserve">عبدالله المطيري</t>
  </si>
  <si>
    <r>
      <rPr>
        <sz val="11"/>
        <color theme="1"/>
        <rFont val="FreeSans"/>
        <family val="2"/>
      </rPr>
      <t xml:space="preserve">جوال نوفا </t>
    </r>
    <r>
      <rPr>
        <sz val="11"/>
        <color theme="1"/>
        <rFont val="Calibri"/>
        <family val="2"/>
        <charset val="1"/>
      </rPr>
      <t xml:space="preserve">X12</t>
    </r>
  </si>
  <si>
    <t xml:space="preserve">متوسط نسبة الخصم</t>
  </si>
  <si>
    <t xml:space="preserve">فهد الغامدي</t>
  </si>
  <si>
    <t xml:space="preserve">جوال نوفا لايت</t>
  </si>
  <si>
    <t xml:space="preserve">إجمالي قيمة الخصومات الممنوحة (ر.س)</t>
  </si>
  <si>
    <t xml:space="preserve">لمى العنزي</t>
  </si>
  <si>
    <t xml:space="preserve">حامل جوال للسيارة</t>
  </si>
  <si>
    <t xml:space="preserve">محمد العتيبي</t>
  </si>
  <si>
    <t xml:space="preserve">سماعة بلوتوث نوفا</t>
  </si>
  <si>
    <t xml:space="preserve">منيرة الحربي</t>
  </si>
  <si>
    <t xml:space="preserve">سماعة رأس أوركا</t>
  </si>
  <si>
    <t xml:space="preserve">2) المبيعات حسب فئة المنتج</t>
  </si>
  <si>
    <t xml:space="preserve">نورة الدوسري</t>
  </si>
  <si>
    <t xml:space="preserve">سماعة رياضية مقاومة للماء</t>
  </si>
  <si>
    <t xml:space="preserve">الفئة</t>
  </si>
  <si>
    <t xml:space="preserve">إجمالي المبيعات</t>
  </si>
  <si>
    <t xml:space="preserve">% من إجمالي المبيعات</t>
  </si>
  <si>
    <r>
      <rPr>
        <sz val="11"/>
        <color theme="1"/>
        <rFont val="FreeSans"/>
        <family val="2"/>
      </rPr>
      <t xml:space="preserve">شاحن سريع </t>
    </r>
    <r>
      <rPr>
        <sz val="11"/>
        <color theme="1"/>
        <rFont val="Calibri"/>
        <family val="2"/>
        <charset val="1"/>
      </rPr>
      <t xml:space="preserve">65 </t>
    </r>
    <r>
      <rPr>
        <sz val="11"/>
        <color theme="1"/>
        <rFont val="FreeSans"/>
        <family val="2"/>
      </rPr>
      <t xml:space="preserve">واط</t>
    </r>
  </si>
  <si>
    <t xml:space="preserve">جوالات</t>
  </si>
  <si>
    <r>
      <rPr>
        <sz val="11"/>
        <color theme="1"/>
        <rFont val="FreeSans"/>
        <family val="2"/>
      </rPr>
      <t xml:space="preserve">كابل شحن </t>
    </r>
    <r>
      <rPr>
        <sz val="11"/>
        <color theme="1"/>
        <rFont val="Calibri"/>
        <family val="2"/>
        <charset val="1"/>
      </rPr>
      <t xml:space="preserve">Type-C</t>
    </r>
  </si>
  <si>
    <t xml:space="preserve">حواسيب محمولة</t>
  </si>
  <si>
    <t xml:space="preserve">كاميرا مراقبة ذكية</t>
  </si>
  <si>
    <t xml:space="preserve">إكسسوارات</t>
  </si>
  <si>
    <t xml:space="preserve">كفر حماية بريميوم</t>
  </si>
  <si>
    <t xml:space="preserve">أجهزة منزلية ذكية</t>
  </si>
  <si>
    <r>
      <rPr>
        <sz val="11"/>
        <color theme="1"/>
        <rFont val="FreeSans"/>
        <family val="2"/>
      </rPr>
      <t xml:space="preserve">لابتوب أوركا برو </t>
    </r>
    <r>
      <rPr>
        <sz val="11"/>
        <color theme="1"/>
        <rFont val="Calibri"/>
        <family val="2"/>
        <charset val="1"/>
      </rPr>
      <t xml:space="preserve">15</t>
    </r>
  </si>
  <si>
    <t xml:space="preserve">سماعات وصوتيات</t>
  </si>
  <si>
    <t xml:space="preserve">لابتوب بولسار الأساسي</t>
  </si>
  <si>
    <t xml:space="preserve">لابتوب نوفا ألترا</t>
  </si>
  <si>
    <r>
      <rPr>
        <sz val="11"/>
        <color theme="1"/>
        <rFont val="FreeSans"/>
        <family val="2"/>
      </rPr>
      <t xml:space="preserve">لابتوب نوفا بوك </t>
    </r>
    <r>
      <rPr>
        <sz val="11"/>
        <color theme="1"/>
        <rFont val="Calibri"/>
        <family val="2"/>
        <charset val="1"/>
      </rPr>
      <t xml:space="preserve">14</t>
    </r>
  </si>
  <si>
    <t xml:space="preserve">3) المبيعات حسب الفرع والمنطقة</t>
  </si>
  <si>
    <t xml:space="preserve">مصباح ذكي</t>
  </si>
  <si>
    <t xml:space="preserve">المنطقة</t>
  </si>
  <si>
    <t xml:space="preserve">مقبس كهرباء ذكي</t>
  </si>
  <si>
    <t xml:space="preserve">مكبر صوت محمول</t>
  </si>
  <si>
    <t xml:space="preserve">مكبر صوت منزلي ذكي</t>
  </si>
  <si>
    <t xml:space="preserve">4) الاتجاه الشهري للمبيعات (2024)</t>
  </si>
  <si>
    <t xml:space="preserve">5) المبيعات حسب طريقة الدفع</t>
  </si>
  <si>
    <t xml:space="preserve">% من الإجمالي</t>
  </si>
  <si>
    <t xml:space="preserve">6) المبيعات حسب نوع العميل</t>
  </si>
  <si>
    <t xml:space="preserve">7) ترتيب أداء مندوبي المبيعات</t>
  </si>
  <si>
    <t xml:space="preserve">الترتيب</t>
  </si>
  <si>
    <t xml:space="preserve">المندوب</t>
  </si>
  <si>
    <t xml:space="preserve">8) أفضل 5 منتجات مبيعًا</t>
  </si>
  <si>
    <t xml:space="preserve">المنتج</t>
  </si>
  <si>
    <t xml:space="preserve">الرؤى والاستنتاجات والتوصيات</t>
  </si>
  <si>
    <t xml:space="preserve">خلاصة تحليلية لأداء مبيعات عام 2024 وتوصيات عملية قابلة للتنفيذ</t>
  </si>
  <si>
    <t xml:space="preserve">1) أهم الرؤى والأنماط المستخرجة من البيانات</t>
  </si>
  <si>
    <t xml:space="preserve">•  بلغ إجمالي مبيعات عام 2024 نحو 3,698,241 ر.س عبر 1,120 طلبًا نظيفًا، بمتوسط قيمة طلب 3,302 ر.س ومتوسط خصم فعلي 4.9% فقط.</t>
  </si>
  <si>
    <t xml:space="preserve">•  فئتا الجوالات والحواسيب المحمولة تستحوذان معًا على نحو 92% من إجمالي المبيعات (48% و44% على التوالي)، بينما تساهم الإكسسوارات والأجهزة المنزلية الذكية والسماعات مجتمعة بأقل من 8% رغم تمثيلها لغالبية عدد الطلبات (568 من أصل 1,120) — أي أنها فئات عالية الحجم ومنخفضة القيمة.</t>
  </si>
  <si>
    <t xml:space="preserve">•  فرعا الرياض وجدة يتصدران المبيعات بفارق طفيف (1.13 مليون و1.11 مليون ر.س)، ويمثلان معًا 61% من إجمالي المبيعات، بينما فروع الدمام والمدينة المنورة ومكة المكرمة متقاربة في الأداء (444-518 ألف ر.س لكل منها).</t>
  </si>
  <si>
    <t xml:space="preserve">•  شهرا نوفمبر ويونيو هما الأعلى مبيعًا (431 ألفًا و427 ألف ر.س)، ما يعكس أثر عروض الجمعة البيضاء ومناسبات الصيف؛ بينما أبريل هو الأضعف (197 ألف ر.س) - فارق يقارب 118% بين أعلى وأدنى شهر.</t>
  </si>
  <si>
    <t xml:space="preserve">•  عملاء الشركات يمثلون 21% فقط من عدد الطلبات (234 طلبًا) لكنهم يساهمون بـ 43% من إجمالي المبيعات (1.6 مليون ر.س)، بمتوسط قيمة طلب 6,841 ر.س - أي نحو 2.9 ضعف متوسط طلب الأفراد (2,367 ر.س).</t>
  </si>
  <si>
    <t xml:space="preserve">•  الدفع بالبطاقة الائتمانية هو الأكثر استخدامًا (43% من المبيعات)، يليه النقدي (27%) ثم التقسيط (20%)؛ التحويل البنكي هو الأقل استخدامًا (9%) رغم كونه الأنسب لعملاء الشركات الكبار.</t>
  </si>
  <si>
    <t xml:space="preserve">•  أفضل مندوب مبيعات (سارة القحطاني) حقق 518 ألف ر.س، بفارق يقارب 106% عن أقل مندوب أداءً (منيرة الحربي، 252 ألف ر.س) - فجوة كبيرة تستحق المراجعة.</t>
  </si>
  <si>
    <t xml:space="preserve">•  أفضل 5 منتجات مبيعًا كلها من فئتي الجوالات والحواسيب المحمولة (يتصدرها لابتوب أوركا برو 15 بمبيعات 484 ألف ر.س)، ما يؤكد اعتماد المتجر الكبير على عدد محدود من المنتجات ذات القيمة العالية.</t>
  </si>
  <si>
    <t xml:space="preserve">2) الاستنتاجات الرئيسية</t>
  </si>
  <si>
    <t xml:space="preserve">•  نموذج الإيرادات الحالي مركّز بشكل كبير في فئتين فقط، ما يجعل المتجر عرضة لمخاطر تقلب الطلب أو المنافسة السعرية في هذين المجالين تحديدًا.</t>
  </si>
  <si>
    <t xml:space="preserve">•  قطاع عملاء الشركات (B2B) يمثل فرصة نمو عالية القيمة لم تُستغل بالكامل بعد، نظرًا لارتفاع متوسط قيمة طلبه مقارنة بالأفراد رغم صغر حجمه العددي.</t>
  </si>
  <si>
    <t xml:space="preserve">•  الموسمية الشهرية واضحة ويمكن التنبؤ بها نسبيًا (ذروة في نوفمبر، تراجع في الربع الثاني)، ما يتيح تخطيطًا أفضل للمخزون والتسويق.</t>
  </si>
  <si>
    <t xml:space="preserve">•  التفاوت الكبير في أداء المندوبين يشير إلى وجود فجوة في المهارات أو في توزيع العملاء/المناطق، وليس بالضرورة في جودة المنتج أو السوق.</t>
  </si>
  <si>
    <t xml:space="preserve">3) التوصيات المقترحة</t>
  </si>
  <si>
    <t xml:space="preserve">•  إطلاق باقات وعروض تجميعية (Bundles) تربط منتجات الإكسسوارات والأجهزة الذكية منخفضة القيمة بالجوالات والحواسيب الأعلى مبيعًا؛ لرفع متوسط قيمة الطلب في الفئات الضعيفة دون الحاجة لحملة تسويقية منفصلة لكل فئة.</t>
  </si>
  <si>
    <t xml:space="preserve">•  تصميم برنامج مبيعات B2B مخصص (تسعير بالجملة، تحويل بنكي مبسّط، مندوب مبيعات مخصص للشركات) لاستثمار الفجوة الواضحة في قيمة طلب الشركات مقارنة بالأفراد.</t>
  </si>
  <si>
    <t xml:space="preserve">•  التخطيط المسبق للمخزون والتوظيف الموسمي قبل نوفمبر ويونيو بثلاثة أشهر على الأقل، وتحليل أسباب تراجع الربع الثاني (خصوصًا أبريل) لمعرفة إن كان مرتبطًا بالتسعير أو المنافسة أو عوامل موسمية.</t>
  </si>
  <si>
    <t xml:space="preserve">•  مراجعة أداء فروع مكة المكرمة والمدينة المنورة والدمام عبر دراسة ميدانية (تنافسية السوق المحلي، الكثافة السكانية، عدد المندوبين) لتحديد ما إذا كانت الفجوة مع الرياض وجدة تعكس فرصة نمو أم سقفًا طبيعيًا للسوق.</t>
  </si>
  <si>
    <t xml:space="preserve">•  دراسة أسلوب عمل أفضل 2-3 مندوبين (سارة القحطاني وعبدالله المطيري ومحمد العتيبي) وتحويله إلى برنامج تدريبي داخلي لبقية الفريق لتقليص فجوة الأداء التي تتجاوز 100%.</t>
  </si>
  <si>
    <t xml:space="preserve">•  تفعيل حوافز أو خصومات بسيطة على التحويل البنكي عند الطلبات الكبيرة (خاصة لعملاء الشركات) لتخفيف الاعتماد شبه الكامل على البطاقة الائتمانية والنقد وتقليل تكاليف تحصيل الدفعات.</t>
  </si>
  <si>
    <t xml:space="preserve">•  الاستمرار في تطبيق خطوات تنظيف البيانات الموثقة في هذا الملف (توحيد أسماء الفروع وطرق الدفع، التحقق من صحة التواريخ والكميات عند الإدخال) كجزء من عملية إدخال البيانات اليومية لتقليل الحاجة لتنظيف يدوي لاحق.</t>
  </si>
  <si>
    <t xml:space="preserve">جميع الأرقام أعلاه مستخرجة مباشرة من شيتي 'Clean_Data' و'Summary_Tables' في هذا الملف عبر معادلات حيّة (SUMIFS/COUNTIFS/AVERAGEIFS)، ويمكن التحقق منها أو إعادة حسابها تلقائيًا في حال تحديث البيانات المصدر.</t>
  </si>
  <si>
    <t xml:space="preserve">رقم الطلب</t>
  </si>
  <si>
    <t xml:space="preserve">تاريخ الطلب</t>
  </si>
  <si>
    <t xml:space="preserve">السنة</t>
  </si>
  <si>
    <t xml:space="preserve">رقم الشهر</t>
  </si>
  <si>
    <t xml:space="preserve">اسم الشهر</t>
  </si>
  <si>
    <t xml:space="preserve">الربع</t>
  </si>
  <si>
    <t xml:space="preserve">اسم اليوم</t>
  </si>
  <si>
    <t xml:space="preserve">سعر الوحدة</t>
  </si>
  <si>
    <t xml:space="preserve">الكمية</t>
  </si>
  <si>
    <t xml:space="preserve">نسبة الخصم</t>
  </si>
  <si>
    <t xml:space="preserve">ORD-00002</t>
  </si>
  <si>
    <t xml:space="preserve">ORD-00001</t>
  </si>
  <si>
    <t xml:space="preserve">ORD-00003</t>
  </si>
  <si>
    <t xml:space="preserve">ORD-00008</t>
  </si>
  <si>
    <t xml:space="preserve">شاحن سريع 65 واط</t>
  </si>
  <si>
    <t xml:space="preserve">ORD-00006</t>
  </si>
  <si>
    <t xml:space="preserve">ORD-00004</t>
  </si>
  <si>
    <t xml:space="preserve">ORD-00005</t>
  </si>
  <si>
    <t xml:space="preserve">كابل شحن Type-C</t>
  </si>
  <si>
    <t xml:space="preserve">ORD-00007</t>
  </si>
  <si>
    <t xml:space="preserve">ORD-00009</t>
  </si>
  <si>
    <t xml:space="preserve">ORD-00010</t>
  </si>
  <si>
    <t xml:space="preserve">جوال نوفا X12</t>
  </si>
  <si>
    <t xml:space="preserve">ORD-00012</t>
  </si>
  <si>
    <t xml:space="preserve">ORD-00013</t>
  </si>
  <si>
    <t xml:space="preserve">ORD-00011</t>
  </si>
  <si>
    <t xml:space="preserve">ORD-00014</t>
  </si>
  <si>
    <t xml:space="preserve">لابتوب أوركا برو 15</t>
  </si>
  <si>
    <t xml:space="preserve">ORD-00020</t>
  </si>
  <si>
    <t xml:space="preserve">ORD-00019</t>
  </si>
  <si>
    <t xml:space="preserve">ORD-00017</t>
  </si>
  <si>
    <t xml:space="preserve">ORD-00018</t>
  </si>
  <si>
    <t xml:space="preserve">ORD-00015</t>
  </si>
  <si>
    <t xml:space="preserve">ORD-00016</t>
  </si>
  <si>
    <t xml:space="preserve">ORD-00022</t>
  </si>
  <si>
    <t xml:space="preserve">باور بانك 20000</t>
  </si>
  <si>
    <t xml:space="preserve">ORD-00023</t>
  </si>
  <si>
    <t xml:space="preserve">ORD-00021</t>
  </si>
  <si>
    <t xml:space="preserve">ORD-00025</t>
  </si>
  <si>
    <t xml:space="preserve">ORD-00026</t>
  </si>
  <si>
    <t xml:space="preserve">ORD-00024</t>
  </si>
  <si>
    <t xml:space="preserve">ORD-00029</t>
  </si>
  <si>
    <t xml:space="preserve">ORD-00028</t>
  </si>
  <si>
    <t xml:space="preserve">ORD-00030</t>
  </si>
  <si>
    <t xml:space="preserve">ORD-00027</t>
  </si>
  <si>
    <t xml:space="preserve">ORD-00031</t>
  </si>
  <si>
    <t xml:space="preserve">ORD-00032</t>
  </si>
  <si>
    <t xml:space="preserve">ORD-00033</t>
  </si>
  <si>
    <t xml:space="preserve">ORD-00034</t>
  </si>
  <si>
    <t xml:space="preserve">ORD-00035</t>
  </si>
  <si>
    <t xml:space="preserve">ORD-00038</t>
  </si>
  <si>
    <t xml:space="preserve">ORD-00037</t>
  </si>
  <si>
    <t xml:space="preserve">ORD-00036</t>
  </si>
  <si>
    <t xml:space="preserve">ORD-00039</t>
  </si>
  <si>
    <t xml:space="preserve">ORD-00041</t>
  </si>
  <si>
    <t xml:space="preserve">ORD-00042</t>
  </si>
  <si>
    <t xml:space="preserve">ORD-00040</t>
  </si>
  <si>
    <t xml:space="preserve">ORD-00043</t>
  </si>
  <si>
    <t xml:space="preserve">ORD-00046</t>
  </si>
  <si>
    <t xml:space="preserve">ORD-00047</t>
  </si>
  <si>
    <t xml:space="preserve">ORD-00048</t>
  </si>
  <si>
    <t xml:space="preserve">ORD-00045</t>
  </si>
  <si>
    <t xml:space="preserve">ORD-00044</t>
  </si>
  <si>
    <t xml:space="preserve">ORD-00049</t>
  </si>
  <si>
    <t xml:space="preserve">ORD-00050</t>
  </si>
  <si>
    <t xml:space="preserve">ORD-00051</t>
  </si>
  <si>
    <t xml:space="preserve">ORD-00052</t>
  </si>
  <si>
    <t xml:space="preserve">ORD-00053</t>
  </si>
  <si>
    <t xml:space="preserve">ORD-00056</t>
  </si>
  <si>
    <t xml:space="preserve">ORD-00057</t>
  </si>
  <si>
    <t xml:space="preserve">ORD-00055</t>
  </si>
  <si>
    <t xml:space="preserve">ORD-00058</t>
  </si>
  <si>
    <t xml:space="preserve">ORD-00060</t>
  </si>
  <si>
    <t xml:space="preserve">ORD-00059</t>
  </si>
  <si>
    <t xml:space="preserve">ORD-00062</t>
  </si>
  <si>
    <t xml:space="preserve">ORD-00061</t>
  </si>
  <si>
    <t xml:space="preserve">ORD-00063</t>
  </si>
  <si>
    <t xml:space="preserve">ORD-00064</t>
  </si>
  <si>
    <t xml:space="preserve">ORD-00065</t>
  </si>
  <si>
    <t xml:space="preserve">ORD-00066</t>
  </si>
  <si>
    <t xml:space="preserve">ORD-00069</t>
  </si>
  <si>
    <t xml:space="preserve">ORD-00067</t>
  </si>
  <si>
    <t xml:space="preserve">ORD-00068</t>
  </si>
  <si>
    <t xml:space="preserve">ORD-00070</t>
  </si>
  <si>
    <t xml:space="preserve">ORD-00071</t>
  </si>
  <si>
    <t xml:space="preserve">ORD-00073</t>
  </si>
  <si>
    <t xml:space="preserve">ORD-00076</t>
  </si>
  <si>
    <t xml:space="preserve">ORD-00074</t>
  </si>
  <si>
    <t xml:space="preserve">ORD-00075</t>
  </si>
  <si>
    <t xml:space="preserve">ORD-00078</t>
  </si>
  <si>
    <t xml:space="preserve">ORD-00077</t>
  </si>
  <si>
    <t xml:space="preserve">ORD-00083</t>
  </si>
  <si>
    <t xml:space="preserve">ORD-00082</t>
  </si>
  <si>
    <t xml:space="preserve">ORD-00079</t>
  </si>
  <si>
    <t xml:space="preserve">ORD-00080</t>
  </si>
  <si>
    <t xml:space="preserve">ORD-00081</t>
  </si>
  <si>
    <t xml:space="preserve">ORD-00084</t>
  </si>
  <si>
    <t xml:space="preserve">ORD-00085</t>
  </si>
  <si>
    <t xml:space="preserve">ORD-00086</t>
  </si>
  <si>
    <t xml:space="preserve">ORD-00087</t>
  </si>
  <si>
    <t xml:space="preserve">ORD-00088</t>
  </si>
  <si>
    <t xml:space="preserve">ORD-00090</t>
  </si>
  <si>
    <t xml:space="preserve">ORD-00089</t>
  </si>
  <si>
    <t xml:space="preserve">ORD-00091</t>
  </si>
  <si>
    <t xml:space="preserve">ORD-00092</t>
  </si>
  <si>
    <t xml:space="preserve">ORD-00093</t>
  </si>
  <si>
    <t xml:space="preserve">ORD-00099</t>
  </si>
  <si>
    <t xml:space="preserve">ORD-00095</t>
  </si>
  <si>
    <t xml:space="preserve">ORD-00094</t>
  </si>
  <si>
    <t xml:space="preserve">ORD-00100</t>
  </si>
  <si>
    <t xml:space="preserve">ORD-00097</t>
  </si>
  <si>
    <t xml:space="preserve">ORD-00098</t>
  </si>
  <si>
    <t xml:space="preserve">ORD-00096</t>
  </si>
  <si>
    <t xml:space="preserve">ORD-00101</t>
  </si>
  <si>
    <t xml:space="preserve">ORD-00103</t>
  </si>
  <si>
    <t xml:space="preserve">لابتوب نوفا بوك 14</t>
  </si>
  <si>
    <t xml:space="preserve">ORD-00102</t>
  </si>
  <si>
    <t xml:space="preserve">ORD-00105</t>
  </si>
  <si>
    <t xml:space="preserve">ORD-00104</t>
  </si>
  <si>
    <t xml:space="preserve">ORD-00106</t>
  </si>
  <si>
    <t xml:space="preserve">ORD-00108</t>
  </si>
  <si>
    <t xml:space="preserve">ORD-00107</t>
  </si>
  <si>
    <t xml:space="preserve">ORD-00109</t>
  </si>
  <si>
    <t xml:space="preserve">ORD-00111</t>
  </si>
  <si>
    <t xml:space="preserve">ORD-00110</t>
  </si>
  <si>
    <t xml:space="preserve">ORD-00112</t>
  </si>
  <si>
    <t xml:space="preserve">ORD-00113</t>
  </si>
  <si>
    <t xml:space="preserve">ORD-00116</t>
  </si>
  <si>
    <t xml:space="preserve">ORD-00114</t>
  </si>
  <si>
    <t xml:space="preserve">ORD-00115</t>
  </si>
  <si>
    <t xml:space="preserve">ORD-00118</t>
  </si>
  <si>
    <t xml:space="preserve">ORD-00117</t>
  </si>
  <si>
    <t xml:space="preserve">ORD-00119</t>
  </si>
  <si>
    <t xml:space="preserve">ORD-00122</t>
  </si>
  <si>
    <t xml:space="preserve">ORD-00120</t>
  </si>
  <si>
    <t xml:space="preserve">ORD-00121</t>
  </si>
  <si>
    <t xml:space="preserve">ORD-00123</t>
  </si>
  <si>
    <t xml:space="preserve">ORD-00124</t>
  </si>
  <si>
    <t xml:space="preserve">ORD-00125</t>
  </si>
  <si>
    <t xml:space="preserve">ORD-00126</t>
  </si>
  <si>
    <t xml:space="preserve">ORD-00127</t>
  </si>
  <si>
    <t xml:space="preserve">ORD-00128</t>
  </si>
  <si>
    <t xml:space="preserve">ORD-00129</t>
  </si>
  <si>
    <t xml:space="preserve">ORD-00132</t>
  </si>
  <si>
    <t xml:space="preserve">ORD-00131</t>
  </si>
  <si>
    <t xml:space="preserve">ORD-00130</t>
  </si>
  <si>
    <t xml:space="preserve">ORD-00133</t>
  </si>
  <si>
    <t xml:space="preserve">ORD-00135</t>
  </si>
  <si>
    <t xml:space="preserve">ORD-00136</t>
  </si>
  <si>
    <t xml:space="preserve">ORD-00134</t>
  </si>
  <si>
    <t xml:space="preserve">ORD-00137</t>
  </si>
  <si>
    <t xml:space="preserve">ORD-00139</t>
  </si>
  <si>
    <t xml:space="preserve">ORD-00141</t>
  </si>
  <si>
    <t xml:space="preserve">ORD-00140</t>
  </si>
  <si>
    <t xml:space="preserve">ORD-00143</t>
  </si>
  <si>
    <t xml:space="preserve">ORD-00142</t>
  </si>
  <si>
    <t xml:space="preserve">ORD-00144</t>
  </si>
  <si>
    <t xml:space="preserve">ORD-00146</t>
  </si>
  <si>
    <t xml:space="preserve">ORD-00147</t>
  </si>
  <si>
    <t xml:space="preserve">ORD-00145</t>
  </si>
  <si>
    <t xml:space="preserve">ORD-00150</t>
  </si>
  <si>
    <t xml:space="preserve">ORD-00151</t>
  </si>
  <si>
    <t xml:space="preserve">ORD-00152</t>
  </si>
  <si>
    <t xml:space="preserve">ORD-00149</t>
  </si>
  <si>
    <t xml:space="preserve">ORD-00148</t>
  </si>
  <si>
    <t xml:space="preserve">ORD-00153</t>
  </si>
  <si>
    <t xml:space="preserve">ORD-00154</t>
  </si>
  <si>
    <t xml:space="preserve">ORD-00155</t>
  </si>
  <si>
    <t xml:space="preserve">ORD-00157</t>
  </si>
  <si>
    <t xml:space="preserve">ORD-00156</t>
  </si>
  <si>
    <t xml:space="preserve">ORD-00158</t>
  </si>
  <si>
    <t xml:space="preserve">ORD-00160</t>
  </si>
  <si>
    <t xml:space="preserve">ORD-00159</t>
  </si>
  <si>
    <t xml:space="preserve">ORD-00162</t>
  </si>
  <si>
    <t xml:space="preserve">ORD-00161</t>
  </si>
  <si>
    <t xml:space="preserve">ORD-00163</t>
  </si>
  <si>
    <t xml:space="preserve">ORD-00165</t>
  </si>
  <si>
    <t xml:space="preserve">ORD-00170</t>
  </si>
  <si>
    <t xml:space="preserve">ORD-00166</t>
  </si>
  <si>
    <t xml:space="preserve">ORD-00167</t>
  </si>
  <si>
    <t xml:space="preserve">ORD-00169</t>
  </si>
  <si>
    <t xml:space="preserve">ORD-00168</t>
  </si>
  <si>
    <t xml:space="preserve">ORD-00175</t>
  </si>
  <si>
    <t xml:space="preserve">ORD-00172</t>
  </si>
  <si>
    <t xml:space="preserve">ORD-00173</t>
  </si>
  <si>
    <t xml:space="preserve">ORD-00176</t>
  </si>
  <si>
    <t xml:space="preserve">ORD-00174</t>
  </si>
  <si>
    <t xml:space="preserve">ORD-00177</t>
  </si>
  <si>
    <t xml:space="preserve">ORD-00171</t>
  </si>
  <si>
    <t xml:space="preserve">ORD-00178</t>
  </si>
  <si>
    <t xml:space="preserve">ORD-00179</t>
  </si>
  <si>
    <t xml:space="preserve">ORD-00180</t>
  </si>
  <si>
    <t xml:space="preserve">ORD-00182</t>
  </si>
  <si>
    <t xml:space="preserve">ORD-00181</t>
  </si>
  <si>
    <t xml:space="preserve">ORD-00186</t>
  </si>
  <si>
    <t xml:space="preserve">ORD-00185</t>
  </si>
  <si>
    <t xml:space="preserve">ORD-00188</t>
  </si>
  <si>
    <t xml:space="preserve">ORD-00187</t>
  </si>
  <si>
    <t xml:space="preserve">ORD-00183</t>
  </si>
  <si>
    <t xml:space="preserve">ORD-00184</t>
  </si>
  <si>
    <t xml:space="preserve">ORD-00189</t>
  </si>
  <si>
    <t xml:space="preserve">ORD-00190</t>
  </si>
  <si>
    <t xml:space="preserve">ORD-00193</t>
  </si>
  <si>
    <t xml:space="preserve">ORD-00195</t>
  </si>
  <si>
    <t xml:space="preserve">ORD-00192</t>
  </si>
  <si>
    <t xml:space="preserve">ORD-00191</t>
  </si>
  <si>
    <t xml:space="preserve">ORD-00194</t>
  </si>
  <si>
    <t xml:space="preserve">ORD-00199</t>
  </si>
  <si>
    <t xml:space="preserve">ORD-00198</t>
  </si>
  <si>
    <t xml:space="preserve">ORD-00196</t>
  </si>
  <si>
    <t xml:space="preserve">ORD-00201</t>
  </si>
  <si>
    <t xml:space="preserve">ORD-00197</t>
  </si>
  <si>
    <t xml:space="preserve">ORD-00200</t>
  </si>
  <si>
    <t xml:space="preserve">ORD-00202</t>
  </si>
  <si>
    <t xml:space="preserve">ORD-00203</t>
  </si>
  <si>
    <t xml:space="preserve">ORD-00204</t>
  </si>
  <si>
    <t xml:space="preserve">ORD-00206</t>
  </si>
  <si>
    <t xml:space="preserve">ORD-00205</t>
  </si>
  <si>
    <t xml:space="preserve">ORD-00208</t>
  </si>
  <si>
    <t xml:space="preserve">ORD-00209</t>
  </si>
  <si>
    <t xml:space="preserve">ORD-00207</t>
  </si>
  <si>
    <t xml:space="preserve">ORD-00210</t>
  </si>
  <si>
    <t xml:space="preserve">ORD-00212</t>
  </si>
  <si>
    <t xml:space="preserve">ORD-00211</t>
  </si>
  <si>
    <t xml:space="preserve">ORD-00216</t>
  </si>
  <si>
    <t xml:space="preserve">ORD-00214</t>
  </si>
  <si>
    <t xml:space="preserve">ORD-00218</t>
  </si>
  <si>
    <t xml:space="preserve">ORD-00215</t>
  </si>
  <si>
    <t xml:space="preserve">ORD-00217</t>
  </si>
  <si>
    <t xml:space="preserve">ORD-00220</t>
  </si>
  <si>
    <t xml:space="preserve">ORD-00219</t>
  </si>
  <si>
    <t xml:space="preserve">ORD-00222</t>
  </si>
  <si>
    <t xml:space="preserve">ORD-00227</t>
  </si>
  <si>
    <t xml:space="preserve">ORD-00224</t>
  </si>
  <si>
    <t xml:space="preserve">ORD-00226</t>
  </si>
  <si>
    <t xml:space="preserve">ORD-00221</t>
  </si>
  <si>
    <t xml:space="preserve">ORD-00223</t>
  </si>
  <si>
    <t xml:space="preserve">ORD-00228</t>
  </si>
  <si>
    <t xml:space="preserve">ORD-00229</t>
  </si>
  <si>
    <t xml:space="preserve">ORD-00230</t>
  </si>
  <si>
    <t xml:space="preserve">ORD-00232</t>
  </si>
  <si>
    <t xml:space="preserve">ORD-00233</t>
  </si>
  <si>
    <t xml:space="preserve">ORD-00231</t>
  </si>
  <si>
    <t xml:space="preserve">ORD-00234</t>
  </si>
  <si>
    <t xml:space="preserve">ORD-00235</t>
  </si>
  <si>
    <t xml:space="preserve">ORD-00236</t>
  </si>
  <si>
    <t xml:space="preserve">ORD-00237</t>
  </si>
  <si>
    <t xml:space="preserve">ORD-00244</t>
  </si>
  <si>
    <t xml:space="preserve">ORD-00242</t>
  </si>
  <si>
    <t xml:space="preserve">ORD-00243</t>
  </si>
  <si>
    <t xml:space="preserve">ORD-00239</t>
  </si>
  <si>
    <t xml:space="preserve">ORD-00240</t>
  </si>
  <si>
    <t xml:space="preserve">ORD-00241</t>
  </si>
  <si>
    <t xml:space="preserve">ORD-00245</t>
  </si>
  <si>
    <t xml:space="preserve">ORD-00247</t>
  </si>
  <si>
    <t xml:space="preserve">ORD-00248</t>
  </si>
  <si>
    <t xml:space="preserve">ORD-00246</t>
  </si>
  <si>
    <t xml:space="preserve">ORD-00250</t>
  </si>
  <si>
    <t xml:space="preserve">ORD-00249</t>
  </si>
  <si>
    <t xml:space="preserve">ORD-00251</t>
  </si>
  <si>
    <t xml:space="preserve">ORD-00252</t>
  </si>
  <si>
    <t xml:space="preserve">ORD-00253</t>
  </si>
  <si>
    <t xml:space="preserve">ORD-00255</t>
  </si>
  <si>
    <t xml:space="preserve">ORD-00256</t>
  </si>
  <si>
    <t xml:space="preserve">ORD-00254</t>
  </si>
  <si>
    <t xml:space="preserve">ORD-00257</t>
  </si>
  <si>
    <t xml:space="preserve">ORD-00261</t>
  </si>
  <si>
    <t xml:space="preserve">ORD-00258</t>
  </si>
  <si>
    <t xml:space="preserve">ORD-00259</t>
  </si>
  <si>
    <t xml:space="preserve">ORD-00260</t>
  </si>
  <si>
    <t xml:space="preserve">ORD-00263</t>
  </si>
  <si>
    <t xml:space="preserve">ORD-00262</t>
  </si>
  <si>
    <t xml:space="preserve">ORD-00265</t>
  </si>
  <si>
    <t xml:space="preserve">ORD-00266</t>
  </si>
  <si>
    <t xml:space="preserve">ORD-00264</t>
  </si>
  <si>
    <t xml:space="preserve">ORD-00268</t>
  </si>
  <si>
    <t xml:space="preserve">ORD-00269</t>
  </si>
  <si>
    <t xml:space="preserve">ORD-00267</t>
  </si>
  <si>
    <t xml:space="preserve">ORD-00270</t>
  </si>
  <si>
    <t xml:space="preserve">ORD-00271</t>
  </si>
  <si>
    <t xml:space="preserve">ORD-00276</t>
  </si>
  <si>
    <t xml:space="preserve">ORD-00275</t>
  </si>
  <si>
    <t xml:space="preserve">ORD-00272</t>
  </si>
  <si>
    <t xml:space="preserve">ORD-00274</t>
  </si>
  <si>
    <t xml:space="preserve">ORD-00273</t>
  </si>
  <si>
    <t xml:space="preserve">ORD-00282</t>
  </si>
  <si>
    <t xml:space="preserve">ORD-00277</t>
  </si>
  <si>
    <t xml:space="preserve">ORD-00278</t>
  </si>
  <si>
    <t xml:space="preserve">ORD-00281</t>
  </si>
  <si>
    <t xml:space="preserve">ORD-00279</t>
  </si>
  <si>
    <t xml:space="preserve">ORD-00280</t>
  </si>
  <si>
    <t xml:space="preserve">ORD-00284</t>
  </si>
  <si>
    <t xml:space="preserve">ORD-00283</t>
  </si>
  <si>
    <t xml:space="preserve">ORD-00287</t>
  </si>
  <si>
    <t xml:space="preserve">ORD-00285</t>
  </si>
  <si>
    <t xml:space="preserve">ORD-00286</t>
  </si>
  <si>
    <t xml:space="preserve">ORD-00288</t>
  </si>
  <si>
    <t xml:space="preserve">ORD-00289</t>
  </si>
  <si>
    <t xml:space="preserve">ORD-00291</t>
  </si>
  <si>
    <t xml:space="preserve">ORD-00290</t>
  </si>
  <si>
    <t xml:space="preserve">ORD-00292</t>
  </si>
  <si>
    <t xml:space="preserve">ORD-00293</t>
  </si>
  <si>
    <t xml:space="preserve">ORD-00294</t>
  </si>
  <si>
    <t xml:space="preserve">ORD-00295</t>
  </si>
  <si>
    <t xml:space="preserve">ORD-00297</t>
  </si>
  <si>
    <t xml:space="preserve">ORD-00296</t>
  </si>
  <si>
    <t xml:space="preserve">ORD-00299</t>
  </si>
  <si>
    <t xml:space="preserve">ORD-00298</t>
  </si>
  <si>
    <t xml:space="preserve">ORD-00301</t>
  </si>
  <si>
    <t xml:space="preserve">ORD-00300</t>
  </si>
  <si>
    <t xml:space="preserve">ORD-00302</t>
  </si>
  <si>
    <t xml:space="preserve">ORD-00303</t>
  </si>
  <si>
    <t xml:space="preserve">ORD-00306</t>
  </si>
  <si>
    <t xml:space="preserve">ORD-00304</t>
  </si>
  <si>
    <t xml:space="preserve">ORD-00307</t>
  </si>
  <si>
    <t xml:space="preserve">ORD-00305</t>
  </si>
  <si>
    <t xml:space="preserve">ORD-00308</t>
  </si>
  <si>
    <t xml:space="preserve">ORD-00310</t>
  </si>
  <si>
    <t xml:space="preserve">ORD-00311</t>
  </si>
  <si>
    <t xml:space="preserve">ORD-00312</t>
  </si>
  <si>
    <t xml:space="preserve">ORD-00313</t>
  </si>
  <si>
    <t xml:space="preserve">ORD-00314</t>
  </si>
  <si>
    <t xml:space="preserve">ORD-00315</t>
  </si>
  <si>
    <t xml:space="preserve">ORD-00316</t>
  </si>
  <si>
    <t xml:space="preserve">ORD-00319</t>
  </si>
  <si>
    <t xml:space="preserve">ORD-00318</t>
  </si>
  <si>
    <t xml:space="preserve">ORD-00317</t>
  </si>
  <si>
    <t xml:space="preserve">ORD-00320</t>
  </si>
  <si>
    <t xml:space="preserve">ORD-00321</t>
  </si>
  <si>
    <t xml:space="preserve">ORD-00323</t>
  </si>
  <si>
    <t xml:space="preserve">ORD-00322</t>
  </si>
  <si>
    <t xml:space="preserve">ORD-00325</t>
  </si>
  <si>
    <t xml:space="preserve">ORD-00324</t>
  </si>
  <si>
    <t xml:space="preserve">ORD-00326</t>
  </si>
  <si>
    <t xml:space="preserve">ORD-00327</t>
  </si>
  <si>
    <t xml:space="preserve">ORD-00328</t>
  </si>
  <si>
    <t xml:space="preserve">ORD-00329</t>
  </si>
  <si>
    <t xml:space="preserve">ORD-00330</t>
  </si>
  <si>
    <t xml:space="preserve">ORD-00332</t>
  </si>
  <si>
    <t xml:space="preserve">ORD-00336</t>
  </si>
  <si>
    <t xml:space="preserve">ORD-00337</t>
  </si>
  <si>
    <t xml:space="preserve">ORD-00335</t>
  </si>
  <si>
    <t xml:space="preserve">ORD-00333</t>
  </si>
  <si>
    <t xml:space="preserve">ORD-00334</t>
  </si>
  <si>
    <t xml:space="preserve">ORD-00338</t>
  </si>
  <si>
    <t xml:space="preserve">ORD-00342</t>
  </si>
  <si>
    <t xml:space="preserve">ORD-00340</t>
  </si>
  <si>
    <t xml:space="preserve">ORD-00339</t>
  </si>
  <si>
    <t xml:space="preserve">ORD-00341</t>
  </si>
  <si>
    <t xml:space="preserve">ORD-00346</t>
  </si>
  <si>
    <t xml:space="preserve">ORD-00343</t>
  </si>
  <si>
    <t xml:space="preserve">ORD-00345</t>
  </si>
  <si>
    <t xml:space="preserve">ORD-00347</t>
  </si>
  <si>
    <t xml:space="preserve">ORD-00348</t>
  </si>
  <si>
    <t xml:space="preserve">ORD-00350</t>
  </si>
  <si>
    <t xml:space="preserve">ORD-00349</t>
  </si>
  <si>
    <t xml:space="preserve">ORD-00354</t>
  </si>
  <si>
    <t xml:space="preserve">ORD-00351</t>
  </si>
  <si>
    <t xml:space="preserve">ORD-00353</t>
  </si>
  <si>
    <t xml:space="preserve">ORD-00352</t>
  </si>
  <si>
    <t xml:space="preserve">ORD-00356</t>
  </si>
  <si>
    <t xml:space="preserve">ORD-00357</t>
  </si>
  <si>
    <t xml:space="preserve">ORD-00355</t>
  </si>
  <si>
    <t xml:space="preserve">ORD-00363</t>
  </si>
  <si>
    <t xml:space="preserve">ORD-00358</t>
  </si>
  <si>
    <t xml:space="preserve">ORD-00361</t>
  </si>
  <si>
    <t xml:space="preserve">ORD-00360</t>
  </si>
  <si>
    <t xml:space="preserve">ORD-00362</t>
  </si>
  <si>
    <t xml:space="preserve">ORD-00359</t>
  </si>
  <si>
    <t xml:space="preserve">ORD-00364</t>
  </si>
  <si>
    <t xml:space="preserve">ORD-00366</t>
  </si>
  <si>
    <t xml:space="preserve">ORD-00365</t>
  </si>
  <si>
    <t xml:space="preserve">ORD-00370</t>
  </si>
  <si>
    <t xml:space="preserve">ORD-00367</t>
  </si>
  <si>
    <t xml:space="preserve">ORD-00371</t>
  </si>
  <si>
    <t xml:space="preserve">ORD-00369</t>
  </si>
  <si>
    <t xml:space="preserve">ORD-00374</t>
  </si>
  <si>
    <t xml:space="preserve">ORD-00373</t>
  </si>
  <si>
    <t xml:space="preserve">ORD-00372</t>
  </si>
  <si>
    <t xml:space="preserve">ORD-00375</t>
  </si>
  <si>
    <t xml:space="preserve">ORD-00377</t>
  </si>
  <si>
    <t xml:space="preserve">ORD-00379</t>
  </si>
  <si>
    <t xml:space="preserve">ORD-00380</t>
  </si>
  <si>
    <t xml:space="preserve">ORD-00378</t>
  </si>
  <si>
    <t xml:space="preserve">ORD-00376</t>
  </si>
  <si>
    <t xml:space="preserve">ORD-00381</t>
  </si>
  <si>
    <t xml:space="preserve">ORD-00382</t>
  </si>
  <si>
    <t xml:space="preserve">ORD-00384</t>
  </si>
  <si>
    <t xml:space="preserve">ORD-00383</t>
  </si>
  <si>
    <t xml:space="preserve">ORD-00385</t>
  </si>
  <si>
    <t xml:space="preserve">ORD-00386</t>
  </si>
  <si>
    <t xml:space="preserve">ORD-00387</t>
  </si>
  <si>
    <t xml:space="preserve">ORD-00389</t>
  </si>
  <si>
    <t xml:space="preserve">ORD-00388</t>
  </si>
  <si>
    <t xml:space="preserve">ORD-00390</t>
  </si>
  <si>
    <t xml:space="preserve">ORD-00392</t>
  </si>
  <si>
    <t xml:space="preserve">ORD-00393</t>
  </si>
  <si>
    <t xml:space="preserve">ORD-00391</t>
  </si>
  <si>
    <t xml:space="preserve">ORD-00394</t>
  </si>
  <si>
    <t xml:space="preserve">ORD-00395</t>
  </si>
  <si>
    <t xml:space="preserve">ORD-00396</t>
  </si>
  <si>
    <t xml:space="preserve">ORD-00397</t>
  </si>
  <si>
    <t xml:space="preserve">ORD-00399</t>
  </si>
  <si>
    <t xml:space="preserve">ORD-00398</t>
  </si>
  <si>
    <t xml:space="preserve">ORD-00401</t>
  </si>
  <si>
    <t xml:space="preserve">ORD-00400</t>
  </si>
  <si>
    <t xml:space="preserve">ORD-00402</t>
  </si>
  <si>
    <t xml:space="preserve">ORD-00404</t>
  </si>
  <si>
    <t xml:space="preserve">ORD-00403</t>
  </si>
  <si>
    <t xml:space="preserve">ORD-00406</t>
  </si>
  <si>
    <t xml:space="preserve">ORD-00408</t>
  </si>
  <si>
    <t xml:space="preserve">ORD-00407</t>
  </si>
  <si>
    <t xml:space="preserve">ORD-00405</t>
  </si>
  <si>
    <t xml:space="preserve">ORD-00410</t>
  </si>
  <si>
    <t xml:space="preserve">ORD-00409</t>
  </si>
  <si>
    <t xml:space="preserve">ORD-00412</t>
  </si>
  <si>
    <t xml:space="preserve">ORD-00414</t>
  </si>
  <si>
    <t xml:space="preserve">ORD-00413</t>
  </si>
  <si>
    <t xml:space="preserve">ORD-00415</t>
  </si>
  <si>
    <t xml:space="preserve">ORD-00416</t>
  </si>
  <si>
    <t xml:space="preserve">ORD-00417</t>
  </si>
  <si>
    <t xml:space="preserve">ORD-00418</t>
  </si>
  <si>
    <t xml:space="preserve">ORD-00419</t>
  </si>
  <si>
    <t xml:space="preserve">ORD-00420</t>
  </si>
  <si>
    <t xml:space="preserve">ORD-00422</t>
  </si>
  <si>
    <t xml:space="preserve">ORD-00425</t>
  </si>
  <si>
    <t xml:space="preserve">ORD-00421</t>
  </si>
  <si>
    <t xml:space="preserve">ORD-00424</t>
  </si>
  <si>
    <t xml:space="preserve">ORD-00423</t>
  </si>
  <si>
    <t xml:space="preserve">ORD-00426</t>
  </si>
  <si>
    <t xml:space="preserve">ORD-00427</t>
  </si>
  <si>
    <t xml:space="preserve">ORD-00428</t>
  </si>
  <si>
    <t xml:space="preserve">ORD-00429</t>
  </si>
  <si>
    <t xml:space="preserve">ORD-00430</t>
  </si>
  <si>
    <t xml:space="preserve">ORD-00431</t>
  </si>
  <si>
    <t xml:space="preserve">ORD-00433</t>
  </si>
  <si>
    <t xml:space="preserve">ORD-00434</t>
  </si>
  <si>
    <t xml:space="preserve">ORD-00432</t>
  </si>
  <si>
    <t xml:space="preserve">ORD-00435</t>
  </si>
  <si>
    <t xml:space="preserve">ORD-00437</t>
  </si>
  <si>
    <t xml:space="preserve">ORD-00438</t>
  </si>
  <si>
    <t xml:space="preserve">ORD-00439</t>
  </si>
  <si>
    <t xml:space="preserve">ORD-00436</t>
  </si>
  <si>
    <t xml:space="preserve">ORD-00444</t>
  </si>
  <si>
    <t xml:space="preserve">ORD-00443</t>
  </si>
  <si>
    <t xml:space="preserve">ORD-00441</t>
  </si>
  <si>
    <t xml:space="preserve">ORD-00440</t>
  </si>
  <si>
    <t xml:space="preserve">ORD-00442</t>
  </si>
  <si>
    <t xml:space="preserve">ORD-00445</t>
  </si>
  <si>
    <t xml:space="preserve">ORD-00446</t>
  </si>
  <si>
    <t xml:space="preserve">ORD-00447</t>
  </si>
  <si>
    <t xml:space="preserve">ORD-00450</t>
  </si>
  <si>
    <t xml:space="preserve">ORD-00449</t>
  </si>
  <si>
    <t xml:space="preserve">ORD-00448</t>
  </si>
  <si>
    <t xml:space="preserve">ORD-00452</t>
  </si>
  <si>
    <t xml:space="preserve">ORD-00451</t>
  </si>
  <si>
    <t xml:space="preserve">ORD-00453</t>
  </si>
  <si>
    <t xml:space="preserve">ORD-00454</t>
  </si>
  <si>
    <t xml:space="preserve">ORD-00456</t>
  </si>
  <si>
    <t xml:space="preserve">ORD-00457</t>
  </si>
  <si>
    <t xml:space="preserve">ORD-00455</t>
  </si>
  <si>
    <t xml:space="preserve">ORD-00460</t>
  </si>
  <si>
    <t xml:space="preserve">ORD-00459</t>
  </si>
  <si>
    <t xml:space="preserve">ORD-00461</t>
  </si>
  <si>
    <t xml:space="preserve">ORD-00458</t>
  </si>
  <si>
    <t xml:space="preserve">ORD-00462</t>
  </si>
  <si>
    <t xml:space="preserve">ORD-00464</t>
  </si>
  <si>
    <t xml:space="preserve">ORD-00463</t>
  </si>
  <si>
    <t xml:space="preserve">ORD-00465</t>
  </si>
  <si>
    <t xml:space="preserve">ORD-00466</t>
  </si>
  <si>
    <t xml:space="preserve">ORD-00467</t>
  </si>
  <si>
    <t xml:space="preserve">ORD-00468</t>
  </si>
  <si>
    <t xml:space="preserve">ORD-00470</t>
  </si>
  <si>
    <t xml:space="preserve">ORD-00469</t>
  </si>
  <si>
    <t xml:space="preserve">ORD-00471</t>
  </si>
  <si>
    <t xml:space="preserve">ORD-00472</t>
  </si>
  <si>
    <t xml:space="preserve">ORD-00473</t>
  </si>
  <si>
    <t xml:space="preserve">ORD-00474</t>
  </si>
  <si>
    <t xml:space="preserve">ORD-00475</t>
  </si>
  <si>
    <t xml:space="preserve">ORD-00477</t>
  </si>
  <si>
    <t xml:space="preserve">ORD-00476</t>
  </si>
  <si>
    <t xml:space="preserve">ORD-00478</t>
  </si>
  <si>
    <t xml:space="preserve">ORD-00481</t>
  </si>
  <si>
    <t xml:space="preserve">ORD-00479</t>
  </si>
  <si>
    <t xml:space="preserve">ORD-00480</t>
  </si>
  <si>
    <t xml:space="preserve">ORD-00483</t>
  </si>
  <si>
    <t xml:space="preserve">ORD-00482</t>
  </si>
  <si>
    <t xml:space="preserve">ORD-00484</t>
  </si>
  <si>
    <t xml:space="preserve">ORD-00485</t>
  </si>
  <si>
    <t xml:space="preserve">ORD-00486</t>
  </si>
  <si>
    <t xml:space="preserve">ORD-00487</t>
  </si>
  <si>
    <t xml:space="preserve">ORD-00489</t>
  </si>
  <si>
    <t xml:space="preserve">ORD-00488</t>
  </si>
  <si>
    <t xml:space="preserve">ORD-00491</t>
  </si>
  <si>
    <t xml:space="preserve">ORD-00490</t>
  </si>
  <si>
    <t xml:space="preserve">ORD-00493</t>
  </si>
  <si>
    <t xml:space="preserve">ORD-00492</t>
  </si>
  <si>
    <t xml:space="preserve">ORD-00494</t>
  </si>
  <si>
    <t xml:space="preserve">ORD-00496</t>
  </si>
  <si>
    <t xml:space="preserve">ORD-00495</t>
  </si>
  <si>
    <t xml:space="preserve">ORD-00501</t>
  </si>
  <si>
    <t xml:space="preserve">ORD-00499</t>
  </si>
  <si>
    <t xml:space="preserve">ORD-00500</t>
  </si>
  <si>
    <t xml:space="preserve">ORD-00498</t>
  </si>
  <si>
    <t xml:space="preserve">ORD-00497</t>
  </si>
  <si>
    <t xml:space="preserve">ORD-00502</t>
  </si>
  <si>
    <t xml:space="preserve">ORD-00507</t>
  </si>
  <si>
    <t xml:space="preserve">ORD-00505</t>
  </si>
  <si>
    <t xml:space="preserve">ORD-00508</t>
  </si>
  <si>
    <t xml:space="preserve">ORD-00504</t>
  </si>
  <si>
    <t xml:space="preserve">ORD-00503</t>
  </si>
  <si>
    <t xml:space="preserve">ORD-00506</t>
  </si>
  <si>
    <t xml:space="preserve">ORD-00509</t>
  </si>
  <si>
    <t xml:space="preserve">ORD-00510</t>
  </si>
  <si>
    <t xml:space="preserve">ORD-00512</t>
  </si>
  <si>
    <t xml:space="preserve">ORD-00511</t>
  </si>
  <si>
    <t xml:space="preserve">ORD-00513</t>
  </si>
  <si>
    <t xml:space="preserve">ORD-00515</t>
  </si>
  <si>
    <t xml:space="preserve">ORD-00514</t>
  </si>
  <si>
    <t xml:space="preserve">ORD-00519</t>
  </si>
  <si>
    <t xml:space="preserve">ORD-00516</t>
  </si>
  <si>
    <t xml:space="preserve">ORD-00518</t>
  </si>
  <si>
    <t xml:space="preserve">ORD-00517</t>
  </si>
  <si>
    <t xml:space="preserve">ORD-00520</t>
  </si>
  <si>
    <t xml:space="preserve">ORD-00522</t>
  </si>
  <si>
    <t xml:space="preserve">ORD-00521</t>
  </si>
  <si>
    <t xml:space="preserve">ORD-00524</t>
  </si>
  <si>
    <t xml:space="preserve">ORD-00523</t>
  </si>
  <si>
    <t xml:space="preserve">ORD-00525</t>
  </si>
  <si>
    <t xml:space="preserve">ORD-00526</t>
  </si>
  <si>
    <t xml:space="preserve">ORD-00527</t>
  </si>
  <si>
    <t xml:space="preserve">ORD-00530</t>
  </si>
  <si>
    <t xml:space="preserve">ORD-00528</t>
  </si>
  <si>
    <t xml:space="preserve">ORD-00529</t>
  </si>
  <si>
    <t xml:space="preserve">ORD-00531</t>
  </si>
  <si>
    <t xml:space="preserve">ORD-00532</t>
  </si>
  <si>
    <t xml:space="preserve">ORD-00535</t>
  </si>
  <si>
    <t xml:space="preserve">ORD-00536</t>
  </si>
  <si>
    <t xml:space="preserve">ORD-00533</t>
  </si>
  <si>
    <t xml:space="preserve">ORD-00538</t>
  </si>
  <si>
    <t xml:space="preserve">ORD-00537</t>
  </si>
  <si>
    <t xml:space="preserve">ORD-00543</t>
  </si>
  <si>
    <t xml:space="preserve">ORD-00542</t>
  </si>
  <si>
    <t xml:space="preserve">ORD-00541</t>
  </si>
  <si>
    <t xml:space="preserve">ORD-00540</t>
  </si>
  <si>
    <t xml:space="preserve">ORD-00539</t>
  </si>
  <si>
    <t xml:space="preserve">ORD-00544</t>
  </si>
  <si>
    <t xml:space="preserve">ORD-00546</t>
  </si>
  <si>
    <t xml:space="preserve">ORD-00545</t>
  </si>
  <si>
    <t xml:space="preserve">ORD-00548</t>
  </si>
  <si>
    <t xml:space="preserve">ORD-00547</t>
  </si>
  <si>
    <t xml:space="preserve">ORD-00549</t>
  </si>
  <si>
    <t xml:space="preserve">ORD-00550</t>
  </si>
  <si>
    <t xml:space="preserve">ORD-00551</t>
  </si>
  <si>
    <t xml:space="preserve">ORD-00552</t>
  </si>
  <si>
    <t xml:space="preserve">ORD-00553</t>
  </si>
  <si>
    <t xml:space="preserve">ORD-00554</t>
  </si>
  <si>
    <t xml:space="preserve">ORD-00555</t>
  </si>
  <si>
    <t xml:space="preserve">ORD-00557</t>
  </si>
  <si>
    <t xml:space="preserve">ORD-00556</t>
  </si>
  <si>
    <t xml:space="preserve">ORD-00559</t>
  </si>
  <si>
    <t xml:space="preserve">ORD-00558</t>
  </si>
  <si>
    <t xml:space="preserve">ORD-00561</t>
  </si>
  <si>
    <t xml:space="preserve">ORD-00564</t>
  </si>
  <si>
    <t xml:space="preserve">ORD-00562</t>
  </si>
  <si>
    <t xml:space="preserve">ORD-00560</t>
  </si>
  <si>
    <t xml:space="preserve">ORD-00565</t>
  </si>
  <si>
    <t xml:space="preserve">ORD-00566</t>
  </si>
  <si>
    <t xml:space="preserve">ORD-00567</t>
  </si>
  <si>
    <t xml:space="preserve">ORD-00569</t>
  </si>
  <si>
    <t xml:space="preserve">ORD-00573</t>
  </si>
  <si>
    <t xml:space="preserve">ORD-00577</t>
  </si>
  <si>
    <t xml:space="preserve">ORD-00576</t>
  </si>
  <si>
    <t xml:space="preserve">ORD-00570</t>
  </si>
  <si>
    <t xml:space="preserve">ORD-00571</t>
  </si>
  <si>
    <t xml:space="preserve">ORD-00575</t>
  </si>
  <si>
    <t xml:space="preserve">ORD-00572</t>
  </si>
  <si>
    <t xml:space="preserve">ORD-00581</t>
  </si>
  <si>
    <t xml:space="preserve">ORD-00579</t>
  </si>
  <si>
    <t xml:space="preserve">ORD-00578</t>
  </si>
  <si>
    <t xml:space="preserve">ORD-00580</t>
  </si>
  <si>
    <t xml:space="preserve">ORD-00582</t>
  </si>
  <si>
    <t xml:space="preserve">ORD-00587</t>
  </si>
  <si>
    <t xml:space="preserve">ORD-00583</t>
  </si>
  <si>
    <t xml:space="preserve">ORD-00586</t>
  </si>
  <si>
    <t xml:space="preserve">ORD-00585</t>
  </si>
  <si>
    <t xml:space="preserve">ORD-00584</t>
  </si>
  <si>
    <t xml:space="preserve">ORD-00589</t>
  </si>
  <si>
    <t xml:space="preserve">ORD-00591</t>
  </si>
  <si>
    <t xml:space="preserve">ORD-00592</t>
  </si>
  <si>
    <t xml:space="preserve">ORD-00590</t>
  </si>
  <si>
    <t xml:space="preserve">ORD-00593</t>
  </si>
  <si>
    <t xml:space="preserve">ORD-00594</t>
  </si>
  <si>
    <t xml:space="preserve">ORD-00595</t>
  </si>
  <si>
    <t xml:space="preserve">ORD-00597</t>
  </si>
  <si>
    <t xml:space="preserve">ORD-00596</t>
  </si>
  <si>
    <t xml:space="preserve">ORD-00598</t>
  </si>
  <si>
    <t xml:space="preserve">ORD-00599</t>
  </si>
  <si>
    <t xml:space="preserve">ORD-00601</t>
  </si>
  <si>
    <t xml:space="preserve">ORD-00600</t>
  </si>
  <si>
    <t xml:space="preserve">ORD-00603</t>
  </si>
  <si>
    <t xml:space="preserve">ORD-00602</t>
  </si>
  <si>
    <t xml:space="preserve">ORD-00604</t>
  </si>
  <si>
    <t xml:space="preserve">ORD-00611</t>
  </si>
  <si>
    <t xml:space="preserve">ORD-00607</t>
  </si>
  <si>
    <t xml:space="preserve">ORD-00610</t>
  </si>
  <si>
    <t xml:space="preserve">ORD-00608</t>
  </si>
  <si>
    <t xml:space="preserve">ORD-00605</t>
  </si>
  <si>
    <t xml:space="preserve">ORD-00609</t>
  </si>
  <si>
    <t xml:space="preserve">ORD-00606</t>
  </si>
  <si>
    <t xml:space="preserve">ORD-00612</t>
  </si>
  <si>
    <t xml:space="preserve">ORD-00613</t>
  </si>
  <si>
    <t xml:space="preserve">ORD-00615</t>
  </si>
  <si>
    <t xml:space="preserve">ORD-00617</t>
  </si>
  <si>
    <t xml:space="preserve">ORD-00616</t>
  </si>
  <si>
    <t xml:space="preserve">ORD-00614</t>
  </si>
  <si>
    <t xml:space="preserve">ORD-00618</t>
  </si>
  <si>
    <t xml:space="preserve">ORD-00619</t>
  </si>
  <si>
    <t xml:space="preserve">ORD-00621</t>
  </si>
  <si>
    <t xml:space="preserve">ORD-00625</t>
  </si>
  <si>
    <t xml:space="preserve">ORD-00620</t>
  </si>
  <si>
    <t xml:space="preserve">ORD-00624</t>
  </si>
  <si>
    <t xml:space="preserve">ORD-00623</t>
  </si>
  <si>
    <t xml:space="preserve">ORD-00622</t>
  </si>
  <si>
    <t xml:space="preserve">ORD-00629</t>
  </si>
  <si>
    <t xml:space="preserve">ORD-00627</t>
  </si>
  <si>
    <t xml:space="preserve">ORD-00626</t>
  </si>
  <si>
    <t xml:space="preserve">ORD-00628</t>
  </si>
  <si>
    <t xml:space="preserve">ORD-00630</t>
  </si>
  <si>
    <t xml:space="preserve">ORD-00631</t>
  </si>
  <si>
    <t xml:space="preserve">ORD-00634</t>
  </si>
  <si>
    <t xml:space="preserve">ORD-00633</t>
  </si>
  <si>
    <t xml:space="preserve">ORD-00635</t>
  </si>
  <si>
    <t xml:space="preserve">ORD-00639</t>
  </si>
  <si>
    <t xml:space="preserve">ORD-00636</t>
  </si>
  <si>
    <t xml:space="preserve">ORD-00638</t>
  </si>
  <si>
    <t xml:space="preserve">ORD-00640</t>
  </si>
  <si>
    <t xml:space="preserve">ORD-00637</t>
  </si>
  <si>
    <t xml:space="preserve">ORD-00641</t>
  </si>
  <si>
    <t xml:space="preserve">ORD-00642</t>
  </si>
  <si>
    <t xml:space="preserve">ORD-00644</t>
  </si>
  <si>
    <t xml:space="preserve">ORD-00643</t>
  </si>
  <si>
    <t xml:space="preserve">ORD-00648</t>
  </si>
  <si>
    <t xml:space="preserve">ORD-00645</t>
  </si>
  <si>
    <t xml:space="preserve">ORD-00646</t>
  </si>
  <si>
    <t xml:space="preserve">ORD-00647</t>
  </si>
  <si>
    <t xml:space="preserve">ORD-00649</t>
  </si>
  <si>
    <t xml:space="preserve">ORD-00651</t>
  </si>
  <si>
    <t xml:space="preserve">ORD-00652</t>
  </si>
  <si>
    <t xml:space="preserve">ORD-00654</t>
  </si>
  <si>
    <t xml:space="preserve">ORD-00656</t>
  </si>
  <si>
    <t xml:space="preserve">ORD-00655</t>
  </si>
  <si>
    <t xml:space="preserve">ORD-00661</t>
  </si>
  <si>
    <t xml:space="preserve">ORD-00658</t>
  </si>
  <si>
    <t xml:space="preserve">ORD-00657</t>
  </si>
  <si>
    <t xml:space="preserve">ORD-00660</t>
  </si>
  <si>
    <t xml:space="preserve">ORD-00664</t>
  </si>
  <si>
    <t xml:space="preserve">ORD-00665</t>
  </si>
  <si>
    <t xml:space="preserve">ORD-00663</t>
  </si>
  <si>
    <t xml:space="preserve">ORD-00662</t>
  </si>
  <si>
    <t xml:space="preserve">ORD-00668</t>
  </si>
  <si>
    <t xml:space="preserve">ORD-00666</t>
  </si>
  <si>
    <t xml:space="preserve">ORD-00669</t>
  </si>
  <si>
    <t xml:space="preserve">ORD-00667</t>
  </si>
  <si>
    <t xml:space="preserve">ORD-00670</t>
  </si>
  <si>
    <t xml:space="preserve">ORD-00672</t>
  </si>
  <si>
    <t xml:space="preserve">ORD-00671</t>
  </si>
  <si>
    <t xml:space="preserve">ORD-00673</t>
  </si>
  <si>
    <t xml:space="preserve">ORD-00677</t>
  </si>
  <si>
    <t xml:space="preserve">ORD-00674</t>
  </si>
  <si>
    <t xml:space="preserve">ORD-00676</t>
  </si>
  <si>
    <t xml:space="preserve">ORD-00678</t>
  </si>
  <si>
    <t xml:space="preserve">ORD-00675</t>
  </si>
  <si>
    <t xml:space="preserve">ORD-00681</t>
  </si>
  <si>
    <t xml:space="preserve">ORD-00680</t>
  </si>
  <si>
    <t xml:space="preserve">ORD-00682</t>
  </si>
  <si>
    <t xml:space="preserve">ORD-00679</t>
  </si>
  <si>
    <t xml:space="preserve">ORD-00683</t>
  </si>
  <si>
    <t xml:space="preserve">ORD-00684</t>
  </si>
  <si>
    <t xml:space="preserve">ORD-00685</t>
  </si>
  <si>
    <t xml:space="preserve">ORD-00690</t>
  </si>
  <si>
    <t xml:space="preserve">ORD-00689</t>
  </si>
  <si>
    <t xml:space="preserve">ORD-00687</t>
  </si>
  <si>
    <t xml:space="preserve">ORD-00688</t>
  </si>
  <si>
    <t xml:space="preserve">ORD-00692</t>
  </si>
  <si>
    <t xml:space="preserve">ORD-00693</t>
  </si>
  <si>
    <t xml:space="preserve">ORD-00691</t>
  </si>
  <si>
    <t xml:space="preserve">ORD-00695</t>
  </si>
  <si>
    <t xml:space="preserve">ORD-00694</t>
  </si>
  <si>
    <t xml:space="preserve">ORD-00698</t>
  </si>
  <si>
    <t xml:space="preserve">ORD-00697</t>
  </si>
  <si>
    <t xml:space="preserve">ORD-00701</t>
  </si>
  <si>
    <t xml:space="preserve">ORD-00699</t>
  </si>
  <si>
    <t xml:space="preserve">ORD-00700</t>
  </si>
  <si>
    <t xml:space="preserve">ORD-00696</t>
  </si>
  <si>
    <t xml:space="preserve">ORD-00702</t>
  </si>
  <si>
    <t xml:space="preserve">ORD-00703</t>
  </si>
  <si>
    <t xml:space="preserve">ORD-00704</t>
  </si>
  <si>
    <t xml:space="preserve">ORD-00705</t>
  </si>
  <si>
    <t xml:space="preserve">ORD-00706</t>
  </si>
  <si>
    <t xml:space="preserve">ORD-00711</t>
  </si>
  <si>
    <t xml:space="preserve">ORD-00709</t>
  </si>
  <si>
    <t xml:space="preserve">ORD-00707</t>
  </si>
  <si>
    <t xml:space="preserve">ORD-00708</t>
  </si>
  <si>
    <t xml:space="preserve">ORD-00710</t>
  </si>
  <si>
    <t xml:space="preserve">ORD-00713</t>
  </si>
  <si>
    <t xml:space="preserve">ORD-00717</t>
  </si>
  <si>
    <t xml:space="preserve">ORD-00715</t>
  </si>
  <si>
    <t xml:space="preserve">ORD-00714</t>
  </si>
  <si>
    <t xml:space="preserve">ORD-00712</t>
  </si>
  <si>
    <t xml:space="preserve">ORD-00716</t>
  </si>
  <si>
    <t xml:space="preserve">ORD-00718</t>
  </si>
  <si>
    <t xml:space="preserve">ORD-00719</t>
  </si>
  <si>
    <t xml:space="preserve">ORD-00721</t>
  </si>
  <si>
    <t xml:space="preserve">ORD-00720</t>
  </si>
  <si>
    <t xml:space="preserve">ORD-00724</t>
  </si>
  <si>
    <t xml:space="preserve">ORD-00723</t>
  </si>
  <si>
    <t xml:space="preserve">ORD-00722</t>
  </si>
  <si>
    <t xml:space="preserve">ORD-00728</t>
  </si>
  <si>
    <t xml:space="preserve">ORD-00727</t>
  </si>
  <si>
    <t xml:space="preserve">ORD-00726</t>
  </si>
  <si>
    <t xml:space="preserve">ORD-00730</t>
  </si>
  <si>
    <t xml:space="preserve">ORD-00729</t>
  </si>
  <si>
    <t xml:space="preserve">ORD-00732</t>
  </si>
  <si>
    <t xml:space="preserve">ORD-00731</t>
  </si>
  <si>
    <t xml:space="preserve">ORD-00735</t>
  </si>
  <si>
    <t xml:space="preserve">ORD-00736</t>
  </si>
  <si>
    <t xml:space="preserve">ORD-00733</t>
  </si>
  <si>
    <t xml:space="preserve">ORD-00734</t>
  </si>
  <si>
    <t xml:space="preserve">ORD-00737</t>
  </si>
  <si>
    <t xml:space="preserve">ORD-00738</t>
  </si>
  <si>
    <t xml:space="preserve">ORD-00739</t>
  </si>
  <si>
    <t xml:space="preserve">ORD-00740</t>
  </si>
  <si>
    <t xml:space="preserve">ORD-00743</t>
  </si>
  <si>
    <t xml:space="preserve">ORD-00742</t>
  </si>
  <si>
    <t xml:space="preserve">ORD-00741</t>
  </si>
  <si>
    <t xml:space="preserve">ORD-00746</t>
  </si>
  <si>
    <t xml:space="preserve">ORD-00745</t>
  </si>
  <si>
    <t xml:space="preserve">ORD-00744</t>
  </si>
  <si>
    <t xml:space="preserve">ORD-00750</t>
  </si>
  <si>
    <t xml:space="preserve">ORD-00747</t>
  </si>
  <si>
    <t xml:space="preserve">ORD-00748</t>
  </si>
  <si>
    <t xml:space="preserve">ORD-00749</t>
  </si>
  <si>
    <t xml:space="preserve">ORD-00751</t>
  </si>
  <si>
    <t xml:space="preserve">ORD-00752</t>
  </si>
  <si>
    <t xml:space="preserve">ORD-00753</t>
  </si>
  <si>
    <t xml:space="preserve">ORD-00754</t>
  </si>
  <si>
    <t xml:space="preserve">ORD-00758</t>
  </si>
  <si>
    <t xml:space="preserve">ORD-00755</t>
  </si>
  <si>
    <t xml:space="preserve">ORD-00757</t>
  </si>
  <si>
    <t xml:space="preserve">ORD-00756</t>
  </si>
  <si>
    <t xml:space="preserve">ORD-00759</t>
  </si>
  <si>
    <t xml:space="preserve">ORD-00762</t>
  </si>
  <si>
    <t xml:space="preserve">ORD-00760</t>
  </si>
  <si>
    <t xml:space="preserve">ORD-00761</t>
  </si>
  <si>
    <t xml:space="preserve">ORD-00763</t>
  </si>
  <si>
    <t xml:space="preserve">ORD-00764</t>
  </si>
  <si>
    <t xml:space="preserve">ORD-00765</t>
  </si>
  <si>
    <t xml:space="preserve">ORD-00767</t>
  </si>
  <si>
    <t xml:space="preserve">ORD-00766</t>
  </si>
  <si>
    <t xml:space="preserve">ORD-00769</t>
  </si>
  <si>
    <t xml:space="preserve">ORD-00768</t>
  </si>
  <si>
    <t xml:space="preserve">ORD-00770</t>
  </si>
  <si>
    <t xml:space="preserve">ORD-00772</t>
  </si>
  <si>
    <t xml:space="preserve">ORD-00771</t>
  </si>
  <si>
    <t xml:space="preserve">ORD-00777</t>
  </si>
  <si>
    <t xml:space="preserve">ORD-00775</t>
  </si>
  <si>
    <t xml:space="preserve">ORD-00774</t>
  </si>
  <si>
    <t xml:space="preserve">ORD-00776</t>
  </si>
  <si>
    <t xml:space="preserve">ORD-00780</t>
  </si>
  <si>
    <t xml:space="preserve">ORD-00778</t>
  </si>
  <si>
    <t xml:space="preserve">ORD-00781</t>
  </si>
  <si>
    <t xml:space="preserve">ORD-00779</t>
  </si>
  <si>
    <t xml:space="preserve">ORD-00782</t>
  </si>
  <si>
    <t xml:space="preserve">ORD-00783</t>
  </si>
  <si>
    <t xml:space="preserve">ORD-00784</t>
  </si>
  <si>
    <t xml:space="preserve">ORD-00785</t>
  </si>
  <si>
    <t xml:space="preserve">ORD-00789</t>
  </si>
  <si>
    <t xml:space="preserve">ORD-00786</t>
  </si>
  <si>
    <t xml:space="preserve">ORD-00787</t>
  </si>
  <si>
    <t xml:space="preserve">ORD-00788</t>
  </si>
  <si>
    <t xml:space="preserve">ORD-00791</t>
  </si>
  <si>
    <t xml:space="preserve">ORD-00792</t>
  </si>
  <si>
    <t xml:space="preserve">ORD-00793</t>
  </si>
  <si>
    <t xml:space="preserve">ORD-00790</t>
  </si>
  <si>
    <t xml:space="preserve">ORD-00797</t>
  </si>
  <si>
    <t xml:space="preserve">ORD-00795</t>
  </si>
  <si>
    <t xml:space="preserve">ORD-00796</t>
  </si>
  <si>
    <t xml:space="preserve">ORD-00794</t>
  </si>
  <si>
    <t xml:space="preserve">ORD-00798</t>
  </si>
  <si>
    <t xml:space="preserve">ORD-00799</t>
  </si>
  <si>
    <t xml:space="preserve">ORD-00801</t>
  </si>
  <si>
    <t xml:space="preserve">ORD-00800</t>
  </si>
  <si>
    <t xml:space="preserve">ORD-00802</t>
  </si>
  <si>
    <t xml:space="preserve">ORD-00803</t>
  </si>
  <si>
    <t xml:space="preserve">ORD-00804</t>
  </si>
  <si>
    <t xml:space="preserve">ORD-00808</t>
  </si>
  <si>
    <t xml:space="preserve">ORD-00805</t>
  </si>
  <si>
    <t xml:space="preserve">ORD-00806</t>
  </si>
  <si>
    <t xml:space="preserve">ORD-00807</t>
  </si>
  <si>
    <t xml:space="preserve">ORD-00809</t>
  </si>
  <si>
    <t xml:space="preserve">ORD-00810</t>
  </si>
  <si>
    <t xml:space="preserve">ORD-00811</t>
  </si>
  <si>
    <t xml:space="preserve">ORD-00812</t>
  </si>
  <si>
    <t xml:space="preserve">ORD-00814</t>
  </si>
  <si>
    <t xml:space="preserve">ORD-00815</t>
  </si>
  <si>
    <t xml:space="preserve">ORD-00813</t>
  </si>
  <si>
    <t xml:space="preserve">ORD-00818</t>
  </si>
  <si>
    <t xml:space="preserve">ORD-00816</t>
  </si>
  <si>
    <t xml:space="preserve">ORD-00817</t>
  </si>
  <si>
    <t xml:space="preserve">ORD-00819</t>
  </si>
  <si>
    <t xml:space="preserve">ORD-00820</t>
  </si>
  <si>
    <t xml:space="preserve">ORD-00822</t>
  </si>
  <si>
    <t xml:space="preserve">ORD-00821</t>
  </si>
  <si>
    <t xml:space="preserve">ORD-00823</t>
  </si>
  <si>
    <t xml:space="preserve">ORD-00825</t>
  </si>
  <si>
    <t xml:space="preserve">ORD-00824</t>
  </si>
  <si>
    <t xml:space="preserve">ORD-00826</t>
  </si>
  <si>
    <t xml:space="preserve">ORD-00827</t>
  </si>
  <si>
    <t xml:space="preserve">ORD-00828</t>
  </si>
  <si>
    <t xml:space="preserve">ORD-00829</t>
  </si>
  <si>
    <t xml:space="preserve">ORD-00833</t>
  </si>
  <si>
    <t xml:space="preserve">ORD-00834</t>
  </si>
  <si>
    <t xml:space="preserve">ORD-00832</t>
  </si>
  <si>
    <t xml:space="preserve">ORD-00830</t>
  </si>
  <si>
    <t xml:space="preserve">ORD-00838</t>
  </si>
  <si>
    <t xml:space="preserve">ORD-00835</t>
  </si>
  <si>
    <t xml:space="preserve">ORD-00837</t>
  </si>
  <si>
    <t xml:space="preserve">ORD-00836</t>
  </si>
  <si>
    <t xml:space="preserve">ORD-00841</t>
  </si>
  <si>
    <t xml:space="preserve">ORD-00840</t>
  </si>
  <si>
    <t xml:space="preserve">ORD-00839</t>
  </si>
  <si>
    <t xml:space="preserve">ORD-00845</t>
  </si>
  <si>
    <t xml:space="preserve">ORD-00842</t>
  </si>
  <si>
    <t xml:space="preserve">ORD-00843</t>
  </si>
  <si>
    <t xml:space="preserve">ORD-00844</t>
  </si>
  <si>
    <t xml:space="preserve">ORD-00846</t>
  </si>
  <si>
    <t xml:space="preserve">ORD-00847</t>
  </si>
  <si>
    <t xml:space="preserve">ORD-00848</t>
  </si>
  <si>
    <t xml:space="preserve">ORD-00850</t>
  </si>
  <si>
    <t xml:space="preserve">ORD-00849</t>
  </si>
  <si>
    <t xml:space="preserve">ORD-00852</t>
  </si>
  <si>
    <t xml:space="preserve">ORD-00851</t>
  </si>
  <si>
    <t xml:space="preserve">ORD-00857</t>
  </si>
  <si>
    <t xml:space="preserve">ORD-00856</t>
  </si>
  <si>
    <t xml:space="preserve">ORD-00854</t>
  </si>
  <si>
    <t xml:space="preserve">ORD-00853</t>
  </si>
  <si>
    <t xml:space="preserve">ORD-00855</t>
  </si>
  <si>
    <t xml:space="preserve">ORD-00861</t>
  </si>
  <si>
    <t xml:space="preserve">ORD-00858</t>
  </si>
  <si>
    <t xml:space="preserve">ORD-00859</t>
  </si>
  <si>
    <t xml:space="preserve">ORD-00860</t>
  </si>
  <si>
    <t xml:space="preserve">ORD-00862</t>
  </si>
  <si>
    <t xml:space="preserve">ORD-00868</t>
  </si>
  <si>
    <t xml:space="preserve">ORD-00863</t>
  </si>
  <si>
    <t xml:space="preserve">ORD-00867</t>
  </si>
  <si>
    <t xml:space="preserve">ORD-00864</t>
  </si>
  <si>
    <t xml:space="preserve">ORD-00866</t>
  </si>
  <si>
    <t xml:space="preserve">ORD-00865</t>
  </si>
  <si>
    <t xml:space="preserve">ORD-00870</t>
  </si>
  <si>
    <t xml:space="preserve">ORD-00869</t>
  </si>
  <si>
    <t xml:space="preserve">ORD-00871</t>
  </si>
  <si>
    <t xml:space="preserve">ORD-00872</t>
  </si>
  <si>
    <t xml:space="preserve">ORD-00873</t>
  </si>
  <si>
    <t xml:space="preserve">ORD-00874</t>
  </si>
  <si>
    <t xml:space="preserve">ORD-00875</t>
  </si>
  <si>
    <t xml:space="preserve">ORD-00878</t>
  </si>
  <si>
    <t xml:space="preserve">ORD-00876</t>
  </si>
  <si>
    <t xml:space="preserve">ORD-00881</t>
  </si>
  <si>
    <t xml:space="preserve">ORD-00880</t>
  </si>
  <si>
    <t xml:space="preserve">ORD-00877</t>
  </si>
  <si>
    <t xml:space="preserve">ORD-00879</t>
  </si>
  <si>
    <t xml:space="preserve">ORD-00882</t>
  </si>
  <si>
    <t xml:space="preserve">ORD-00883</t>
  </si>
  <si>
    <t xml:space="preserve">ORD-00884</t>
  </si>
  <si>
    <t xml:space="preserve">ORD-00886</t>
  </si>
  <si>
    <t xml:space="preserve">ORD-00887</t>
  </si>
  <si>
    <t xml:space="preserve">ORD-00885</t>
  </si>
  <si>
    <t xml:space="preserve">ORD-00891</t>
  </si>
  <si>
    <t xml:space="preserve">ORD-00894</t>
  </si>
  <si>
    <t xml:space="preserve">ORD-00890</t>
  </si>
  <si>
    <t xml:space="preserve">ORD-00892</t>
  </si>
  <si>
    <t xml:space="preserve">ORD-00888</t>
  </si>
  <si>
    <t xml:space="preserve">ORD-00889</t>
  </si>
  <si>
    <t xml:space="preserve">ORD-00893</t>
  </si>
  <si>
    <t xml:space="preserve">ORD-00900</t>
  </si>
  <si>
    <t xml:space="preserve">ORD-00899</t>
  </si>
  <si>
    <t xml:space="preserve">ORD-00898</t>
  </si>
  <si>
    <t xml:space="preserve">ORD-00895</t>
  </si>
  <si>
    <t xml:space="preserve">ORD-00897</t>
  </si>
  <si>
    <t xml:space="preserve">ORD-00901</t>
  </si>
  <si>
    <t xml:space="preserve">ORD-00902</t>
  </si>
  <si>
    <t xml:space="preserve">ORD-00906</t>
  </si>
  <si>
    <t xml:space="preserve">ORD-00903</t>
  </si>
  <si>
    <t xml:space="preserve">ORD-00904</t>
  </si>
  <si>
    <t xml:space="preserve">ORD-00907</t>
  </si>
  <si>
    <t xml:space="preserve">ORD-00905</t>
  </si>
  <si>
    <t xml:space="preserve">ORD-00909</t>
  </si>
  <si>
    <t xml:space="preserve">ORD-00908</t>
  </si>
  <si>
    <t xml:space="preserve">ORD-00912</t>
  </si>
  <si>
    <t xml:space="preserve">ORD-00914</t>
  </si>
  <si>
    <t xml:space="preserve">ORD-00910</t>
  </si>
  <si>
    <t xml:space="preserve">ORD-00913</t>
  </si>
  <si>
    <t xml:space="preserve">ORD-00915</t>
  </si>
  <si>
    <t xml:space="preserve">ORD-00911</t>
  </si>
  <si>
    <t xml:space="preserve">ORD-00919</t>
  </si>
  <si>
    <t xml:space="preserve">ORD-00918</t>
  </si>
  <si>
    <t xml:space="preserve">ORD-00916</t>
  </si>
  <si>
    <t xml:space="preserve">ORD-00917</t>
  </si>
  <si>
    <t xml:space="preserve">ORD-00920</t>
  </si>
  <si>
    <t xml:space="preserve">ORD-00923</t>
  </si>
  <si>
    <t xml:space="preserve">ORD-00921</t>
  </si>
  <si>
    <t xml:space="preserve">ORD-00922</t>
  </si>
  <si>
    <t xml:space="preserve">ORD-00925</t>
  </si>
  <si>
    <t xml:space="preserve">ORD-00930</t>
  </si>
  <si>
    <t xml:space="preserve">ORD-00927</t>
  </si>
  <si>
    <t xml:space="preserve">ORD-00929</t>
  </si>
  <si>
    <t xml:space="preserve">ORD-00926</t>
  </si>
  <si>
    <t xml:space="preserve">ORD-00928</t>
  </si>
  <si>
    <t xml:space="preserve">ORD-00931</t>
  </si>
  <si>
    <t xml:space="preserve">ORD-00932</t>
  </si>
  <si>
    <t xml:space="preserve">ORD-00937</t>
  </si>
  <si>
    <t xml:space="preserve">ORD-00933</t>
  </si>
  <si>
    <t xml:space="preserve">ORD-00936</t>
  </si>
  <si>
    <t xml:space="preserve">ORD-00934</t>
  </si>
  <si>
    <t xml:space="preserve">ORD-00938</t>
  </si>
  <si>
    <t xml:space="preserve">ORD-00935</t>
  </si>
  <si>
    <t xml:space="preserve">ORD-00941</t>
  </si>
  <si>
    <t xml:space="preserve">ORD-00940</t>
  </si>
  <si>
    <t xml:space="preserve">ORD-00939</t>
  </si>
  <si>
    <t xml:space="preserve">ORD-00947</t>
  </si>
  <si>
    <t xml:space="preserve">ORD-00946</t>
  </si>
  <si>
    <t xml:space="preserve">ORD-00945</t>
  </si>
  <si>
    <t xml:space="preserve">ORD-00944</t>
  </si>
  <si>
    <t xml:space="preserve">ORD-00942</t>
  </si>
  <si>
    <t xml:space="preserve">ORD-00943</t>
  </si>
  <si>
    <t xml:space="preserve">ORD-00952</t>
  </si>
  <si>
    <t xml:space="preserve">ORD-00948</t>
  </si>
  <si>
    <t xml:space="preserve">ORD-00951</t>
  </si>
  <si>
    <t xml:space="preserve">ORD-00949</t>
  </si>
  <si>
    <t xml:space="preserve">ORD-00953</t>
  </si>
  <si>
    <t xml:space="preserve">ORD-00950</t>
  </si>
  <si>
    <t xml:space="preserve">ORD-00957</t>
  </si>
  <si>
    <t xml:space="preserve">ORD-00958</t>
  </si>
  <si>
    <t xml:space="preserve">ORD-00956</t>
  </si>
  <si>
    <t xml:space="preserve">ORD-00955</t>
  </si>
  <si>
    <t xml:space="preserve">ORD-00954</t>
  </si>
  <si>
    <t xml:space="preserve">ORD-00960</t>
  </si>
  <si>
    <t xml:space="preserve">ORD-00962</t>
  </si>
  <si>
    <t xml:space="preserve">ORD-00961</t>
  </si>
  <si>
    <t xml:space="preserve">ORD-00963</t>
  </si>
  <si>
    <t xml:space="preserve">ORD-00964</t>
  </si>
  <si>
    <t xml:space="preserve">ORD-00966</t>
  </si>
  <si>
    <t xml:space="preserve">ORD-00965</t>
  </si>
  <si>
    <t xml:space="preserve">ORD-00967</t>
  </si>
  <si>
    <t xml:space="preserve">ORD-00968</t>
  </si>
  <si>
    <t xml:space="preserve">ORD-00969</t>
  </si>
  <si>
    <t xml:space="preserve">ORD-00970</t>
  </si>
  <si>
    <t xml:space="preserve">ORD-00974</t>
  </si>
  <si>
    <t xml:space="preserve">ORD-00973</t>
  </si>
  <si>
    <t xml:space="preserve">ORD-00971</t>
  </si>
  <si>
    <t xml:space="preserve">ORD-00972</t>
  </si>
  <si>
    <t xml:space="preserve">ORD-00975</t>
  </si>
  <si>
    <t xml:space="preserve">ORD-00976</t>
  </si>
  <si>
    <t xml:space="preserve">ORD-00980</t>
  </si>
  <si>
    <t xml:space="preserve">ORD-00978</t>
  </si>
  <si>
    <t xml:space="preserve">ORD-00979</t>
  </si>
  <si>
    <t xml:space="preserve">ORD-00977</t>
  </si>
  <si>
    <t xml:space="preserve">ORD-00981</t>
  </si>
  <si>
    <t xml:space="preserve">ORD-00983</t>
  </si>
  <si>
    <t xml:space="preserve">ORD-00982</t>
  </si>
  <si>
    <t xml:space="preserve">ORD-00984</t>
  </si>
  <si>
    <t xml:space="preserve">ORD-00986</t>
  </si>
  <si>
    <t xml:space="preserve">ORD-00988</t>
  </si>
  <si>
    <t xml:space="preserve">ORD-00987</t>
  </si>
  <si>
    <t xml:space="preserve">ORD-00985</t>
  </si>
  <si>
    <t xml:space="preserve">ORD-00989</t>
  </si>
  <si>
    <t xml:space="preserve">ORD-00992</t>
  </si>
  <si>
    <t xml:space="preserve">ORD-00991</t>
  </si>
  <si>
    <t xml:space="preserve">ORD-00993</t>
  </si>
  <si>
    <t xml:space="preserve">ORD-00996</t>
  </si>
  <si>
    <t xml:space="preserve">ORD-00994</t>
  </si>
  <si>
    <t xml:space="preserve">ORD-00990</t>
  </si>
  <si>
    <t xml:space="preserve">ORD-00995</t>
  </si>
  <si>
    <t xml:space="preserve">ORD-00997</t>
  </si>
  <si>
    <t xml:space="preserve">ORD-00998</t>
  </si>
  <si>
    <t xml:space="preserve">ORD-00999</t>
  </si>
  <si>
    <t xml:space="preserve">ORD-01001</t>
  </si>
  <si>
    <t xml:space="preserve">ORD-01000</t>
  </si>
  <si>
    <t xml:space="preserve">ORD-01002</t>
  </si>
  <si>
    <t xml:space="preserve">ORD-01006</t>
  </si>
  <si>
    <t xml:space="preserve">ORD-01003</t>
  </si>
  <si>
    <t xml:space="preserve">ORD-01005</t>
  </si>
  <si>
    <t xml:space="preserve">ORD-01007</t>
  </si>
  <si>
    <t xml:space="preserve">ORD-01004</t>
  </si>
  <si>
    <t xml:space="preserve">ORD-01009</t>
  </si>
  <si>
    <t xml:space="preserve">ORD-01013</t>
  </si>
  <si>
    <t xml:space="preserve">ORD-01011</t>
  </si>
  <si>
    <t xml:space="preserve">ORD-01012</t>
  </si>
  <si>
    <t xml:space="preserve">ORD-01008</t>
  </si>
  <si>
    <t xml:space="preserve">ORD-01010</t>
  </si>
  <si>
    <t xml:space="preserve">ORD-01018</t>
  </si>
  <si>
    <t xml:space="preserve">ORD-01016</t>
  </si>
  <si>
    <t xml:space="preserve">ORD-01014</t>
  </si>
  <si>
    <t xml:space="preserve">ORD-01017</t>
  </si>
  <si>
    <t xml:space="preserve">ORD-01015</t>
  </si>
  <si>
    <t xml:space="preserve">ORD-01020</t>
  </si>
  <si>
    <t xml:space="preserve">ORD-01019</t>
  </si>
  <si>
    <t xml:space="preserve">ORD-01021</t>
  </si>
  <si>
    <t xml:space="preserve">ORD-01023</t>
  </si>
  <si>
    <t xml:space="preserve">ORD-01026</t>
  </si>
  <si>
    <t xml:space="preserve">ORD-01025</t>
  </si>
  <si>
    <t xml:space="preserve">ORD-01024</t>
  </si>
  <si>
    <t xml:space="preserve">ORD-01022</t>
  </si>
  <si>
    <t xml:space="preserve">ORD-01027</t>
  </si>
  <si>
    <t xml:space="preserve">ORD-01028</t>
  </si>
  <si>
    <t xml:space="preserve">ORD-01029</t>
  </si>
  <si>
    <t xml:space="preserve">ORD-01034</t>
  </si>
  <si>
    <t xml:space="preserve">ORD-01030</t>
  </si>
  <si>
    <t xml:space="preserve">ORD-01032</t>
  </si>
  <si>
    <t xml:space="preserve">ORD-01031</t>
  </si>
  <si>
    <t xml:space="preserve">ORD-01033</t>
  </si>
  <si>
    <t xml:space="preserve">ORD-01037</t>
  </si>
  <si>
    <t xml:space="preserve">ORD-01036</t>
  </si>
  <si>
    <t xml:space="preserve">ORD-01038</t>
  </si>
  <si>
    <t xml:space="preserve">ORD-01035</t>
  </si>
  <si>
    <t xml:space="preserve">ORD-01040</t>
  </si>
  <si>
    <t xml:space="preserve">ORD-01039</t>
  </si>
  <si>
    <t xml:space="preserve">ORD-01042</t>
  </si>
  <si>
    <t xml:space="preserve">ORD-01041</t>
  </si>
  <si>
    <t xml:space="preserve">ORD-01044</t>
  </si>
  <si>
    <t xml:space="preserve">ORD-01043</t>
  </si>
  <si>
    <t xml:space="preserve">ORD-01045</t>
  </si>
  <si>
    <t xml:space="preserve">ORD-01046</t>
  </si>
  <si>
    <t xml:space="preserve">ORD-01048</t>
  </si>
  <si>
    <t xml:space="preserve">ORD-01049</t>
  </si>
  <si>
    <t xml:space="preserve">ORD-01047</t>
  </si>
  <si>
    <t xml:space="preserve">ORD-01050</t>
  </si>
  <si>
    <t xml:space="preserve">ORD-01055</t>
  </si>
  <si>
    <t xml:space="preserve">ORD-01054</t>
  </si>
  <si>
    <t xml:space="preserve">ORD-01056</t>
  </si>
  <si>
    <t xml:space="preserve">ORD-01052</t>
  </si>
  <si>
    <t xml:space="preserve">ORD-01051</t>
  </si>
  <si>
    <t xml:space="preserve">ORD-01053</t>
  </si>
  <si>
    <t xml:space="preserve">ORD-01057</t>
  </si>
  <si>
    <t xml:space="preserve">ORD-01061</t>
  </si>
  <si>
    <t xml:space="preserve">ORD-01060</t>
  </si>
  <si>
    <t xml:space="preserve">ORD-01058</t>
  </si>
  <si>
    <t xml:space="preserve">ORD-01059</t>
  </si>
  <si>
    <t xml:space="preserve">ORD-01065</t>
  </si>
  <si>
    <t xml:space="preserve">ORD-01062</t>
  </si>
  <si>
    <t xml:space="preserve">ORD-01066</t>
  </si>
  <si>
    <t xml:space="preserve">ORD-01063</t>
  </si>
  <si>
    <t xml:space="preserve">ORD-01067</t>
  </si>
  <si>
    <t xml:space="preserve">ORD-01064</t>
  </si>
  <si>
    <t xml:space="preserve">ORD-01069</t>
  </si>
  <si>
    <t xml:space="preserve">ORD-01068</t>
  </si>
  <si>
    <t xml:space="preserve">ORD-01070</t>
  </si>
  <si>
    <t xml:space="preserve">ORD-01071</t>
  </si>
  <si>
    <t xml:space="preserve">ORD-01073</t>
  </si>
  <si>
    <t xml:space="preserve">ORD-01074</t>
  </si>
  <si>
    <t xml:space="preserve">ORD-01072</t>
  </si>
  <si>
    <t xml:space="preserve">ORD-01075</t>
  </si>
  <si>
    <t xml:space="preserve">ORD-01082</t>
  </si>
  <si>
    <t xml:space="preserve">ORD-01077</t>
  </si>
  <si>
    <t xml:space="preserve">ORD-01076</t>
  </si>
  <si>
    <t xml:space="preserve">ORD-01081</t>
  </si>
  <si>
    <t xml:space="preserve">ORD-01079</t>
  </si>
  <si>
    <t xml:space="preserve">ORD-01083</t>
  </si>
  <si>
    <t xml:space="preserve">ORD-01078</t>
  </si>
  <si>
    <t xml:space="preserve">ORD-01080</t>
  </si>
  <si>
    <t xml:space="preserve">ORD-01087</t>
  </si>
  <si>
    <t xml:space="preserve">ORD-01085</t>
  </si>
  <si>
    <t xml:space="preserve">ORD-01084</t>
  </si>
  <si>
    <t xml:space="preserve">ORD-01086</t>
  </si>
  <si>
    <t xml:space="preserve">ORD-01091</t>
  </si>
  <si>
    <t xml:space="preserve">ORD-01088</t>
  </si>
  <si>
    <t xml:space="preserve">ORD-01089</t>
  </si>
  <si>
    <t xml:space="preserve">ORD-01090</t>
  </si>
  <si>
    <t xml:space="preserve">ORD-01092</t>
  </si>
  <si>
    <t xml:space="preserve">ORD-01093</t>
  </si>
  <si>
    <t xml:space="preserve">ORD-01095</t>
  </si>
  <si>
    <t xml:space="preserve">ORD-01094</t>
  </si>
  <si>
    <t xml:space="preserve">ORD-01096</t>
  </si>
  <si>
    <t xml:space="preserve">ORD-01097</t>
  </si>
  <si>
    <t xml:space="preserve">ORD-01099</t>
  </si>
  <si>
    <t xml:space="preserve">ORD-01098</t>
  </si>
  <si>
    <t xml:space="preserve">ORD-01107</t>
  </si>
  <si>
    <t xml:space="preserve">ORD-01100</t>
  </si>
  <si>
    <t xml:space="preserve">ORD-01108</t>
  </si>
  <si>
    <t xml:space="preserve">ORD-01105</t>
  </si>
  <si>
    <t xml:space="preserve">ORD-01103</t>
  </si>
  <si>
    <t xml:space="preserve">ORD-01106</t>
  </si>
  <si>
    <t xml:space="preserve">ORD-01104</t>
  </si>
  <si>
    <t xml:space="preserve">ORD-01101</t>
  </si>
  <si>
    <t xml:space="preserve">ORD-01102</t>
  </si>
  <si>
    <t xml:space="preserve">ORD-01110</t>
  </si>
  <si>
    <t xml:space="preserve">ORD-01109</t>
  </si>
  <si>
    <t xml:space="preserve">ORD-01113</t>
  </si>
  <si>
    <t xml:space="preserve">ORD-01112</t>
  </si>
  <si>
    <t xml:space="preserve">ORD-01123</t>
  </si>
  <si>
    <t xml:space="preserve">ORD-01116</t>
  </si>
  <si>
    <t xml:space="preserve">ORD-01117</t>
  </si>
  <si>
    <t xml:space="preserve">ORD-01118</t>
  </si>
  <si>
    <t xml:space="preserve">ORD-01115</t>
  </si>
  <si>
    <t xml:space="preserve">ORD-01121</t>
  </si>
  <si>
    <t xml:space="preserve">ORD-01119</t>
  </si>
  <si>
    <t xml:space="preserve">ORD-01120</t>
  </si>
  <si>
    <t xml:space="preserve">ORD-01114</t>
  </si>
  <si>
    <t xml:space="preserve">ORD-01122</t>
  </si>
  <si>
    <t xml:space="preserve">ORD-01124</t>
  </si>
  <si>
    <t xml:space="preserve">ORD-01125</t>
  </si>
  <si>
    <t xml:space="preserve">ORD-01126</t>
  </si>
  <si>
    <t xml:space="preserve">ORD-01127</t>
  </si>
  <si>
    <t xml:space="preserve">ORD-01128</t>
  </si>
  <si>
    <t xml:space="preserve">ORD-01129</t>
  </si>
  <si>
    <t xml:space="preserve">ORD-01130</t>
  </si>
  <si>
    <t xml:space="preserve">ORD-01131</t>
  </si>
  <si>
    <t xml:space="preserve">ORD-01133</t>
  </si>
  <si>
    <t xml:space="preserve">ORD-01134</t>
  </si>
  <si>
    <t xml:space="preserve">ORD-01132</t>
  </si>
  <si>
    <t xml:space="preserve">ORD-01135</t>
  </si>
  <si>
    <t xml:space="preserve">ORD-01137</t>
  </si>
  <si>
    <t xml:space="preserve">ORD-01138</t>
  </si>
  <si>
    <t xml:space="preserve">ORD-01139</t>
  </si>
  <si>
    <t xml:space="preserve">ORD-01140</t>
  </si>
  <si>
    <t xml:space="preserve">ORD-01141</t>
  </si>
  <si>
    <t xml:space="preserve">ORD-01142</t>
  </si>
  <si>
    <t xml:space="preserve">ORD-01143</t>
  </si>
  <si>
    <t xml:space="preserve">ORD-01145</t>
  </si>
  <si>
    <t xml:space="preserve">ORD-01144</t>
  </si>
  <si>
    <t xml:space="preserve">ORD-01149</t>
  </si>
  <si>
    <t xml:space="preserve">ORD-01148</t>
  </si>
  <si>
    <t xml:space="preserve">ORD-01147</t>
  </si>
  <si>
    <t xml:space="preserve">ORD-01150</t>
  </si>
  <si>
    <t xml:space="preserve">ORD-01146</t>
  </si>
  <si>
    <t xml:space="preserve">سجل تنظيف ومعالجة البيانات</t>
  </si>
  <si>
    <t xml:space="preserve">توثيق كامل لخطوات تحويل البيانات من حالتها الخام إلى نسخة نظيفة جاهزة للتحليل</t>
  </si>
  <si>
    <t xml:space="preserve">ملخص عام</t>
  </si>
  <si>
    <t xml:space="preserve">عدد صفوف البيانات الخام</t>
  </si>
  <si>
    <t xml:space="preserve">عدد صفوف البيانات بعد التنظيف</t>
  </si>
  <si>
    <t xml:space="preserve">عدد الصفوف التي تم استبعادها/دمجها أثناء التنظيف</t>
  </si>
  <si>
    <t xml:space="preserve">نسبة البيانات المحتفظ بها من الأصل</t>
  </si>
  <si>
    <t xml:space="preserve">جدول خطوات التنظيف التفصيلي</t>
  </si>
  <si>
    <t xml:space="preserve">#</t>
  </si>
  <si>
    <t xml:space="preserve">مشكلة البيانات المكتشفة</t>
  </si>
  <si>
    <t xml:space="preserve">العدد (معادلة حية على البيانات الخام)</t>
  </si>
  <si>
    <t xml:space="preserve">الإجراء الذي تم تنفيذه أثناء التنظيف</t>
  </si>
  <si>
    <t xml:space="preserve">طلبات مكررة بالكامل (نفس رقم الطلب أُدخل أكثر من مرة)</t>
  </si>
  <si>
    <t xml:space="preserve">تم حذف التكرار والاحتفاظ بأول ظهور للطلب فقط (Order ID).</t>
  </si>
  <si>
    <t xml:space="preserve">تواريخ مخزّنة كنص أو بصيغ غير موحدة (DD/MM/YYYY, YYYY-MM-DD, DD-MM-YYYY)</t>
  </si>
  <si>
    <t xml:space="preserve">تم تحويل جميع صيغ التاريخ النصية إلى تاريخ Excel رقمي موحّد. من ضمنها 5 صفوف كانت بتواريخ غير صالحة فعليًا (مثل 31/02/2024) تعذّر تصحيحها فتم استبعادها بالكامل.</t>
  </si>
  <si>
    <t xml:space="preserve">كمية غير منطقية (صفر أو قيمة سالبة)</t>
  </si>
  <si>
    <t xml:space="preserve">خطأ إدخال حرج لا يمكن تصحيحه بثقة (لا يمكن معرفة الكمية الصحيحة المقصودة) → تم حذف هذه الصفوف بالكامل.</t>
  </si>
  <si>
    <t xml:space="preserve">أسعار وحدة شاذة (أعلى من 3 أضعاف متوسط سعر الفئة نفسها)</t>
  </si>
  <si>
    <t xml:space="preserve">غالبًا خطأ إدخال 'صفر إضافي' (Fat-finger) → تم تصحيح القيمة بقسمتها على 10 بعد مطابقتها مع نطاق أسعار الفئة.</t>
  </si>
  <si>
    <t xml:space="preserve">نسبة خصم غير منطقية (خارج المدى المسموح 0% - 100%)</t>
  </si>
  <si>
    <t xml:space="preserve">تعذّر التأكد من النسبة الصحيحة المقصودة → تمت إعادة ضبطها إلى 0% (بدون خصم) ريثما تأكيد لاحق من الفرع.</t>
  </si>
  <si>
    <t xml:space="preserve">قيم مفقودة في عمود الكمية</t>
  </si>
  <si>
    <t xml:space="preserve">تمت التعبئة بالوسيط (Median) لكمية نفس الفئة، وهي طريقة تقلل أثر القيم المتطرفة مقارنة بالمتوسط الحسابي.</t>
  </si>
  <si>
    <t xml:space="preserve">قيم مفقودة في عمود نسبة الخصم</t>
  </si>
  <si>
    <t xml:space="preserve">تمت التعبئة بـ 0% على افتراض عدم منح خصم عند عدم تسجيله صراحة.</t>
  </si>
  <si>
    <t xml:space="preserve">قيم مفقودة في عمود طريقة الدفع</t>
  </si>
  <si>
    <t xml:space="preserve">تمت التعبئة بالقيمة الأكثر شيوعًا (المنوال) في البيانات: "بطاقة ائتمان".</t>
  </si>
  <si>
    <t xml:space="preserve">قيم مفقودة في عمود نوع العميل</t>
  </si>
  <si>
    <t xml:space="preserve">تمت التعبئة بالقيمة الأكثر شيوعًا (المنوال): "فرد".</t>
  </si>
  <si>
    <t xml:space="preserve">قيم مفقودة في عمود الفرع</t>
  </si>
  <si>
    <t xml:space="preserve">الفرع بُعد أساسي لا يمكن تخمينه بثقة من بقية الأعمدة → تم حذف هذه الصفوف بالكامل.</t>
  </si>
  <si>
    <t xml:space="preserve">عدم اتساق نصي في أسماء الفروع وطرق الدفع (مسافات زائدة، اختلاف إملائي، مسميات إنجليزية)</t>
  </si>
  <si>
    <t xml:space="preserve">تم توحيد جميع الاختلافات إلى تسمية قياسية واحدة لكل فرع وطريقة دفع (مثال: "جده"/"Jeddah"/" جدة " ← "جدة"), وإزالة المسافات الزائدة من كل الحقول النصية.</t>
  </si>
  <si>
    <t xml:space="preserve">ملاحظة منهجية: يظهر عمود 'العدد' نتيجة معادلات حية مرتبطة مباشرة بشيت 'Raw_Data' (وليست أرقامًا ثابتة)، بحيث لو تغيّرت بيانات المصدر الخام ستتحدث هذه الأعداد تلقائيًا. عملية التصحيح والدمج والحذف نفّذت مرة واحدة والنتيجة النهائية موثّقة في شيت 'Clean_Data'.</t>
  </si>
  <si>
    <t xml:space="preserve">الرقم التسلسلي</t>
  </si>
  <si>
    <t xml:space="preserve">متوسط سعر الفئة</t>
  </si>
  <si>
    <t xml:space="preserve">سعر شاذ؟</t>
  </si>
  <si>
    <t xml:space="preserve">تاريخ نصي؟</t>
  </si>
  <si>
    <t xml:space="preserve">تكرار؟</t>
  </si>
  <si>
    <t xml:space="preserve">به قيمة مفقودة؟</t>
  </si>
  <si>
    <t xml:space="preserve">ملاحظة: هذا الشيت يمثل البيانات كما وردت من نظام نقاط البيع دون أي تعديل، وتحتوي عمدًا على قيم مفقودة وتكرارات وأخطاء إدخال وتنسيقات تاريخ غير موحدة لغرض تنفيذ خطوات التنظيف الموثقة في شيت 'Cleaning_Log'. الأعمدة M إلى Q معادلات حية تكتشف المشاكل تلقائيًا.</t>
  </si>
  <si>
    <t xml:space="preserve">بطاقة ائتمان </t>
  </si>
  <si>
    <t xml:space="preserve">15-09-2024</t>
  </si>
  <si>
    <t xml:space="preserve">مكه المكرمة</t>
  </si>
  <si>
    <t xml:space="preserve"> الرياض</t>
  </si>
  <si>
    <t xml:space="preserve">18/11/2024</t>
  </si>
  <si>
    <t xml:space="preserve">25/08/2024</t>
  </si>
  <si>
    <t xml:space="preserve">  جوال أوركا الجديد  </t>
  </si>
  <si>
    <t xml:space="preserve">29-09-2024</t>
  </si>
  <si>
    <t xml:space="preserve">Card</t>
  </si>
  <si>
    <t xml:space="preserve">ORD-00650</t>
  </si>
  <si>
    <t xml:space="preserve">ORD-00072</t>
  </si>
  <si>
    <t xml:space="preserve">27-01-2024</t>
  </si>
  <si>
    <t xml:space="preserve">  سماعة رياضية مقاومة للماء  </t>
  </si>
  <si>
    <t xml:space="preserve">بطاقة</t>
  </si>
  <si>
    <t xml:space="preserve">ORD-01111</t>
  </si>
  <si>
    <t xml:space="preserve">2024-10-17</t>
  </si>
  <si>
    <t xml:space="preserve">ORD-00164</t>
  </si>
  <si>
    <t xml:space="preserve">Cash</t>
  </si>
  <si>
    <t xml:space="preserve">Riyadh</t>
  </si>
  <si>
    <t xml:space="preserve">ORD-00632</t>
  </si>
  <si>
    <t xml:space="preserve">2024-11-09</t>
  </si>
  <si>
    <t xml:space="preserve">2024-11-01</t>
  </si>
  <si>
    <t xml:space="preserve">11-12-2024</t>
  </si>
  <si>
    <t xml:space="preserve">ORD-00568</t>
  </si>
  <si>
    <t xml:space="preserve">06/08/2024</t>
  </si>
  <si>
    <t xml:space="preserve">نقدى</t>
  </si>
  <si>
    <t xml:space="preserve">جدة </t>
  </si>
  <si>
    <t xml:space="preserve">2024-04-23</t>
  </si>
  <si>
    <t xml:space="preserve">  سماعة بلوتوث نوفا  </t>
  </si>
  <si>
    <t xml:space="preserve">  جوال نوفا لايت  </t>
  </si>
  <si>
    <t xml:space="preserve">المدينة</t>
  </si>
  <si>
    <t xml:space="preserve">  كفر حماية بريميوم  </t>
  </si>
  <si>
    <t xml:space="preserve">ORD-00773</t>
  </si>
  <si>
    <t xml:space="preserve">ORD-00411</t>
  </si>
  <si>
    <t xml:space="preserve">30/02/2024</t>
  </si>
  <si>
    <t xml:space="preserve">مكة</t>
  </si>
  <si>
    <t xml:space="preserve">05/12/2024</t>
  </si>
  <si>
    <t xml:space="preserve"> جدة</t>
  </si>
  <si>
    <t xml:space="preserve">2024-11-14</t>
  </si>
  <si>
    <t xml:space="preserve">07/04/2024</t>
  </si>
  <si>
    <t xml:space="preserve">2024-04-05</t>
  </si>
  <si>
    <t xml:space="preserve"> نقدي</t>
  </si>
  <si>
    <t xml:space="preserve">ORD-00653</t>
  </si>
  <si>
    <t xml:space="preserve">17-07-2024</t>
  </si>
  <si>
    <t xml:space="preserve">18-11-2024</t>
  </si>
  <si>
    <t xml:space="preserve">08-11-2024</t>
  </si>
  <si>
    <t xml:space="preserve">17/08/2024</t>
  </si>
  <si>
    <t xml:space="preserve">10-05-2024</t>
  </si>
  <si>
    <t xml:space="preserve">ORD-00225</t>
  </si>
  <si>
    <t xml:space="preserve">ORD-00309</t>
  </si>
  <si>
    <t xml:space="preserve">ORD-00924</t>
  </si>
  <si>
    <t xml:space="preserve">  مكبر صوت منزلي ذكي  </t>
  </si>
  <si>
    <t xml:space="preserve">09/04/2024</t>
  </si>
  <si>
    <t xml:space="preserve">ORD-00831</t>
  </si>
  <si>
    <t xml:space="preserve">01/08/2024</t>
  </si>
  <si>
    <t xml:space="preserve">الرياض </t>
  </si>
  <si>
    <t xml:space="preserve">2024-10-04</t>
  </si>
  <si>
    <t xml:space="preserve">ORD-00574</t>
  </si>
  <si>
    <t xml:space="preserve">ORD-00238</t>
  </si>
  <si>
    <t xml:space="preserve">2024-11-26</t>
  </si>
  <si>
    <t xml:space="preserve">ORD-00368</t>
  </si>
  <si>
    <t xml:space="preserve">31/04/2024</t>
  </si>
  <si>
    <t xml:space="preserve">الدمام </t>
  </si>
  <si>
    <t xml:space="preserve">جده</t>
  </si>
  <si>
    <t xml:space="preserve">  حامل جوال للسيارة  </t>
  </si>
  <si>
    <t xml:space="preserve">23/06/2024</t>
  </si>
  <si>
    <t xml:space="preserve">26/11/2024</t>
  </si>
  <si>
    <t xml:space="preserve">11/03/2024</t>
  </si>
  <si>
    <t xml:space="preserve">ORD-00138</t>
  </si>
  <si>
    <t xml:space="preserve">00/13/2024</t>
  </si>
  <si>
    <t xml:space="preserve">المدينه المنورة</t>
  </si>
  <si>
    <t xml:space="preserve">07-04-2024</t>
  </si>
  <si>
    <t xml:space="preserve">  لابتوب نوفا بوك 14  </t>
  </si>
  <si>
    <t xml:space="preserve">11/12/2024</t>
  </si>
  <si>
    <t xml:space="preserve">07-07-2024</t>
  </si>
  <si>
    <t xml:space="preserve">19-05-2024</t>
  </si>
  <si>
    <t xml:space="preserve">2024-08-23</t>
  </si>
  <si>
    <t xml:space="preserve">27-07-2024</t>
  </si>
  <si>
    <t xml:space="preserve">01-12-2024</t>
  </si>
  <si>
    <t xml:space="preserve">03/10/2024</t>
  </si>
  <si>
    <t xml:space="preserve">ORD-00725</t>
  </si>
  <si>
    <t xml:space="preserve">01/12/2024</t>
  </si>
  <si>
    <t xml:space="preserve">ORD-00534</t>
  </si>
  <si>
    <t xml:space="preserve">23-01-2024</t>
  </si>
  <si>
    <t xml:space="preserve">2024-03-27</t>
  </si>
  <si>
    <t xml:space="preserve">06-12-2024</t>
  </si>
  <si>
    <t xml:space="preserve">14-06-2024</t>
  </si>
  <si>
    <t xml:space="preserve">2024-06-30</t>
  </si>
  <si>
    <t xml:space="preserve">31/03/2024</t>
  </si>
  <si>
    <t xml:space="preserve">ORD-00213</t>
  </si>
  <si>
    <t xml:space="preserve">ORD-00959</t>
  </si>
  <si>
    <t xml:space="preserve">31/02/2024</t>
  </si>
  <si>
    <t xml:space="preserve">2024-05-07</t>
  </si>
  <si>
    <t xml:space="preserve">2024-05-18</t>
  </si>
  <si>
    <t xml:space="preserve">  جوال بولسار ميني  </t>
  </si>
  <si>
    <t xml:space="preserve">07-03-2024</t>
  </si>
  <si>
    <t xml:space="preserve">2024-01-26</t>
  </si>
  <si>
    <t xml:space="preserve">15/08/2024</t>
  </si>
  <si>
    <t xml:space="preserve">2024-11-03</t>
  </si>
  <si>
    <t xml:space="preserve">2024-06-28</t>
  </si>
  <si>
    <t xml:space="preserve">22/10/2024</t>
  </si>
  <si>
    <t xml:space="preserve">26/06/2024</t>
  </si>
  <si>
    <t xml:space="preserve">15/11/2024</t>
  </si>
  <si>
    <t xml:space="preserve">ORD-00588</t>
  </si>
  <si>
    <t xml:space="preserve">2024-13-01</t>
  </si>
  <si>
    <t xml:space="preserve">2024-03-25</t>
  </si>
  <si>
    <t xml:space="preserve">08/11/2024</t>
  </si>
  <si>
    <t xml:space="preserve">  مكبر صوت محمول  </t>
  </si>
  <si>
    <t xml:space="preserve">2024-04-02</t>
  </si>
  <si>
    <t xml:space="preserve">2024-12-05</t>
  </si>
  <si>
    <t xml:space="preserve">2024-01-22</t>
  </si>
  <si>
    <t xml:space="preserve">  شاحن سريع 65 واط  </t>
  </si>
  <si>
    <t xml:space="preserve">21-05-2024</t>
  </si>
  <si>
    <t xml:space="preserve">22/12/2024</t>
  </si>
  <si>
    <t xml:space="preserve">24/10/2024</t>
  </si>
  <si>
    <t xml:space="preserve">دمام</t>
  </si>
  <si>
    <t xml:space="preserve">2024-03-06</t>
  </si>
  <si>
    <t xml:space="preserve">23-07-2024</t>
  </si>
  <si>
    <t xml:space="preserve">02/05/2024</t>
  </si>
  <si>
    <t xml:space="preserve">24/09/2024</t>
  </si>
  <si>
    <t xml:space="preserve">2024-03-22</t>
  </si>
  <si>
    <t xml:space="preserve">  كابل شحن Type-C  </t>
  </si>
  <si>
    <t xml:space="preserve">09-03-2024</t>
  </si>
  <si>
    <t xml:space="preserve">Jeddah</t>
  </si>
  <si>
    <t xml:space="preserve">15-03-2024</t>
  </si>
  <si>
    <t xml:space="preserve">30/10/2024</t>
  </si>
  <si>
    <t xml:space="preserve">  باور بانك 20000  </t>
  </si>
  <si>
    <t xml:space="preserve">26/09/2024</t>
  </si>
  <si>
    <t xml:space="preserve">13-05-2024</t>
  </si>
  <si>
    <t xml:space="preserve">03/04/2024</t>
  </si>
  <si>
    <t xml:space="preserve">17-01-2024</t>
  </si>
  <si>
    <t xml:space="preserve">2024-05-08</t>
  </si>
  <si>
    <t xml:space="preserve">2024-09-23</t>
  </si>
  <si>
    <t xml:space="preserve">27/02/2024</t>
  </si>
  <si>
    <t xml:space="preserve">2024-10-08</t>
  </si>
  <si>
    <t xml:space="preserve">12-07-2024</t>
  </si>
  <si>
    <t xml:space="preserve">ORD-00686</t>
  </si>
  <si>
    <t xml:space="preserve">2024-04-26</t>
  </si>
  <si>
    <t xml:space="preserve">13-03-2024</t>
  </si>
  <si>
    <t xml:space="preserve">2024-02-13</t>
  </si>
  <si>
    <t xml:space="preserve">2024-03-13</t>
  </si>
  <si>
    <t xml:space="preserve">2024-07-15</t>
  </si>
  <si>
    <t xml:space="preserve">2024-01-10</t>
  </si>
  <si>
    <t xml:space="preserve">09/09/2024</t>
  </si>
  <si>
    <t xml:space="preserve">22-08-2024</t>
  </si>
  <si>
    <t xml:space="preserve">04-11-2024</t>
  </si>
  <si>
    <t xml:space="preserve">ORD-00896</t>
  </si>
  <si>
    <t xml:space="preserve">04/11/2024</t>
  </si>
  <si>
    <t xml:space="preserve">15-02-2024</t>
  </si>
  <si>
    <t xml:space="preserve">ORD-00054</t>
  </si>
  <si>
    <t xml:space="preserve">ORD-00659</t>
  </si>
  <si>
    <t xml:space="preserve">15/12/2024</t>
  </si>
  <si>
    <t xml:space="preserve">كاش</t>
  </si>
  <si>
    <t xml:space="preserve">2024-09-18</t>
  </si>
  <si>
    <t xml:space="preserve">ORD-01136</t>
  </si>
  <si>
    <t xml:space="preserve">15-12-2024</t>
  </si>
  <si>
    <t xml:space="preserve">12/08/2024</t>
  </si>
  <si>
    <t xml:space="preserve">09-08-2024</t>
  </si>
  <si>
    <t xml:space="preserve">13-07-2024</t>
  </si>
  <si>
    <t xml:space="preserve">2024-09-07</t>
  </si>
  <si>
    <t xml:space="preserve">15-05-2024</t>
  </si>
  <si>
    <t xml:space="preserve">24/11/2024</t>
  </si>
  <si>
    <t xml:space="preserve">18-12-2024</t>
  </si>
  <si>
    <t xml:space="preserve">2024-07-21</t>
  </si>
  <si>
    <t xml:space="preserve">21/09/2024</t>
  </si>
  <si>
    <t xml:space="preserve">ORD-00563</t>
  </si>
  <si>
    <t xml:space="preserve">03-07-2024</t>
  </si>
  <si>
    <t xml:space="preserve">ORD-00344</t>
  </si>
  <si>
    <t xml:space="preserve">05/05/2024</t>
  </si>
  <si>
    <t xml:space="preserve">ORD-00331</t>
  </si>
  <si>
    <t xml:space="preserve">رقم اليوم</t>
  </si>
  <si>
    <t xml:space="preserve">المنطقة (فريدة)</t>
  </si>
  <si>
    <t xml:space="preserve">فلتر_المنطقة</t>
  </si>
  <si>
    <t xml:space="preserve">فلتر_الفئة</t>
  </si>
  <si>
    <t xml:space="preserve">المنطقة الوسطى</t>
  </si>
  <si>
    <t xml:space="preserve">الإثنين</t>
  </si>
  <si>
    <t xml:space="preserve">المنطقة الغربية</t>
  </si>
  <si>
    <t xml:space="preserve">الثلاثاء</t>
  </si>
  <si>
    <t xml:space="preserve">المنطقة الشرقية</t>
  </si>
  <si>
    <t xml:space="preserve">الأربعاء</t>
  </si>
  <si>
    <t xml:space="preserve">الخميس</t>
  </si>
  <si>
    <t xml:space="preserve">الجمعة</t>
  </si>
  <si>
    <t xml:space="preserve">السبت</t>
  </si>
  <si>
    <t xml:space="preserve">الأحد</t>
  </si>
</sst>
</file>

<file path=xl/styles.xml><?xml version="1.0" encoding="utf-8"?>
<styleSheet xmlns="http://schemas.openxmlformats.org/spreadsheetml/2006/main">
  <numFmts count="7">
    <numFmt numFmtId="164" formatCode="General"/>
    <numFmt numFmtId="165" formatCode="#,##0&quot; ر.س&quot;"/>
    <numFmt numFmtId="166" formatCode="#,##0"/>
    <numFmt numFmtId="167" formatCode="#,##0.00&quot; ر.س&quot;"/>
    <numFmt numFmtId="168" formatCode="0.0%"/>
    <numFmt numFmtId="169" formatCode="General"/>
    <numFmt numFmtId="170" formatCode="yyyy\-mm\-dd"/>
  </numFmts>
  <fonts count="21">
    <font>
      <sz val="11"/>
      <color theme="1"/>
      <name val="Calibri"/>
      <family val="2"/>
      <charset val="1"/>
    </font>
    <font>
      <sz val="10"/>
      <name val="Arial"/>
      <family val="0"/>
    </font>
    <font>
      <sz val="10"/>
      <name val="Arial"/>
      <family val="0"/>
    </font>
    <font>
      <sz val="10"/>
      <name val="Arial"/>
      <family val="0"/>
    </font>
    <font>
      <b val="true"/>
      <sz val="24"/>
      <color rgb="FFFFFFFF"/>
      <name val="Arial"/>
      <family val="0"/>
      <charset val="1"/>
    </font>
    <font>
      <i val="true"/>
      <sz val="11"/>
      <color rgb="FFFFFFFF"/>
      <name val="Arial"/>
      <family val="0"/>
      <charset val="1"/>
    </font>
    <font>
      <b val="true"/>
      <sz val="14"/>
      <color rgb="FFFFFFFF"/>
      <name val="Arial"/>
      <family val="0"/>
      <charset val="1"/>
    </font>
    <font>
      <sz val="10.5"/>
      <color rgb="FF000000"/>
      <name val="Arial"/>
      <family val="0"/>
      <charset val="1"/>
    </font>
    <font>
      <b val="true"/>
      <sz val="10.5"/>
      <color rgb="FFFFFFFF"/>
      <name val="Arial"/>
      <family val="0"/>
      <charset val="1"/>
    </font>
    <font>
      <b val="true"/>
      <sz val="10.5"/>
      <color rgb="FF000000"/>
      <name val="Arial"/>
      <family val="0"/>
      <charset val="1"/>
    </font>
    <font>
      <b val="true"/>
      <sz val="20"/>
      <color rgb="FFFFFFFF"/>
      <name val="Arial"/>
      <family val="0"/>
      <charset val="1"/>
    </font>
    <font>
      <b val="true"/>
      <sz val="12"/>
      <color rgb="FF1F3864"/>
      <name val="Arial"/>
      <family val="0"/>
      <charset val="1"/>
    </font>
    <font>
      <b val="true"/>
      <sz val="13"/>
      <color rgb="FF1F3864"/>
      <name val="Arial"/>
      <family val="0"/>
      <charset val="1"/>
    </font>
    <font>
      <i val="true"/>
      <sz val="9.5"/>
      <color rgb="FF595959"/>
      <name val="Arial"/>
      <family val="0"/>
      <charset val="1"/>
    </font>
    <font>
      <b val="true"/>
      <sz val="18"/>
      <color rgb="FFFFFFFF"/>
      <name val="Arial"/>
      <family val="0"/>
      <charset val="1"/>
    </font>
    <font>
      <b val="true"/>
      <sz val="18"/>
      <color rgb="FF000000"/>
      <name val="FreeSans"/>
      <family val="2"/>
    </font>
    <font>
      <b val="true"/>
      <sz val="18"/>
      <color rgb="FF000000"/>
      <name val="Calibri"/>
      <family val="2"/>
    </font>
    <font>
      <sz val="10"/>
      <color rgb="FF000000"/>
      <name val="Calibri"/>
      <family val="2"/>
    </font>
    <font>
      <b val="true"/>
      <sz val="10"/>
      <color rgb="FF000000"/>
      <name val="FreeSans"/>
      <family val="2"/>
    </font>
    <font>
      <b val="true"/>
      <sz val="10"/>
      <color rgb="FF000000"/>
      <name val="Calibri"/>
      <family val="2"/>
    </font>
    <font>
      <sz val="11"/>
      <color theme="1"/>
      <name val="FreeSans"/>
      <family val="2"/>
    </font>
  </fonts>
  <fills count="7">
    <fill>
      <patternFill patternType="none"/>
    </fill>
    <fill>
      <patternFill patternType="gray125"/>
    </fill>
    <fill>
      <patternFill patternType="solid">
        <fgColor rgb="FF1F3864"/>
        <bgColor rgb="FF333399"/>
      </patternFill>
    </fill>
    <fill>
      <patternFill patternType="solid">
        <fgColor rgb="FF0F6E6A"/>
        <bgColor rgb="FF2E7D32"/>
      </patternFill>
    </fill>
    <fill>
      <patternFill patternType="solid">
        <fgColor rgb="FFC9971F"/>
        <bgColor rgb="FF9BBB59"/>
      </patternFill>
    </fill>
    <fill>
      <patternFill patternType="solid">
        <fgColor rgb="FFDCEEEE"/>
        <bgColor rgb="FFF2F2F2"/>
      </patternFill>
    </fill>
    <fill>
      <patternFill patternType="solid">
        <fgColor rgb="FFF2F2F2"/>
        <bgColor rgb="FFF9F9F9"/>
      </patternFill>
    </fill>
  </fills>
  <borders count="3">
    <border diagonalUp="false" diagonalDown="false">
      <left/>
      <right/>
      <top/>
      <bottom/>
      <diagonal/>
    </border>
    <border diagonalUp="false" diagonalDown="false">
      <left style="medium">
        <color rgb="FF1F3864"/>
      </left>
      <right/>
      <top style="medium">
        <color rgb="FF1F3864"/>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right" vertical="center" textRotation="0" wrapText="false" indent="1" shrinkToFit="false"/>
      <protection locked="true" hidden="false"/>
    </xf>
    <xf numFmtId="164" fontId="7" fillId="0" borderId="0" xfId="0" applyFont="true" applyBorder="true" applyAlignment="true" applyProtection="false">
      <alignment horizontal="right" vertical="top" textRotation="0" wrapText="true" indent="1"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5"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right" vertical="center" textRotation="0" wrapText="true" indent="1"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11" fillId="5" borderId="0"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5" fontId="14" fillId="2" borderId="2" xfId="0" applyFont="true" applyBorder="true" applyAlignment="true" applyProtection="false">
      <alignment horizontal="center" vertical="center" textRotation="0" wrapText="true" indent="0" shrinkToFit="false"/>
      <protection locked="true" hidden="false"/>
    </xf>
    <xf numFmtId="166" fontId="14" fillId="2" borderId="2" xfId="0" applyFont="true" applyBorder="true" applyAlignment="true" applyProtection="false">
      <alignment horizontal="center" vertical="center" textRotation="0" wrapText="true" indent="0" shrinkToFit="false"/>
      <protection locked="true" hidden="false"/>
    </xf>
    <xf numFmtId="167" fontId="14" fillId="2" borderId="2" xfId="0" applyFont="true" applyBorder="true" applyAlignment="true" applyProtection="false">
      <alignment horizontal="center" vertical="center" textRotation="0" wrapText="true" indent="0" shrinkToFit="false"/>
      <protection locked="true" hidden="false"/>
    </xf>
    <xf numFmtId="168" fontId="14" fillId="2"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5" fontId="9" fillId="0" borderId="2" xfId="0" applyFont="true" applyBorder="true" applyAlignment="true" applyProtection="false">
      <alignment horizontal="center" vertical="center" textRotation="0" wrapText="true" indent="0" shrinkToFit="false"/>
      <protection locked="true" hidden="false"/>
    </xf>
    <xf numFmtId="166" fontId="9" fillId="0" borderId="2" xfId="0" applyFont="true" applyBorder="true" applyAlignment="true" applyProtection="false">
      <alignment horizontal="center" vertical="center" textRotation="0" wrapText="true" indent="0" shrinkToFit="false"/>
      <protection locked="true" hidden="false"/>
    </xf>
    <xf numFmtId="167" fontId="9" fillId="0" borderId="2" xfId="0" applyFont="true" applyBorder="true" applyAlignment="true" applyProtection="false">
      <alignment horizontal="center" vertical="center" textRotation="0" wrapText="true" indent="0" shrinkToFit="false"/>
      <protection locked="true" hidden="false"/>
    </xf>
    <xf numFmtId="168" fontId="9" fillId="0" borderId="2"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right" vertical="center" textRotation="0" wrapText="true" indent="0" shrinkToFit="false"/>
      <protection locked="true" hidden="false"/>
    </xf>
    <xf numFmtId="167" fontId="7" fillId="0" borderId="2" xfId="0" applyFont="true" applyBorder="true" applyAlignment="true" applyProtection="false">
      <alignment horizontal="center" vertical="center" textRotation="0" wrapText="true" indent="0" shrinkToFit="false"/>
      <protection locked="true" hidden="false"/>
    </xf>
    <xf numFmtId="168" fontId="7" fillId="0"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right" vertical="center" textRotation="0" wrapText="true" indent="0" shrinkToFit="false"/>
      <protection locked="true" hidden="false"/>
    </xf>
    <xf numFmtId="165" fontId="7" fillId="6" borderId="2" xfId="0" applyFont="true" applyBorder="true" applyAlignment="true" applyProtection="false">
      <alignment horizontal="center" vertical="center" textRotation="0" wrapText="true" indent="0" shrinkToFit="false"/>
      <protection locked="true" hidden="false"/>
    </xf>
    <xf numFmtId="169" fontId="7" fillId="6" borderId="2" xfId="0" applyFont="true" applyBorder="true" applyAlignment="true" applyProtection="false">
      <alignment horizontal="center" vertical="center" textRotation="0" wrapText="true" indent="0" shrinkToFit="false"/>
      <protection locked="true" hidden="false"/>
    </xf>
    <xf numFmtId="167" fontId="7" fillId="6" borderId="2" xfId="0" applyFont="true" applyBorder="true" applyAlignment="true" applyProtection="false">
      <alignment horizontal="center" vertical="center" textRotation="0" wrapText="true" indent="0" shrinkToFit="false"/>
      <protection locked="true" hidden="false"/>
    </xf>
    <xf numFmtId="168" fontId="7" fillId="6"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right" vertical="center" textRotation="0" wrapText="true" indent="0" shrinkToFit="false"/>
      <protection locked="true" hidden="false"/>
    </xf>
    <xf numFmtId="165" fontId="7" fillId="4" borderId="2" xfId="0" applyFont="true" applyBorder="true" applyAlignment="true" applyProtection="false">
      <alignment horizontal="center" vertical="center" textRotation="0" wrapText="true" indent="0" shrinkToFit="false"/>
      <protection locked="true" hidden="false"/>
    </xf>
    <xf numFmtId="167" fontId="7" fillId="4" borderId="2"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right" vertical="center" textRotation="0" wrapText="false" indent="1" shrinkToFit="false"/>
      <protection locked="true" hidden="false"/>
    </xf>
    <xf numFmtId="164" fontId="7" fillId="6" borderId="0" xfId="0" applyFont="true" applyBorder="true" applyAlignment="true" applyProtection="false">
      <alignment horizontal="right" vertical="top" textRotation="0" wrapText="true" indent="1" shrinkToFit="false"/>
      <protection locked="true" hidden="false"/>
    </xf>
    <xf numFmtId="170" fontId="7" fillId="0" borderId="2" xfId="0" applyFont="true" applyBorder="true" applyAlignment="true" applyProtection="false">
      <alignment horizontal="center" vertical="center" textRotation="0" wrapText="true" indent="0" shrinkToFit="false"/>
      <protection locked="true" hidden="false"/>
    </xf>
    <xf numFmtId="166" fontId="7"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6" fontId="7" fillId="6"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FFEB9C"/>
          <bgColor rgb="FF000000"/>
        </patternFill>
      </fill>
    </dxf>
    <dxf>
      <fill>
        <patternFill patternType="solid">
          <fgColor rgb="FF9C6500"/>
          <bgColor rgb="FF000000"/>
        </patternFill>
      </fill>
    </dxf>
    <dxf>
      <font>
        <color rgb="FF9C0006"/>
      </font>
      <fill>
        <patternFill>
          <bgColor rgb="FFFFC7CE"/>
        </patternFill>
      </fill>
    </dxf>
    <dxf>
      <font>
        <color rgb="FF9C65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F6E6A"/>
      <rgbColor rgb="FFBFBFBF"/>
      <rgbColor rgb="FF7F7F7F"/>
      <rgbColor rgb="FF9999FF"/>
      <rgbColor rgb="FFC0504D"/>
      <rgbColor rgb="FFF9F9F9"/>
      <rgbColor rgb="FFDCEEEE"/>
      <rgbColor rgb="FF660066"/>
      <rgbColor rgb="FFFF8080"/>
      <rgbColor rgb="FF0066CC"/>
      <rgbColor rgb="FFD9D9D9"/>
      <rgbColor rgb="FF000080"/>
      <rgbColor rgb="FFFF00FF"/>
      <rgbColor rgb="FFFFFF00"/>
      <rgbColor rgb="FF00FFFF"/>
      <rgbColor rgb="FF800080"/>
      <rgbColor rgb="FF800000"/>
      <rgbColor rgb="FF4F81BD"/>
      <rgbColor rgb="FF0000FF"/>
      <rgbColor rgb="FF00CCFF"/>
      <rgbColor rgb="FFF2F2F2"/>
      <rgbColor rgb="FFCCFFCC"/>
      <rgbColor rgb="FFFFEB9C"/>
      <rgbColor rgb="FF99CCFF"/>
      <rgbColor rgb="FFFF99CC"/>
      <rgbColor rgb="FFCC99FF"/>
      <rgbColor rgb="FFFFC7CE"/>
      <rgbColor rgb="FF4A7EBB"/>
      <rgbColor rgb="FF4BACC6"/>
      <rgbColor rgb="FF9BBB59"/>
      <rgbColor rgb="FFFFCC00"/>
      <rgbColor rgb="FFC9971F"/>
      <rgbColor rgb="FFFF6600"/>
      <rgbColor rgb="FF8064A2"/>
      <rgbColor rgb="FF878787"/>
      <rgbColor rgb="FF1F3864"/>
      <rgbColor rgb="FF2E7D32"/>
      <rgbColor rgb="FF003300"/>
      <rgbColor rgb="FF333300"/>
      <rgbColor rgb="FF8E5B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الاتجاه الشهري للمبيعات (مفلتر)</a:t>
            </a:r>
          </a:p>
        </c:rich>
      </c:tx>
      <c:overlay val="0"/>
      <c:spPr>
        <a:noFill/>
        <a:ln w="0">
          <a:noFill/>
        </a:ln>
      </c:spPr>
    </c:title>
    <c:autoTitleDeleted val="0"/>
    <c:plotArea>
      <c:lineChart>
        <c:grouping val="standard"/>
        <c:varyColors val="0"/>
        <c:ser>
          <c:idx val="0"/>
          <c:order val="0"/>
          <c:tx>
            <c:strRef>
              <c:f>Dashboard!B11</c:f>
              <c:strCache>
                <c:ptCount val="1"/>
                <c:pt idx="0">
                  <c:v>المبيعات</c:v>
                </c:pt>
              </c:strCache>
            </c:strRef>
          </c:tx>
          <c:spPr>
            <a:solidFill>
              <a:srgbClr val="4a7ebb"/>
            </a:solidFill>
            <a:ln w="47520">
              <a:solidFill>
                <a:srgbClr val="4a7ebb"/>
              </a:solidFill>
              <a:round/>
            </a:ln>
          </c:spPr>
          <c:marker>
            <c:symbol val="circle"/>
            <c:size val="5"/>
            <c:spPr>
              <a:solidFill>
                <a:srgbClr val="4a7eb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Dashboard!$A$12:$A$23</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Dashboard!$B$12:$B$23</c:f>
              <c:numCache>
                <c:formatCode>#,##0" ر.س"</c:formatCode>
                <c:ptCount val="12"/>
                <c:pt idx="0">
                  <c:v>245455.7</c:v>
                </c:pt>
                <c:pt idx="1">
                  <c:v>230319.15</c:v>
                </c:pt>
                <c:pt idx="2">
                  <c:v>310641.8</c:v>
                </c:pt>
                <c:pt idx="3">
                  <c:v>197125.5</c:v>
                </c:pt>
                <c:pt idx="4">
                  <c:v>341120.65</c:v>
                </c:pt>
                <c:pt idx="5">
                  <c:v>427179.65</c:v>
                </c:pt>
                <c:pt idx="6">
                  <c:v>242251.65</c:v>
                </c:pt>
                <c:pt idx="7">
                  <c:v>329999.7</c:v>
                </c:pt>
                <c:pt idx="8">
                  <c:v>229364.75</c:v>
                </c:pt>
                <c:pt idx="9">
                  <c:v>383931.85</c:v>
                </c:pt>
                <c:pt idx="10">
                  <c:v>431308.7</c:v>
                </c:pt>
                <c:pt idx="11">
                  <c:v>329541.8</c:v>
                </c:pt>
              </c:numCache>
            </c:numRef>
          </c:val>
          <c:smooth val="1"/>
        </c:ser>
        <c:hiLowLines>
          <c:spPr>
            <a:ln w="0">
              <a:noFill/>
            </a:ln>
          </c:spPr>
        </c:hiLowLines>
        <c:marker val="1"/>
        <c:axId val="9927239"/>
        <c:axId val="43824072"/>
      </c:lineChart>
      <c:catAx>
        <c:axId val="99272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824072"/>
        <c:crosses val="autoZero"/>
        <c:auto val="1"/>
        <c:lblAlgn val="ctr"/>
        <c:lblOffset val="100"/>
        <c:noMultiLvlLbl val="0"/>
      </c:catAx>
      <c:valAx>
        <c:axId val="43824072"/>
        <c:scaling>
          <c:orientation val="minMax"/>
        </c:scaling>
        <c:delete val="0"/>
        <c:axPos val="l"/>
        <c:majorGridlines>
          <c:spPr>
            <a:ln w="9360">
              <a:solidFill>
                <a:srgbClr val="878787"/>
              </a:solidFill>
              <a:round/>
            </a:ln>
          </c:spPr>
        </c:majorGridlines>
        <c:numFmt formatCode="#,##0&quot; ر.س&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2723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المبيعات حسب الفرع (مفلتر)</a:t>
            </a:r>
          </a:p>
        </c:rich>
      </c:tx>
      <c:overlay val="0"/>
      <c:spPr>
        <a:noFill/>
        <a:ln w="0">
          <a:noFill/>
        </a:ln>
      </c:spPr>
    </c:title>
    <c:autoTitleDeleted val="0"/>
    <c:plotArea>
      <c:barChart>
        <c:barDir val="col"/>
        <c:grouping val="clustered"/>
        <c:varyColors val="0"/>
        <c:ser>
          <c:idx val="0"/>
          <c:order val="0"/>
          <c:tx>
            <c:strRef>
              <c:f>Dashboard!E11</c:f>
              <c:strCache>
                <c:ptCount val="1"/>
                <c:pt idx="0">
                  <c:v>المبيعات</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Dashboard!$D$12:$D$16</c:f>
              <c:strCache>
                <c:ptCount val="5"/>
                <c:pt idx="0">
                  <c:v>الرياض</c:v>
                </c:pt>
                <c:pt idx="1">
                  <c:v>جدة</c:v>
                </c:pt>
                <c:pt idx="2">
                  <c:v>الدمام</c:v>
                </c:pt>
                <c:pt idx="3">
                  <c:v>مكة المكرمة</c:v>
                </c:pt>
                <c:pt idx="4">
                  <c:v>المدينة المنورة</c:v>
                </c:pt>
              </c:strCache>
            </c:strRef>
          </c:cat>
          <c:val>
            <c:numRef>
              <c:f>Dashboard!$E$12:$E$16</c:f>
              <c:numCache>
                <c:formatCode>#,##0" ر.س"</c:formatCode>
                <c:ptCount val="5"/>
                <c:pt idx="0">
                  <c:v>1133402.8</c:v>
                </c:pt>
                <c:pt idx="1">
                  <c:v>1105399.2</c:v>
                </c:pt>
                <c:pt idx="2">
                  <c:v>517668.4</c:v>
                </c:pt>
                <c:pt idx="3">
                  <c:v>444396.8</c:v>
                </c:pt>
                <c:pt idx="4">
                  <c:v>497373.7</c:v>
                </c:pt>
              </c:numCache>
            </c:numRef>
          </c:val>
        </c:ser>
        <c:gapWidth val="150"/>
        <c:overlap val="0"/>
        <c:axId val="16829120"/>
        <c:axId val="93539135"/>
      </c:barChart>
      <c:catAx>
        <c:axId val="1682912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539135"/>
        <c:crosses val="autoZero"/>
        <c:auto val="1"/>
        <c:lblAlgn val="ctr"/>
        <c:lblOffset val="100"/>
        <c:noMultiLvlLbl val="0"/>
      </c:catAx>
      <c:valAx>
        <c:axId val="93539135"/>
        <c:scaling>
          <c:orientation val="minMax"/>
        </c:scaling>
        <c:delete val="0"/>
        <c:axPos val="l"/>
        <c:majorGridlines>
          <c:spPr>
            <a:ln w="9360">
              <a:solidFill>
                <a:srgbClr val="878787"/>
              </a:solidFill>
              <a:round/>
            </a:ln>
          </c:spPr>
        </c:majorGridlines>
        <c:numFmt formatCode="#,##0&quot; ر.س&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82912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نوع العميل (مفلتر)</a:t>
            </a:r>
          </a:p>
        </c:rich>
      </c:tx>
      <c:overlay val="0"/>
      <c:spPr>
        <a:noFill/>
        <a:ln w="0">
          <a:noFill/>
        </a:ln>
      </c:spPr>
    </c:title>
    <c:autoTitleDeleted val="0"/>
    <c:plotArea>
      <c:pieChart>
        <c:varyColors val="1"/>
        <c:ser>
          <c:idx val="0"/>
          <c:order val="0"/>
          <c:tx>
            <c:strRef>
              <c:f>Dashboard!H11</c:f>
              <c:strCache>
                <c:ptCount val="1"/>
                <c:pt idx="0">
                  <c:v>المبيعات</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Dashboard!$G$12:$G$13</c:f>
              <c:strCache>
                <c:ptCount val="2"/>
                <c:pt idx="0">
                  <c:v>فرد</c:v>
                </c:pt>
                <c:pt idx="1">
                  <c:v>شركة</c:v>
                </c:pt>
              </c:strCache>
            </c:strRef>
          </c:cat>
          <c:val>
            <c:numRef>
              <c:f>Dashboard!$H$12:$H$13</c:f>
              <c:numCache>
                <c:formatCode>#,##0" ر.س"</c:formatCode>
                <c:ptCount val="2"/>
                <c:pt idx="0">
                  <c:v>2097433.2</c:v>
                </c:pt>
                <c:pt idx="1">
                  <c:v>1600807.7</c:v>
                </c:pt>
              </c:numCache>
            </c:numRef>
          </c:val>
        </c:ser>
        <c:firstSliceAng val="0"/>
      </c:pie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طريقة الدفع (مفلتر)</a:t>
            </a:r>
          </a:p>
        </c:rich>
      </c:tx>
      <c:overlay val="0"/>
      <c:spPr>
        <a:noFill/>
        <a:ln w="0">
          <a:noFill/>
        </a:ln>
      </c:spPr>
    </c:title>
    <c:autoTitleDeleted val="0"/>
    <c:plotArea>
      <c:doughnutChart>
        <c:varyColors val="1"/>
        <c:ser>
          <c:idx val="0"/>
          <c:order val="0"/>
          <c:tx>
            <c:strRef>
              <c:f>Dashboard!K11</c:f>
              <c:strCache>
                <c:ptCount val="1"/>
                <c:pt idx="0">
                  <c:v>المبيعات</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Dashboard!$J$12:$J$15</c:f>
              <c:strCache>
                <c:ptCount val="4"/>
                <c:pt idx="0">
                  <c:v>بطاقة ائتمان</c:v>
                </c:pt>
                <c:pt idx="1">
                  <c:v>نقدي</c:v>
                </c:pt>
                <c:pt idx="2">
                  <c:v>تقسيط</c:v>
                </c:pt>
                <c:pt idx="3">
                  <c:v>تحويل بنكي</c:v>
                </c:pt>
              </c:strCache>
            </c:strRef>
          </c:cat>
          <c:val>
            <c:numRef>
              <c:f>Dashboard!$K$12:$K$15</c:f>
              <c:numCache>
                <c:formatCode>#,##0" ر.س"</c:formatCode>
                <c:ptCount val="4"/>
                <c:pt idx="0">
                  <c:v>1605693.65</c:v>
                </c:pt>
                <c:pt idx="1">
                  <c:v>994640.75</c:v>
                </c:pt>
                <c:pt idx="2">
                  <c:v>747593.95</c:v>
                </c:pt>
                <c:pt idx="3">
                  <c:v>350312.55</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المبيعات حسب فئة المنتج</a:t>
            </a:r>
          </a:p>
        </c:rich>
      </c:tx>
      <c:overlay val="0"/>
      <c:spPr>
        <a:noFill/>
        <a:ln w="0">
          <a:noFill/>
        </a:ln>
      </c:spPr>
    </c:title>
    <c:autoTitleDeleted val="0"/>
    <c:plotArea>
      <c:barChart>
        <c:barDir val="col"/>
        <c:grouping val="clustered"/>
        <c:varyColors val="0"/>
        <c:ser>
          <c:idx val="0"/>
          <c:order val="0"/>
          <c:tx>
            <c:strRef>
              <c:f>Summary_Tables!B14</c:f>
              <c:strCache>
                <c:ptCount val="1"/>
                <c:pt idx="0">
                  <c:v>إجمالي المبيعات</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Summary_Tables!$A$15:$A$19</c:f>
              <c:strCache>
                <c:ptCount val="5"/>
                <c:pt idx="0">
                  <c:v>جوالات</c:v>
                </c:pt>
                <c:pt idx="1">
                  <c:v>حواسيب محمولة</c:v>
                </c:pt>
                <c:pt idx="2">
                  <c:v>إكسسوارات</c:v>
                </c:pt>
                <c:pt idx="3">
                  <c:v>أجهزة منزلية ذكية</c:v>
                </c:pt>
                <c:pt idx="4">
                  <c:v>سماعات وصوتيات</c:v>
                </c:pt>
              </c:strCache>
            </c:strRef>
          </c:cat>
          <c:val>
            <c:numRef>
              <c:f>Summary_Tables!$B$15:$B$19</c:f>
              <c:numCache>
                <c:formatCode>#,##0" ر.س"</c:formatCode>
                <c:ptCount val="5"/>
                <c:pt idx="0">
                  <c:v>1771414.55</c:v>
                </c:pt>
                <c:pt idx="1">
                  <c:v>1623912.75</c:v>
                </c:pt>
                <c:pt idx="2">
                  <c:v>91278.95</c:v>
                </c:pt>
                <c:pt idx="3">
                  <c:v>69917.3</c:v>
                </c:pt>
                <c:pt idx="4">
                  <c:v>141717.35</c:v>
                </c:pt>
              </c:numCache>
            </c:numRef>
          </c:val>
        </c:ser>
        <c:gapWidth val="150"/>
        <c:overlap val="0"/>
        <c:axId val="46399185"/>
        <c:axId val="46971332"/>
      </c:barChart>
      <c:catAx>
        <c:axId val="463991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971332"/>
        <c:crosses val="autoZero"/>
        <c:auto val="1"/>
        <c:lblAlgn val="ctr"/>
        <c:lblOffset val="100"/>
        <c:noMultiLvlLbl val="0"/>
      </c:catAx>
      <c:valAx>
        <c:axId val="469713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المبيعات (ر.س)</a:t>
                </a:r>
              </a:p>
            </c:rich>
          </c:tx>
          <c:overlay val="0"/>
          <c:spPr>
            <a:noFill/>
            <a:ln w="0">
              <a:noFill/>
            </a:ln>
          </c:spPr>
        </c:title>
        <c:numFmt formatCode="#,##0&quot; ر.س&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39918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الاتجاه الشهري للمبيعات - 2024</a:t>
            </a:r>
          </a:p>
        </c:rich>
      </c:tx>
      <c:overlay val="0"/>
      <c:spPr>
        <a:noFill/>
        <a:ln w="0">
          <a:noFill/>
        </a:ln>
      </c:spPr>
    </c:title>
    <c:autoTitleDeleted val="0"/>
    <c:plotArea>
      <c:lineChart>
        <c:grouping val="standard"/>
        <c:varyColors val="0"/>
        <c:ser>
          <c:idx val="0"/>
          <c:order val="0"/>
          <c:tx>
            <c:strRef>
              <c:f>Summary_Tables!B32</c:f>
              <c:strCache>
                <c:ptCount val="1"/>
                <c:pt idx="0">
                  <c:v>إجمالي المبيعات</c:v>
                </c:pt>
              </c:strCache>
            </c:strRef>
          </c:tx>
          <c:spPr>
            <a:solidFill>
              <a:srgbClr val="4a7ebb"/>
            </a:solidFill>
            <a:ln w="47520">
              <a:solidFill>
                <a:srgbClr val="4a7ebb"/>
              </a:solidFill>
              <a:round/>
            </a:ln>
          </c:spPr>
          <c:marker>
            <c:symbol val="circle"/>
            <c:size val="5"/>
            <c:spPr>
              <a:solidFill>
                <a:srgbClr val="4a7eb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Summary_Tables!$A$33:$A$44</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Summary_Tables!$B$33:$B$44</c:f>
              <c:numCache>
                <c:formatCode>#,##0" ر.س"</c:formatCode>
                <c:ptCount val="12"/>
                <c:pt idx="0">
                  <c:v>245455.7</c:v>
                </c:pt>
                <c:pt idx="1">
                  <c:v>230319.15</c:v>
                </c:pt>
                <c:pt idx="2">
                  <c:v>310641.8</c:v>
                </c:pt>
                <c:pt idx="3">
                  <c:v>197125.5</c:v>
                </c:pt>
                <c:pt idx="4">
                  <c:v>341120.65</c:v>
                </c:pt>
                <c:pt idx="5">
                  <c:v>427179.65</c:v>
                </c:pt>
                <c:pt idx="6">
                  <c:v>242251.65</c:v>
                </c:pt>
                <c:pt idx="7">
                  <c:v>329999.7</c:v>
                </c:pt>
                <c:pt idx="8">
                  <c:v>229364.75</c:v>
                </c:pt>
                <c:pt idx="9">
                  <c:v>383931.85</c:v>
                </c:pt>
                <c:pt idx="10">
                  <c:v>431308.7</c:v>
                </c:pt>
                <c:pt idx="11">
                  <c:v>329541.8</c:v>
                </c:pt>
              </c:numCache>
            </c:numRef>
          </c:val>
          <c:smooth val="0"/>
        </c:ser>
        <c:hiLowLines>
          <c:spPr>
            <a:ln w="0">
              <a:noFill/>
            </a:ln>
          </c:spPr>
        </c:hiLowLines>
        <c:marker val="1"/>
        <c:axId val="8842356"/>
        <c:axId val="85880313"/>
      </c:lineChart>
      <c:catAx>
        <c:axId val="884235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880313"/>
        <c:crosses val="autoZero"/>
        <c:auto val="1"/>
        <c:lblAlgn val="ctr"/>
        <c:lblOffset val="100"/>
        <c:noMultiLvlLbl val="0"/>
      </c:catAx>
      <c:valAx>
        <c:axId val="8588031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المبيعات (ر.س)</a:t>
                </a:r>
              </a:p>
            </c:rich>
          </c:tx>
          <c:overlay val="0"/>
          <c:spPr>
            <a:noFill/>
            <a:ln w="0">
              <a:noFill/>
            </a:ln>
          </c:spPr>
        </c:title>
        <c:numFmt formatCode="#,##0&quot; ر.س&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4235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حصة كل فرع من إجمالي المبيعات</a:t>
            </a:r>
          </a:p>
        </c:rich>
      </c:tx>
      <c:overlay val="0"/>
      <c:spPr>
        <a:noFill/>
        <a:ln w="0">
          <a:noFill/>
        </a:ln>
      </c:spPr>
    </c:title>
    <c:autoTitleDeleted val="0"/>
    <c:plotArea>
      <c:pieChart>
        <c:varyColors val="1"/>
        <c:ser>
          <c:idx val="0"/>
          <c:order val="0"/>
          <c:tx>
            <c:strRef>
              <c:f>Summary_Tables!C23</c:f>
              <c:strCache>
                <c:ptCount val="1"/>
                <c:pt idx="0">
                  <c:v>إجمالي المبيعات</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Pt>
            <c:idx val="4"/>
            <c:spPr>
              <a:solidFill>
                <a:srgbClr val="4bacc6"/>
              </a:solidFill>
              <a:ln w="9360">
                <a:solidFill>
                  <a:srgbClr val="f9f9f9"/>
                </a:solidFill>
                <a:round/>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Summary_Tables!$A$24:$A$28</c:f>
              <c:strCache>
                <c:ptCount val="5"/>
                <c:pt idx="0">
                  <c:v>الرياض</c:v>
                </c:pt>
                <c:pt idx="1">
                  <c:v>جدة</c:v>
                </c:pt>
                <c:pt idx="2">
                  <c:v>الدمام</c:v>
                </c:pt>
                <c:pt idx="3">
                  <c:v>مكة المكرمة</c:v>
                </c:pt>
                <c:pt idx="4">
                  <c:v>المدينة المنورة</c:v>
                </c:pt>
              </c:strCache>
            </c:strRef>
          </c:cat>
          <c:val>
            <c:numRef>
              <c:f>Summary_Tables!$C$24:$C$28</c:f>
              <c:numCache>
                <c:formatCode>#,##0" ر.س"</c:formatCode>
                <c:ptCount val="5"/>
                <c:pt idx="0">
                  <c:v>1133402.8</c:v>
                </c:pt>
                <c:pt idx="1">
                  <c:v>1105399.2</c:v>
                </c:pt>
                <c:pt idx="2">
                  <c:v>517668.4</c:v>
                </c:pt>
                <c:pt idx="3">
                  <c:v>444396.8</c:v>
                </c:pt>
                <c:pt idx="4">
                  <c:v>497373.7</c:v>
                </c:pt>
              </c:numCache>
            </c:numRef>
          </c:val>
        </c:ser>
        <c:firstSliceAng val="0"/>
      </c:pie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أفضل 5 منتجات مبيعًا</a:t>
            </a:r>
          </a:p>
        </c:rich>
      </c:tx>
      <c:overlay val="0"/>
      <c:spPr>
        <a:noFill/>
        <a:ln w="0">
          <a:noFill/>
        </a:ln>
      </c:spPr>
    </c:title>
    <c:autoTitleDeleted val="0"/>
    <c:plotArea>
      <c:barChart>
        <c:barDir val="bar"/>
        <c:grouping val="clustered"/>
        <c:varyColors val="0"/>
        <c:ser>
          <c:idx val="0"/>
          <c:order val="0"/>
          <c:tx>
            <c:strRef>
              <c:f>Summary_Tables!C76</c:f>
              <c:strCache>
                <c:ptCount val="1"/>
                <c:pt idx="0">
                  <c:v>إجمالي المبيعات</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Summary_Tables!$B$77:$B$81</c:f>
              <c:strCache>
                <c:ptCount val="5"/>
                <c:pt idx="0">
                  <c:v>لابتوب أوركا برو 15</c:v>
                </c:pt>
                <c:pt idx="1">
                  <c:v>جوال نوفا X12</c:v>
                </c:pt>
                <c:pt idx="2">
                  <c:v>لابتوب نوفا بوك 14</c:v>
                </c:pt>
                <c:pt idx="3">
                  <c:v>جوال أوركا الجديد</c:v>
                </c:pt>
                <c:pt idx="4">
                  <c:v>لابتوب نوفا ألترا</c:v>
                </c:pt>
              </c:strCache>
            </c:strRef>
          </c:cat>
          <c:val>
            <c:numRef>
              <c:f>Summary_Tables!$C$77:$C$81</c:f>
              <c:numCache>
                <c:formatCode>#,##0" ر.س"</c:formatCode>
                <c:ptCount val="5"/>
                <c:pt idx="0">
                  <c:v>484250.9</c:v>
                </c:pt>
                <c:pt idx="1">
                  <c:v>438135.45</c:v>
                </c:pt>
                <c:pt idx="2">
                  <c:v>424989.7</c:v>
                </c:pt>
                <c:pt idx="3">
                  <c:v>387741.65</c:v>
                </c:pt>
                <c:pt idx="4">
                  <c:v>385404.5</c:v>
                </c:pt>
              </c:numCache>
            </c:numRef>
          </c:val>
        </c:ser>
        <c:gapWidth val="150"/>
        <c:overlap val="0"/>
        <c:axId val="30850090"/>
        <c:axId val="10219713"/>
      </c:barChart>
      <c:catAx>
        <c:axId val="30850090"/>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المبيعات (ر.س)</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219713"/>
        <c:crosses val="autoZero"/>
        <c:auto val="1"/>
        <c:lblAlgn val="ctr"/>
        <c:lblOffset val="100"/>
        <c:noMultiLvlLbl val="0"/>
      </c:catAx>
      <c:valAx>
        <c:axId val="10219713"/>
        <c:scaling>
          <c:orientation val="minMax"/>
        </c:scaling>
        <c:delete val="0"/>
        <c:axPos val="l"/>
        <c:majorGridlines>
          <c:spPr>
            <a:ln w="9360">
              <a:solidFill>
                <a:srgbClr val="878787"/>
              </a:solidFill>
              <a:round/>
            </a:ln>
          </c:spPr>
        </c:majorGridlines>
        <c:numFmt formatCode="#,##0&quot; ر.س&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85009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توزيع المبيعات حسب طريقة الدفع</a:t>
            </a:r>
          </a:p>
        </c:rich>
      </c:tx>
      <c:overlay val="0"/>
      <c:spPr>
        <a:noFill/>
        <a:ln w="0">
          <a:noFill/>
        </a:ln>
      </c:spPr>
    </c:title>
    <c:autoTitleDeleted val="0"/>
    <c:plotArea>
      <c:doughnutChart>
        <c:varyColors val="1"/>
        <c:ser>
          <c:idx val="0"/>
          <c:order val="0"/>
          <c:tx>
            <c:strRef>
              <c:f>Summary_Tables!B48</c:f>
              <c:strCache>
                <c:ptCount val="1"/>
                <c:pt idx="0">
                  <c:v>إجمالي المبيعات</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Summary_Tables!$A$49:$A$52</c:f>
              <c:strCache>
                <c:ptCount val="4"/>
                <c:pt idx="0">
                  <c:v>بطاقة ائتمان</c:v>
                </c:pt>
                <c:pt idx="1">
                  <c:v>نقدي</c:v>
                </c:pt>
                <c:pt idx="2">
                  <c:v>تقسيط</c:v>
                </c:pt>
                <c:pt idx="3">
                  <c:v>تحويل بنكي</c:v>
                </c:pt>
              </c:strCache>
            </c:strRef>
          </c:cat>
          <c:val>
            <c:numRef>
              <c:f>Summary_Tables!$B$49:$B$52</c:f>
              <c:numCache>
                <c:formatCode>#,##0" ر.س"</c:formatCode>
                <c:ptCount val="4"/>
                <c:pt idx="0">
                  <c:v>1605693.65</c:v>
                </c:pt>
                <c:pt idx="1">
                  <c:v>994640.75</c:v>
                </c:pt>
                <c:pt idx="2">
                  <c:v>747593.95</c:v>
                </c:pt>
                <c:pt idx="3">
                  <c:v>350312.55</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إجمالي مبيعات كل مندوب</a:t>
            </a:r>
          </a:p>
        </c:rich>
      </c:tx>
      <c:overlay val="0"/>
      <c:spPr>
        <a:noFill/>
        <a:ln w="0">
          <a:noFill/>
        </a:ln>
      </c:spPr>
    </c:title>
    <c:autoTitleDeleted val="0"/>
    <c:plotArea>
      <c:barChart>
        <c:barDir val="col"/>
        <c:grouping val="clustered"/>
        <c:varyColors val="0"/>
        <c:ser>
          <c:idx val="0"/>
          <c:order val="0"/>
          <c:tx>
            <c:strRef>
              <c:f>Summary_Tables!C62</c:f>
              <c:strCache>
                <c:ptCount val="1"/>
                <c:pt idx="0">
                  <c:v>إجمالي المبيعات</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Summary_Tables!$B$63:$B$72</c:f>
              <c:strCache>
                <c:ptCount val="10"/>
                <c:pt idx="0">
                  <c:v>سارة القحطاني</c:v>
                </c:pt>
                <c:pt idx="1">
                  <c:v>عبدالله المطيري</c:v>
                </c:pt>
                <c:pt idx="2">
                  <c:v>محمد العتيبي</c:v>
                </c:pt>
                <c:pt idx="3">
                  <c:v>فهد الغامدي</c:v>
                </c:pt>
                <c:pt idx="4">
                  <c:v>ريم الزهراني</c:v>
                </c:pt>
                <c:pt idx="5">
                  <c:v>نورة الدوسري</c:v>
                </c:pt>
                <c:pt idx="6">
                  <c:v>خالد الشمري</c:v>
                </c:pt>
                <c:pt idx="7">
                  <c:v>تركي السبيعي</c:v>
                </c:pt>
                <c:pt idx="8">
                  <c:v>لمى العنزي</c:v>
                </c:pt>
                <c:pt idx="9">
                  <c:v>منيرة الحربي</c:v>
                </c:pt>
              </c:strCache>
            </c:strRef>
          </c:cat>
          <c:val>
            <c:numRef>
              <c:f>Summary_Tables!$C$63:$C$72</c:f>
              <c:numCache>
                <c:formatCode>#,##0" ر.س"</c:formatCode>
                <c:ptCount val="10"/>
                <c:pt idx="0">
                  <c:v>518419.35</c:v>
                </c:pt>
                <c:pt idx="1">
                  <c:v>494190.6</c:v>
                </c:pt>
                <c:pt idx="2">
                  <c:v>420906.6</c:v>
                </c:pt>
                <c:pt idx="3">
                  <c:v>383783.8</c:v>
                </c:pt>
                <c:pt idx="4">
                  <c:v>369894.05</c:v>
                </c:pt>
                <c:pt idx="5">
                  <c:v>354800.25</c:v>
                </c:pt>
                <c:pt idx="6">
                  <c:v>352945.65</c:v>
                </c:pt>
                <c:pt idx="7">
                  <c:v>280521.3</c:v>
                </c:pt>
                <c:pt idx="8">
                  <c:v>270669.8</c:v>
                </c:pt>
                <c:pt idx="9">
                  <c:v>252109.5</c:v>
                </c:pt>
              </c:numCache>
            </c:numRef>
          </c:val>
        </c:ser>
        <c:gapWidth val="150"/>
        <c:overlap val="0"/>
        <c:axId val="99898792"/>
        <c:axId val="7126273"/>
      </c:barChart>
      <c:catAx>
        <c:axId val="998987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26273"/>
        <c:crosses val="autoZero"/>
        <c:auto val="1"/>
        <c:lblAlgn val="ctr"/>
        <c:lblOffset val="100"/>
        <c:noMultiLvlLbl val="0"/>
      </c:catAx>
      <c:valAx>
        <c:axId val="712627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المبيعات (ر.س)</a:t>
                </a:r>
              </a:p>
            </c:rich>
          </c:tx>
          <c:overlay val="0"/>
          <c:spPr>
            <a:noFill/>
            <a:ln w="0">
              <a:noFill/>
            </a:ln>
          </c:spPr>
        </c:title>
        <c:numFmt formatCode="#,##0&quot; ر.س&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89879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 Id="rId6"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-324720</xdr:colOff>
      <xdr:row>25</xdr:row>
      <xdr:rowOff>0</xdr:rowOff>
    </xdr:from>
    <xdr:to>
      <xdr:col>6</xdr:col>
      <xdr:colOff>0</xdr:colOff>
      <xdr:row>42</xdr:row>
      <xdr:rowOff>1080</xdr:rowOff>
    </xdr:to>
    <xdr:graphicFrame>
      <xdr:nvGraphicFramePr>
        <xdr:cNvPr id="0" name="Chart 1"/>
        <xdr:cNvGraphicFramePr/>
      </xdr:nvGraphicFramePr>
      <xdr:xfrm>
        <a:off x="-5399640" y="546732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-606600</xdr:colOff>
      <xdr:row>25</xdr:row>
      <xdr:rowOff>0</xdr:rowOff>
    </xdr:from>
    <xdr:to>
      <xdr:col>14</xdr:col>
      <xdr:colOff>0</xdr:colOff>
      <xdr:row>42</xdr:row>
      <xdr:rowOff>1080</xdr:rowOff>
    </xdr:to>
    <xdr:graphicFrame>
      <xdr:nvGraphicFramePr>
        <xdr:cNvPr id="1" name="Chart 2"/>
        <xdr:cNvGraphicFramePr/>
      </xdr:nvGraphicFramePr>
      <xdr:xfrm>
        <a:off x="-12166200" y="5467320"/>
        <a:ext cx="539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-324720</xdr:colOff>
      <xdr:row>42</xdr:row>
      <xdr:rowOff>0</xdr:rowOff>
    </xdr:from>
    <xdr:to>
      <xdr:col>6</xdr:col>
      <xdr:colOff>0</xdr:colOff>
      <xdr:row>59</xdr:row>
      <xdr:rowOff>1080</xdr:rowOff>
    </xdr:to>
    <xdr:graphicFrame>
      <xdr:nvGraphicFramePr>
        <xdr:cNvPr id="2" name="Chart 3"/>
        <xdr:cNvGraphicFramePr/>
      </xdr:nvGraphicFramePr>
      <xdr:xfrm>
        <a:off x="-5399640" y="8705880"/>
        <a:ext cx="539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-606600</xdr:colOff>
      <xdr:row>42</xdr:row>
      <xdr:rowOff>0</xdr:rowOff>
    </xdr:from>
    <xdr:to>
      <xdr:col>14</xdr:col>
      <xdr:colOff>0</xdr:colOff>
      <xdr:row>59</xdr:row>
      <xdr:rowOff>1080</xdr:rowOff>
    </xdr:to>
    <xdr:graphicFrame>
      <xdr:nvGraphicFramePr>
        <xdr:cNvPr id="3" name="Chart 4"/>
        <xdr:cNvGraphicFramePr/>
      </xdr:nvGraphicFramePr>
      <xdr:xfrm>
        <a:off x="-12166200" y="8705880"/>
        <a:ext cx="539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-324720</xdr:colOff>
      <xdr:row>3</xdr:row>
      <xdr:rowOff>0</xdr:rowOff>
    </xdr:from>
    <xdr:to>
      <xdr:col>8</xdr:col>
      <xdr:colOff>0</xdr:colOff>
      <xdr:row>20</xdr:row>
      <xdr:rowOff>1080</xdr:rowOff>
    </xdr:to>
    <xdr:graphicFrame>
      <xdr:nvGraphicFramePr>
        <xdr:cNvPr id="4" name="Chart 1"/>
        <xdr:cNvGraphicFramePr/>
      </xdr:nvGraphicFramePr>
      <xdr:xfrm>
        <a:off x="-5399640" y="84780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-324720</xdr:colOff>
      <xdr:row>3</xdr:row>
      <xdr:rowOff>0</xdr:rowOff>
    </xdr:from>
    <xdr:to>
      <xdr:col>16</xdr:col>
      <xdr:colOff>0</xdr:colOff>
      <xdr:row>20</xdr:row>
      <xdr:rowOff>1080</xdr:rowOff>
    </xdr:to>
    <xdr:graphicFrame>
      <xdr:nvGraphicFramePr>
        <xdr:cNvPr id="5" name="Chart 2"/>
        <xdr:cNvGraphicFramePr/>
      </xdr:nvGraphicFramePr>
      <xdr:xfrm>
        <a:off x="-10474560" y="847800"/>
        <a:ext cx="539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-324720</xdr:colOff>
      <xdr:row>20</xdr:row>
      <xdr:rowOff>0</xdr:rowOff>
    </xdr:from>
    <xdr:to>
      <xdr:col>8</xdr:col>
      <xdr:colOff>0</xdr:colOff>
      <xdr:row>37</xdr:row>
      <xdr:rowOff>1440</xdr:rowOff>
    </xdr:to>
    <xdr:graphicFrame>
      <xdr:nvGraphicFramePr>
        <xdr:cNvPr id="6" name="Chart 3"/>
        <xdr:cNvGraphicFramePr/>
      </xdr:nvGraphicFramePr>
      <xdr:xfrm>
        <a:off x="-5399640" y="4086360"/>
        <a:ext cx="539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-324720</xdr:colOff>
      <xdr:row>20</xdr:row>
      <xdr:rowOff>0</xdr:rowOff>
    </xdr:from>
    <xdr:to>
      <xdr:col>16</xdr:col>
      <xdr:colOff>0</xdr:colOff>
      <xdr:row>37</xdr:row>
      <xdr:rowOff>1440</xdr:rowOff>
    </xdr:to>
    <xdr:graphicFrame>
      <xdr:nvGraphicFramePr>
        <xdr:cNvPr id="7" name="Chart 4"/>
        <xdr:cNvGraphicFramePr/>
      </xdr:nvGraphicFramePr>
      <xdr:xfrm>
        <a:off x="-10474560" y="4086360"/>
        <a:ext cx="539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-324720</xdr:colOff>
      <xdr:row>37</xdr:row>
      <xdr:rowOff>0</xdr:rowOff>
    </xdr:from>
    <xdr:to>
      <xdr:col>8</xdr:col>
      <xdr:colOff>0</xdr:colOff>
      <xdr:row>54</xdr:row>
      <xdr:rowOff>1080</xdr:rowOff>
    </xdr:to>
    <xdr:graphicFrame>
      <xdr:nvGraphicFramePr>
        <xdr:cNvPr id="8" name="Chart 5"/>
        <xdr:cNvGraphicFramePr/>
      </xdr:nvGraphicFramePr>
      <xdr:xfrm>
        <a:off x="-5399640" y="7324560"/>
        <a:ext cx="539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-324720</xdr:colOff>
      <xdr:row>37</xdr:row>
      <xdr:rowOff>0</xdr:rowOff>
    </xdr:from>
    <xdr:to>
      <xdr:col>16</xdr:col>
      <xdr:colOff>0</xdr:colOff>
      <xdr:row>54</xdr:row>
      <xdr:rowOff>1080</xdr:rowOff>
    </xdr:to>
    <xdr:graphicFrame>
      <xdr:nvGraphicFramePr>
        <xdr:cNvPr id="9" name="Chart 6"/>
        <xdr:cNvGraphicFramePr/>
      </xdr:nvGraphicFramePr>
      <xdr:xfrm>
        <a:off x="-10474560" y="7324560"/>
        <a:ext cx="539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CleanData" displayName="CleanData" ref="A1:R1121" headerRowCount="1" totalsRowCount="0" totalsRowShown="0">
  <autoFilter ref="A1:R1121"/>
  <tableColumns count="18">
    <tableColumn id="1" name="رقم الطلب"/>
    <tableColumn id="2" name="تاريخ الطلب"/>
    <tableColumn id="3" name="السنة"/>
    <tableColumn id="4" name="رقم الشهر"/>
    <tableColumn id="5" name="اسم الشهر"/>
    <tableColumn id="6" name="الربع"/>
    <tableColumn id="7" name="اسم اليوم"/>
    <tableColumn id="8" name="الفرع"/>
    <tableColumn id="9" name="المنطقة"/>
    <tableColumn id="10" name="الفئة"/>
    <tableColumn id="11" name="المنتج"/>
    <tableColumn id="12" name="سعر الوحدة"/>
    <tableColumn id="13" name="الكمية"/>
    <tableColumn id="14" name="نسبة الخصم"/>
    <tableColumn id="15" name="طريقة الدفع"/>
    <tableColumn id="16" name="نوع العميل"/>
    <tableColumn id="17" name="المندوب"/>
    <tableColumn id="18" name="إجمالي المبيعات"/>
  </tableColumns>
</table>
</file>

<file path=xl/tables/table2.xml><?xml version="1.0" encoding="utf-8"?>
<table xmlns="http://schemas.openxmlformats.org/spreadsheetml/2006/main" id="2" name="RawData" displayName="RawData" ref="A1:Q1197" headerRowCount="1" totalsRowCount="0" totalsRowShown="0">
  <autoFilter ref="A1:Q1197"/>
  <tableColumns count="17">
    <tableColumn id="1" name="الرقم التسلسلي"/>
    <tableColumn id="2" name="رقم الطلب"/>
    <tableColumn id="3" name="تاريخ الطلب"/>
    <tableColumn id="4" name="الفرع"/>
    <tableColumn id="5" name="الفئة"/>
    <tableColumn id="6" name="المنتج"/>
    <tableColumn id="7" name="سعر الوحدة"/>
    <tableColumn id="8" name="الكمية"/>
    <tableColumn id="9" name="نسبة الخصم"/>
    <tableColumn id="10" name="طريقة الدفع"/>
    <tableColumn id="11" name="نوع العميل"/>
    <tableColumn id="12" name="المندوب"/>
    <tableColumn id="13" name="متوسط سعر الفئة"/>
    <tableColumn id="14" name="سعر شاذ؟"/>
    <tableColumn id="15" name="تاريخ نصي؟"/>
    <tableColumn id="16" name="تكرار؟"/>
    <tableColumn id="17" name="به قيمة مفقودة؟"/>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8.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H27"/>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4" min="3" style="0" width="16"/>
    <col collapsed="false" customWidth="true" hidden="false" outlineLevel="0" max="8" min="5" style="0" width="14"/>
  </cols>
  <sheetData>
    <row r="1" customFormat="false" ht="39.75" hidden="false" customHeight="true" outlineLevel="0" collapsed="false">
      <c r="A1" s="1" t="s">
        <v>0</v>
      </c>
      <c r="B1" s="1"/>
      <c r="C1" s="1"/>
      <c r="D1" s="1"/>
      <c r="E1" s="1"/>
      <c r="F1" s="1"/>
      <c r="G1" s="1"/>
      <c r="H1" s="1"/>
    </row>
    <row r="2" customFormat="false" ht="9.75" hidden="false" customHeight="true" outlineLevel="0" collapsed="false">
      <c r="A2" s="1"/>
      <c r="B2" s="1"/>
      <c r="C2" s="1"/>
      <c r="D2" s="1"/>
      <c r="E2" s="1"/>
      <c r="F2" s="1"/>
      <c r="G2" s="1"/>
      <c r="H2" s="1"/>
    </row>
    <row r="3" customFormat="false" ht="9.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6" customFormat="false" ht="21.75" hidden="false" customHeight="true" outlineLevel="0" collapsed="false">
      <c r="A6" s="3" t="s">
        <v>2</v>
      </c>
      <c r="B6" s="3"/>
      <c r="C6" s="3"/>
      <c r="D6" s="3"/>
      <c r="E6" s="3"/>
      <c r="F6" s="3"/>
      <c r="G6" s="3"/>
      <c r="H6" s="3"/>
    </row>
    <row r="7" customFormat="false" ht="31.5" hidden="false" customHeight="true" outlineLevel="0" collapsed="false">
      <c r="A7" s="4" t="s">
        <v>3</v>
      </c>
      <c r="B7" s="4"/>
      <c r="C7" s="4"/>
      <c r="D7" s="4"/>
      <c r="E7" s="4"/>
      <c r="F7" s="4"/>
      <c r="G7" s="4"/>
      <c r="H7" s="4"/>
    </row>
    <row r="8" customFormat="false" ht="31.5" hidden="false" customHeight="true" outlineLevel="0" collapsed="false">
      <c r="A8" s="4" t="s">
        <v>4</v>
      </c>
      <c r="B8" s="4"/>
      <c r="C8" s="4"/>
      <c r="D8" s="4"/>
      <c r="E8" s="4"/>
      <c r="F8" s="4"/>
      <c r="G8" s="4"/>
      <c r="H8" s="4"/>
    </row>
    <row r="10" customFormat="false" ht="21.75" hidden="false" customHeight="true" outlineLevel="0" collapsed="false">
      <c r="A10" s="3" t="s">
        <v>5</v>
      </c>
      <c r="B10" s="3"/>
      <c r="C10" s="3"/>
      <c r="D10" s="3"/>
      <c r="E10" s="3"/>
      <c r="F10" s="3"/>
      <c r="G10" s="3"/>
      <c r="H10" s="3"/>
    </row>
    <row r="11" customFormat="false" ht="31.5" hidden="false" customHeight="true" outlineLevel="0" collapsed="false">
      <c r="A11" s="4" t="s">
        <v>6</v>
      </c>
      <c r="B11" s="4"/>
      <c r="C11" s="4"/>
      <c r="D11" s="4"/>
      <c r="E11" s="4"/>
      <c r="F11" s="4"/>
      <c r="G11" s="4"/>
      <c r="H11" s="4"/>
    </row>
    <row r="13" customFormat="false" ht="21.75" hidden="false" customHeight="true" outlineLevel="0" collapsed="false">
      <c r="A13" s="3" t="s">
        <v>7</v>
      </c>
      <c r="B13" s="3"/>
      <c r="C13" s="3"/>
      <c r="D13" s="3"/>
      <c r="E13" s="3"/>
      <c r="F13" s="3"/>
      <c r="G13" s="3"/>
      <c r="H13" s="3"/>
    </row>
    <row r="14" customFormat="false" ht="31.5" hidden="false" customHeight="true" outlineLevel="0" collapsed="false">
      <c r="A14" s="4" t="s">
        <v>8</v>
      </c>
      <c r="B14" s="4"/>
      <c r="C14" s="4"/>
      <c r="D14" s="4"/>
      <c r="E14" s="4"/>
      <c r="F14" s="4"/>
      <c r="G14" s="4"/>
      <c r="H14" s="4"/>
    </row>
    <row r="16" customFormat="false" ht="21.75" hidden="false" customHeight="true" outlineLevel="0" collapsed="false">
      <c r="A16" s="3" t="s">
        <v>9</v>
      </c>
      <c r="B16" s="3"/>
      <c r="C16" s="3"/>
      <c r="D16" s="3"/>
      <c r="E16" s="3"/>
      <c r="F16" s="3"/>
      <c r="G16" s="3"/>
      <c r="H16" s="3"/>
    </row>
    <row r="17" customFormat="false" ht="19.5" hidden="false" customHeight="true" outlineLevel="0" collapsed="false">
      <c r="A17" s="5" t="s">
        <v>10</v>
      </c>
      <c r="B17" s="5"/>
      <c r="C17" s="5" t="s">
        <v>11</v>
      </c>
      <c r="D17" s="5"/>
      <c r="E17" s="5"/>
      <c r="F17" s="5"/>
      <c r="G17" s="5"/>
      <c r="H17" s="5"/>
    </row>
    <row r="18" customFormat="false" ht="30" hidden="false" customHeight="true" outlineLevel="0" collapsed="false">
      <c r="A18" s="6" t="s">
        <v>12</v>
      </c>
      <c r="B18" s="6"/>
      <c r="C18" s="7" t="s">
        <v>13</v>
      </c>
      <c r="D18" s="7"/>
      <c r="E18" s="7"/>
      <c r="F18" s="7"/>
      <c r="G18" s="7"/>
      <c r="H18" s="7"/>
    </row>
    <row r="19" customFormat="false" ht="30" hidden="false" customHeight="true" outlineLevel="0" collapsed="false">
      <c r="A19" s="6" t="s">
        <v>14</v>
      </c>
      <c r="B19" s="6"/>
      <c r="C19" s="7" t="s">
        <v>15</v>
      </c>
      <c r="D19" s="7"/>
      <c r="E19" s="7"/>
      <c r="F19" s="7"/>
      <c r="G19" s="7"/>
      <c r="H19" s="7"/>
    </row>
    <row r="20" customFormat="false" ht="30" hidden="false" customHeight="true" outlineLevel="0" collapsed="false">
      <c r="A20" s="6" t="s">
        <v>16</v>
      </c>
      <c r="B20" s="6"/>
      <c r="C20" s="7" t="s">
        <v>17</v>
      </c>
      <c r="D20" s="7"/>
      <c r="E20" s="7"/>
      <c r="F20" s="7"/>
      <c r="G20" s="7"/>
      <c r="H20" s="7"/>
    </row>
    <row r="21" customFormat="false" ht="30" hidden="false" customHeight="true" outlineLevel="0" collapsed="false">
      <c r="A21" s="6" t="s">
        <v>18</v>
      </c>
      <c r="B21" s="6"/>
      <c r="C21" s="7" t="s">
        <v>19</v>
      </c>
      <c r="D21" s="7"/>
      <c r="E21" s="7"/>
      <c r="F21" s="7"/>
      <c r="G21" s="7"/>
      <c r="H21" s="7"/>
    </row>
    <row r="22" customFormat="false" ht="30" hidden="false" customHeight="true" outlineLevel="0" collapsed="false">
      <c r="A22" s="6" t="s">
        <v>20</v>
      </c>
      <c r="B22" s="6"/>
      <c r="C22" s="7" t="s">
        <v>21</v>
      </c>
      <c r="D22" s="7"/>
      <c r="E22" s="7"/>
      <c r="F22" s="7"/>
      <c r="G22" s="7"/>
      <c r="H22" s="7"/>
    </row>
    <row r="23" customFormat="false" ht="30" hidden="false" customHeight="true" outlineLevel="0" collapsed="false">
      <c r="A23" s="6" t="s">
        <v>22</v>
      </c>
      <c r="B23" s="6"/>
      <c r="C23" s="7" t="s">
        <v>23</v>
      </c>
      <c r="D23" s="7"/>
      <c r="E23" s="7"/>
      <c r="F23" s="7"/>
      <c r="G23" s="7"/>
      <c r="H23" s="7"/>
    </row>
    <row r="24" customFormat="false" ht="30" hidden="false" customHeight="true" outlineLevel="0" collapsed="false">
      <c r="A24" s="6" t="s">
        <v>24</v>
      </c>
      <c r="B24" s="6"/>
      <c r="C24" s="7" t="s">
        <v>25</v>
      </c>
      <c r="D24" s="7"/>
      <c r="E24" s="7"/>
      <c r="F24" s="7"/>
      <c r="G24" s="7"/>
      <c r="H24" s="7"/>
    </row>
    <row r="26" customFormat="false" ht="21.75" hidden="false" customHeight="true" outlineLevel="0" collapsed="false">
      <c r="A26" s="3" t="s">
        <v>26</v>
      </c>
      <c r="B26" s="3"/>
      <c r="C26" s="3"/>
      <c r="D26" s="3"/>
      <c r="E26" s="3"/>
      <c r="F26" s="3"/>
      <c r="G26" s="3"/>
      <c r="H26" s="3"/>
    </row>
    <row r="27" customFormat="false" ht="31.5" hidden="false" customHeight="true" outlineLevel="0" collapsed="false">
      <c r="A27" s="4" t="s">
        <v>27</v>
      </c>
      <c r="B27" s="4"/>
      <c r="C27" s="4"/>
      <c r="D27" s="4"/>
      <c r="E27" s="4"/>
      <c r="F27" s="4"/>
      <c r="G27" s="4"/>
      <c r="H27" s="4"/>
    </row>
  </sheetData>
  <mergeCells count="28">
    <mergeCell ref="A1:H3"/>
    <mergeCell ref="A4:H4"/>
    <mergeCell ref="A6:H6"/>
    <mergeCell ref="A7:H7"/>
    <mergeCell ref="A8:H8"/>
    <mergeCell ref="A10:H10"/>
    <mergeCell ref="A11:H11"/>
    <mergeCell ref="A13:H13"/>
    <mergeCell ref="A14:H14"/>
    <mergeCell ref="A16:H16"/>
    <mergeCell ref="A17:B17"/>
    <mergeCell ref="C17:H17"/>
    <mergeCell ref="A18:B18"/>
    <mergeCell ref="C18:H18"/>
    <mergeCell ref="A19:B19"/>
    <mergeCell ref="C19:H19"/>
    <mergeCell ref="A20:B20"/>
    <mergeCell ref="C20:H20"/>
    <mergeCell ref="A21:B21"/>
    <mergeCell ref="C21:H21"/>
    <mergeCell ref="A22:B22"/>
    <mergeCell ref="C22:H22"/>
    <mergeCell ref="A23:B23"/>
    <mergeCell ref="C23:H23"/>
    <mergeCell ref="A24:B24"/>
    <mergeCell ref="C24:H24"/>
    <mergeCell ref="A26:H26"/>
    <mergeCell ref="A27:H27"/>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71F"/>
    <pageSetUpPr fitToPage="true"/>
  </sheetPr>
  <dimension ref="A1:P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15"/>
    <col collapsed="false" customWidth="true" hidden="false" outlineLevel="0" max="6" min="5" style="0" width="11"/>
    <col collapsed="false" customWidth="true" hidden="false" outlineLevel="0" max="7" min="7" style="0" width="13"/>
    <col collapsed="false" customWidth="true" hidden="false" outlineLevel="0" max="9" min="8" style="0" width="11"/>
    <col collapsed="false" customWidth="true" hidden="false" outlineLevel="0" max="10" min="10" style="0" width="13"/>
    <col collapsed="false" customWidth="true" hidden="false" outlineLevel="0" max="16" min="11" style="0" width="11"/>
  </cols>
  <sheetData>
    <row r="1" customFormat="false" ht="36" hidden="false" customHeight="true" outlineLevel="0" collapsed="false">
      <c r="A1" s="8" t="s">
        <v>28</v>
      </c>
      <c r="B1" s="8"/>
      <c r="C1" s="8"/>
      <c r="D1" s="8"/>
      <c r="E1" s="8"/>
      <c r="F1" s="8"/>
      <c r="G1" s="8"/>
      <c r="H1" s="8"/>
      <c r="I1" s="8"/>
      <c r="J1" s="8"/>
      <c r="K1" s="8"/>
      <c r="L1" s="8"/>
      <c r="M1" s="8"/>
      <c r="N1" s="8"/>
      <c r="O1" s="8"/>
      <c r="P1" s="8"/>
    </row>
    <row r="2" customFormat="false" ht="18" hidden="false" customHeight="true" outlineLevel="0" collapsed="false">
      <c r="A2" s="9" t="s">
        <v>29</v>
      </c>
      <c r="B2" s="9"/>
      <c r="C2" s="9"/>
      <c r="D2" s="9"/>
      <c r="E2" s="9"/>
      <c r="F2" s="9"/>
      <c r="G2" s="9"/>
      <c r="H2" s="9"/>
      <c r="I2" s="9"/>
      <c r="J2" s="9"/>
      <c r="K2" s="9"/>
      <c r="L2" s="9"/>
      <c r="M2" s="9"/>
      <c r="N2" s="9"/>
      <c r="O2" s="9"/>
      <c r="P2" s="9"/>
    </row>
    <row r="4" customFormat="false" ht="19.5" hidden="false" customHeight="true" outlineLevel="0" collapsed="false">
      <c r="A4" s="10" t="s">
        <v>30</v>
      </c>
      <c r="B4" s="11" t="s">
        <v>31</v>
      </c>
      <c r="C4" s="11"/>
      <c r="D4" s="10" t="s">
        <v>32</v>
      </c>
      <c r="E4" s="11" t="s">
        <v>31</v>
      </c>
      <c r="F4" s="11"/>
      <c r="G4" s="12" t="s">
        <v>33</v>
      </c>
      <c r="H4" s="12"/>
      <c r="I4" s="12"/>
      <c r="J4" s="12"/>
      <c r="K4" s="12"/>
      <c r="L4" s="12"/>
      <c r="M4" s="12"/>
      <c r="N4" s="12"/>
      <c r="O4" s="12"/>
      <c r="P4" s="12"/>
    </row>
    <row r="5" customFormat="false" ht="19.5" hidden="false" customHeight="true" outlineLevel="0" collapsed="false">
      <c r="A5" s="10"/>
      <c r="B5" s="10"/>
      <c r="C5" s="11"/>
      <c r="D5" s="10"/>
      <c r="E5" s="10"/>
      <c r="F5" s="11"/>
      <c r="G5" s="12"/>
      <c r="H5" s="12"/>
      <c r="I5" s="12"/>
      <c r="J5" s="12"/>
      <c r="K5" s="12"/>
      <c r="L5" s="12"/>
      <c r="M5" s="12"/>
      <c r="N5" s="12"/>
      <c r="O5" s="12"/>
      <c r="P5" s="12"/>
    </row>
    <row r="7" customFormat="false" ht="19.5" hidden="false" customHeight="true" outlineLevel="0" collapsed="false">
      <c r="A7" s="13" t="s">
        <v>34</v>
      </c>
      <c r="B7" s="13"/>
      <c r="C7" s="13" t="s">
        <v>35</v>
      </c>
      <c r="D7" s="13"/>
      <c r="E7" s="13" t="s">
        <v>36</v>
      </c>
      <c r="F7" s="13"/>
      <c r="G7" s="13" t="s">
        <v>37</v>
      </c>
      <c r="H7" s="13"/>
      <c r="I7" s="13" t="s">
        <v>38</v>
      </c>
      <c r="J7" s="13"/>
    </row>
    <row r="8" customFormat="false" ht="30" hidden="false" customHeight="true" outlineLevel="0" collapsed="false">
      <c r="A8" s="14" t="n">
        <f aca="false">SUMIFS(CleanData[إجمالي المبيعات],CleanData[المنطقة],IF($B$4="الكل","*",$B$4),CleanData[الفئة],IF($E$4="الكل","*",$E$4))</f>
        <v>3698240.9</v>
      </c>
      <c r="B8" s="14"/>
      <c r="C8" s="15" t="n">
        <f aca="false">COUNTIFS(CleanData[المنطقة],IF($B$4="الكل","*",$B$4),CleanData[الفئة],IF($E$4="الكل","*",$E$4))</f>
        <v>1120</v>
      </c>
      <c r="D8" s="15"/>
      <c r="E8" s="16" t="n">
        <f aca="false">IFERROR(A8/C8,0)</f>
        <v>3302.00080357143</v>
      </c>
      <c r="F8" s="16"/>
      <c r="G8" s="15" t="n">
        <f aca="false">SUMIFS(CleanData[الكمية],CleanData[المنطقة],IF($B$4="الكل","*",$B$4),CleanData[الفئة],IF($E$4="الكل","*",$E$4))</f>
        <v>2085</v>
      </c>
      <c r="H8" s="15"/>
      <c r="I8" s="17" t="n">
        <f aca="false">IFERROR(A8/SUM(CleanData[إجمالي المبيعات]),0)</f>
        <v>1</v>
      </c>
      <c r="J8" s="17"/>
    </row>
    <row r="10" customFormat="false" ht="15" hidden="false" customHeight="false" outlineLevel="0" collapsed="false">
      <c r="A10" s="18" t="s">
        <v>39</v>
      </c>
    </row>
    <row r="11" customFormat="false" ht="18" hidden="false" customHeight="true" outlineLevel="0" collapsed="false">
      <c r="A11" s="13" t="s">
        <v>40</v>
      </c>
      <c r="B11" s="13" t="s">
        <v>41</v>
      </c>
      <c r="D11" s="13" t="s">
        <v>42</v>
      </c>
      <c r="E11" s="13" t="s">
        <v>41</v>
      </c>
      <c r="G11" s="13" t="s">
        <v>43</v>
      </c>
      <c r="H11" s="13" t="s">
        <v>41</v>
      </c>
      <c r="J11" s="13" t="s">
        <v>44</v>
      </c>
      <c r="K11" s="13" t="s">
        <v>41</v>
      </c>
    </row>
    <row r="12" customFormat="false" ht="15" hidden="false" customHeight="false" outlineLevel="0" collapsed="false">
      <c r="A12" s="19" t="s">
        <v>45</v>
      </c>
      <c r="B12" s="20" t="n">
        <f aca="false">SUMIFS(CleanData[إجمالي المبيعات],CleanData[اسم الشهر],$A12,CleanData[المنطقة],IF($B$4="الكل","*",$B$4),CleanData[الفئة],IF($E$4="الكل","*",$E$4))</f>
        <v>245455.7</v>
      </c>
      <c r="D12" s="19" t="s">
        <v>46</v>
      </c>
      <c r="E12" s="20" t="n">
        <f aca="false">SUMIFS(CleanData[إجمالي المبيعات],CleanData[الفرع],$D12,CleanData[المنطقة],IF($B$4="الكل","*",$B$4),CleanData[الفئة],IF($E$4="الكل","*",$E$4))</f>
        <v>1133402.8</v>
      </c>
      <c r="G12" s="19" t="s">
        <v>47</v>
      </c>
      <c r="H12" s="20" t="n">
        <f aca="false">SUMIFS(CleanData[إجمالي المبيعات],CleanData[نوع العميل],$G12,CleanData[المنطقة],IF($B$4="الكل","*",$B$4),CleanData[الفئة],IF($E$4="الكل","*",$E$4))</f>
        <v>2097433.2</v>
      </c>
      <c r="J12" s="19" t="s">
        <v>48</v>
      </c>
      <c r="K12" s="20" t="n">
        <f aca="false">SUMIFS(CleanData[إجمالي المبيعات],CleanData[طريقة الدفع],$J12,CleanData[المنطقة],IF($B$4="الكل","*",$B$4),CleanData[الفئة],IF($E$4="الكل","*",$E$4))</f>
        <v>1605693.65</v>
      </c>
    </row>
    <row r="13" customFormat="false" ht="15" hidden="false" customHeight="false" outlineLevel="0" collapsed="false">
      <c r="A13" s="19" t="s">
        <v>49</v>
      </c>
      <c r="B13" s="20" t="n">
        <f aca="false">SUMIFS(CleanData[إجمالي المبيعات],CleanData[اسم الشهر],$A13,CleanData[المنطقة],IF($B$4="الكل","*",$B$4),CleanData[الفئة],IF($E$4="الكل","*",$E$4))</f>
        <v>230319.15</v>
      </c>
      <c r="D13" s="19" t="s">
        <v>50</v>
      </c>
      <c r="E13" s="20" t="n">
        <f aca="false">SUMIFS(CleanData[إجمالي المبيعات],CleanData[الفرع],$D13,CleanData[المنطقة],IF($B$4="الكل","*",$B$4),CleanData[الفئة],IF($E$4="الكل","*",$E$4))</f>
        <v>1105399.2</v>
      </c>
      <c r="G13" s="19" t="s">
        <v>51</v>
      </c>
      <c r="H13" s="20" t="n">
        <f aca="false">SUMIFS(CleanData[إجمالي المبيعات],CleanData[نوع العميل],$G13,CleanData[المنطقة],IF($B$4="الكل","*",$B$4),CleanData[الفئة],IF($E$4="الكل","*",$E$4))</f>
        <v>1600807.7</v>
      </c>
      <c r="J13" s="19" t="s">
        <v>52</v>
      </c>
      <c r="K13" s="20" t="n">
        <f aca="false">SUMIFS(CleanData[إجمالي المبيعات],CleanData[طريقة الدفع],$J13,CleanData[المنطقة],IF($B$4="الكل","*",$B$4),CleanData[الفئة],IF($E$4="الكل","*",$E$4))</f>
        <v>994640.75</v>
      </c>
    </row>
    <row r="14" customFormat="false" ht="15" hidden="false" customHeight="false" outlineLevel="0" collapsed="false">
      <c r="A14" s="19" t="s">
        <v>53</v>
      </c>
      <c r="B14" s="20" t="n">
        <f aca="false">SUMIFS(CleanData[إجمالي المبيعات],CleanData[اسم الشهر],$A14,CleanData[المنطقة],IF($B$4="الكل","*",$B$4),CleanData[الفئة],IF($E$4="الكل","*",$E$4))</f>
        <v>310641.8</v>
      </c>
      <c r="D14" s="19" t="s">
        <v>54</v>
      </c>
      <c r="E14" s="20" t="n">
        <f aca="false">SUMIFS(CleanData[إجمالي المبيعات],CleanData[الفرع],$D14,CleanData[المنطقة],IF($B$4="الكل","*",$B$4),CleanData[الفئة],IF($E$4="الكل","*",$E$4))</f>
        <v>517668.4</v>
      </c>
      <c r="H14" s="19"/>
      <c r="J14" s="19" t="s">
        <v>55</v>
      </c>
      <c r="K14" s="20" t="n">
        <f aca="false">SUMIFS(CleanData[إجمالي المبيعات],CleanData[طريقة الدفع],$J14,CleanData[المنطقة],IF($B$4="الكل","*",$B$4),CleanData[الفئة],IF($E$4="الكل","*",$E$4))</f>
        <v>747593.95</v>
      </c>
    </row>
    <row r="15" customFormat="false" ht="15" hidden="false" customHeight="false" outlineLevel="0" collapsed="false">
      <c r="A15" s="19" t="s">
        <v>56</v>
      </c>
      <c r="B15" s="20" t="n">
        <f aca="false">SUMIFS(CleanData[إجمالي المبيعات],CleanData[اسم الشهر],$A15,CleanData[المنطقة],IF($B$4="الكل","*",$B$4),CleanData[الفئة],IF($E$4="الكل","*",$E$4))</f>
        <v>197125.5</v>
      </c>
      <c r="D15" s="19" t="s">
        <v>57</v>
      </c>
      <c r="E15" s="20" t="n">
        <f aca="false">SUMIFS(CleanData[إجمالي المبيعات],CleanData[الفرع],$D15,CleanData[المنطقة],IF($B$4="الكل","*",$B$4),CleanData[الفئة],IF($E$4="الكل","*",$E$4))</f>
        <v>444396.8</v>
      </c>
      <c r="H15" s="19"/>
      <c r="J15" s="19" t="s">
        <v>58</v>
      </c>
      <c r="K15" s="20" t="n">
        <f aca="false">SUMIFS(CleanData[إجمالي المبيعات],CleanData[طريقة الدفع],$J15,CleanData[المنطقة],IF($B$4="الكل","*",$B$4),CleanData[الفئة],IF($E$4="الكل","*",$E$4))</f>
        <v>350312.55</v>
      </c>
    </row>
    <row r="16" customFormat="false" ht="15" hidden="false" customHeight="false" outlineLevel="0" collapsed="false">
      <c r="A16" s="19" t="s">
        <v>59</v>
      </c>
      <c r="B16" s="20" t="n">
        <f aca="false">SUMIFS(CleanData[إجمالي المبيعات],CleanData[اسم الشهر],$A16,CleanData[المنطقة],IF($B$4="الكل","*",$B$4),CleanData[الفئة],IF($E$4="الكل","*",$E$4))</f>
        <v>341120.65</v>
      </c>
      <c r="D16" s="19" t="s">
        <v>60</v>
      </c>
      <c r="E16" s="20" t="n">
        <f aca="false">SUMIFS(CleanData[إجمالي المبيعات],CleanData[الفرع],$D16,CleanData[المنطقة],IF($B$4="الكل","*",$B$4),CleanData[الفئة],IF($E$4="الكل","*",$E$4))</f>
        <v>497373.7</v>
      </c>
      <c r="H16" s="19"/>
      <c r="K16" s="19"/>
    </row>
    <row r="17" customFormat="false" ht="15" hidden="false" customHeight="false" outlineLevel="0" collapsed="false">
      <c r="A17" s="19" t="s">
        <v>61</v>
      </c>
      <c r="B17" s="20" t="n">
        <f aca="false">SUMIFS(CleanData[إجمالي المبيعات],CleanData[اسم الشهر],$A17,CleanData[المنطقة],IF($B$4="الكل","*",$B$4),CleanData[الفئة],IF($E$4="الكل","*",$E$4))</f>
        <v>427179.65</v>
      </c>
    </row>
    <row r="18" customFormat="false" ht="15" hidden="false" customHeight="false" outlineLevel="0" collapsed="false">
      <c r="A18" s="19" t="s">
        <v>62</v>
      </c>
      <c r="B18" s="20" t="n">
        <f aca="false">SUMIFS(CleanData[إجمالي المبيعات],CleanData[اسم الشهر],$A18,CleanData[المنطقة],IF($B$4="الكل","*",$B$4),CleanData[الفئة],IF($E$4="الكل","*",$E$4))</f>
        <v>242251.65</v>
      </c>
    </row>
    <row r="19" customFormat="false" ht="15" hidden="false" customHeight="false" outlineLevel="0" collapsed="false">
      <c r="A19" s="19" t="s">
        <v>63</v>
      </c>
      <c r="B19" s="20" t="n">
        <f aca="false">SUMIFS(CleanData[إجمالي المبيعات],CleanData[اسم الشهر],$A19,CleanData[المنطقة],IF($B$4="الكل","*",$B$4),CleanData[الفئة],IF($E$4="الكل","*",$E$4))</f>
        <v>329999.7</v>
      </c>
    </row>
    <row r="20" customFormat="false" ht="15" hidden="false" customHeight="false" outlineLevel="0" collapsed="false">
      <c r="A20" s="19" t="s">
        <v>64</v>
      </c>
      <c r="B20" s="20" t="n">
        <f aca="false">SUMIFS(CleanData[إجمالي المبيعات],CleanData[اسم الشهر],$A20,CleanData[المنطقة],IF($B$4="الكل","*",$B$4),CleanData[الفئة],IF($E$4="الكل","*",$E$4))</f>
        <v>229364.75</v>
      </c>
    </row>
    <row r="21" customFormat="false" ht="15" hidden="false" customHeight="false" outlineLevel="0" collapsed="false">
      <c r="A21" s="19" t="s">
        <v>65</v>
      </c>
      <c r="B21" s="20" t="n">
        <f aca="false">SUMIFS(CleanData[إجمالي المبيعات],CleanData[اسم الشهر],$A21,CleanData[المنطقة],IF($B$4="الكل","*",$B$4),CleanData[الفئة],IF($E$4="الكل","*",$E$4))</f>
        <v>383931.85</v>
      </c>
    </row>
    <row r="22" customFormat="false" ht="15" hidden="false" customHeight="false" outlineLevel="0" collapsed="false">
      <c r="A22" s="19" t="s">
        <v>66</v>
      </c>
      <c r="B22" s="20" t="n">
        <f aca="false">SUMIFS(CleanData[إجمالي المبيعات],CleanData[اسم الشهر],$A22,CleanData[المنطقة],IF($B$4="الكل","*",$B$4),CleanData[الفئة],IF($E$4="الكل","*",$E$4))</f>
        <v>431308.7</v>
      </c>
    </row>
    <row r="23" customFormat="false" ht="15" hidden="false" customHeight="false" outlineLevel="0" collapsed="false">
      <c r="A23" s="19" t="s">
        <v>67</v>
      </c>
      <c r="B23" s="20" t="n">
        <f aca="false">SUMIFS(CleanData[إجمالي المبيعات],CleanData[اسم الشهر],$A23,CleanData[المنطقة],IF($B$4="الكل","*",$B$4),CleanData[الفئة],IF($E$4="الكل","*",$E$4))</f>
        <v>329541.8</v>
      </c>
    </row>
    <row r="25" customFormat="false" ht="15" hidden="false" customHeight="false" outlineLevel="0" collapsed="false">
      <c r="A25" s="21" t="s">
        <v>68</v>
      </c>
    </row>
  </sheetData>
  <mergeCells count="17">
    <mergeCell ref="A1:P1"/>
    <mergeCell ref="A2:P2"/>
    <mergeCell ref="A4:A5"/>
    <mergeCell ref="B4:C5"/>
    <mergeCell ref="D4:D5"/>
    <mergeCell ref="E4:F5"/>
    <mergeCell ref="G4:P5"/>
    <mergeCell ref="A7:B7"/>
    <mergeCell ref="C7:D7"/>
    <mergeCell ref="E7:F7"/>
    <mergeCell ref="G7:H7"/>
    <mergeCell ref="I7:J7"/>
    <mergeCell ref="A8:B8"/>
    <mergeCell ref="C8:D8"/>
    <mergeCell ref="E8:F8"/>
    <mergeCell ref="G8:H8"/>
    <mergeCell ref="I8:J8"/>
  </mergeCells>
  <dataValidations count="2">
    <dataValidation allowBlank="false" error="الرجاء اختيار منطقة من القائمة" errorStyle="stop" errorTitle="قيمة غير صحيحة" operator="between" showDropDown="false" showErrorMessage="false" showInputMessage="false" sqref="B4" type="list">
      <formula1>Lists!$T$2:$T$5</formula1>
      <formula2>0</formula2>
    </dataValidation>
    <dataValidation allowBlank="false" error="الرجاء اختيار فئة من القائمة" errorStyle="stop" errorTitle="قيمة غير صحيحة" operator="between" showDropDown="false" showErrorMessage="false" showInputMessage="false" sqref="E4" type="list">
      <formula1>Lists!$V$2:$V$7</formula1>
      <formula2>0</formula2>
    </dataValidation>
  </dataValidation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E6A"/>
    <pageSetUpPr fitToPage="true"/>
  </sheetPr>
  <dimension ref="A1:P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6" min="1" style="0" width="9"/>
  </cols>
  <sheetData>
    <row r="1" customFormat="false" ht="33.75" hidden="false" customHeight="true" outlineLevel="0" collapsed="false">
      <c r="A1" s="8" t="s">
        <v>69</v>
      </c>
      <c r="B1" s="8"/>
      <c r="C1" s="8"/>
      <c r="D1" s="8"/>
      <c r="E1" s="8"/>
      <c r="F1" s="8"/>
      <c r="G1" s="8"/>
      <c r="H1" s="8"/>
      <c r="I1" s="8"/>
      <c r="J1" s="8"/>
      <c r="K1" s="8"/>
      <c r="L1" s="8"/>
      <c r="M1" s="8"/>
      <c r="N1" s="8"/>
      <c r="O1" s="8"/>
      <c r="P1" s="8"/>
    </row>
    <row r="2" customFormat="false" ht="18" hidden="false" customHeight="true" outlineLevel="0" collapsed="false">
      <c r="A2" s="9" t="s">
        <v>70</v>
      </c>
      <c r="B2" s="9"/>
      <c r="C2" s="9"/>
      <c r="D2" s="9"/>
      <c r="E2" s="9"/>
      <c r="F2" s="9"/>
      <c r="G2" s="9"/>
      <c r="H2" s="9"/>
      <c r="I2" s="9"/>
      <c r="J2" s="9"/>
      <c r="K2" s="9"/>
      <c r="L2" s="9"/>
      <c r="M2" s="9"/>
      <c r="N2" s="9"/>
      <c r="O2" s="9"/>
      <c r="P2" s="9"/>
    </row>
  </sheetData>
  <mergeCells count="2">
    <mergeCell ref="A1:P1"/>
    <mergeCell ref="A2:P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E6A"/>
    <pageSetUpPr fitToPage="true"/>
  </sheetPr>
  <dimension ref="A1:L81"/>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20"/>
    <col collapsed="false" customWidth="true" hidden="false" outlineLevel="0" max="4" min="4" style="0" width="16"/>
    <col collapsed="false" customWidth="true" hidden="false" outlineLevel="0" max="5" min="5" style="0" width="18"/>
    <col collapsed="false" customWidth="true" hidden="false" outlineLevel="0" max="9" min="8" style="0" width="20"/>
    <col collapsed="false" customWidth="true" hidden="false" outlineLevel="0" max="12" min="11" style="0" width="20"/>
  </cols>
  <sheetData>
    <row r="1" customFormat="false" ht="33.75" hidden="false" customHeight="true" outlineLevel="0" collapsed="false">
      <c r="A1" s="8" t="s">
        <v>71</v>
      </c>
      <c r="B1" s="8"/>
      <c r="C1" s="8"/>
      <c r="D1" s="8"/>
      <c r="E1" s="8"/>
      <c r="F1" s="8"/>
      <c r="G1" s="8"/>
      <c r="H1" s="8"/>
    </row>
    <row r="2" customFormat="false" ht="18" hidden="false" customHeight="true" outlineLevel="0" collapsed="false">
      <c r="A2" s="9" t="s">
        <v>72</v>
      </c>
      <c r="B2" s="9"/>
      <c r="C2" s="9"/>
      <c r="D2" s="9"/>
      <c r="E2" s="9"/>
      <c r="F2" s="9"/>
      <c r="G2" s="9"/>
      <c r="H2" s="9"/>
    </row>
    <row r="3" customFormat="false" ht="15" hidden="false" customHeight="false" outlineLevel="0" collapsed="false">
      <c r="H3" s="18" t="s">
        <v>73</v>
      </c>
      <c r="K3" s="18" t="s">
        <v>74</v>
      </c>
    </row>
    <row r="4" customFormat="false" ht="15" hidden="false" customHeight="false" outlineLevel="0" collapsed="false">
      <c r="A4" s="21" t="s">
        <v>75</v>
      </c>
      <c r="H4" s="22" t="s">
        <v>76</v>
      </c>
      <c r="I4" s="23" t="n">
        <f aca="false">SUMIFS(CleanData[إجمالي المبيعات],CleanData[المندوب],$H4)</f>
        <v>280521.3</v>
      </c>
      <c r="K4" s="22" t="s">
        <v>77</v>
      </c>
      <c r="L4" s="23" t="n">
        <f aca="false">SUMIFS(CleanData[إجمالي المبيعات],CleanData[المنتج],$K4)</f>
        <v>25822.7</v>
      </c>
    </row>
    <row r="5" customFormat="false" ht="15" hidden="false" customHeight="false" outlineLevel="0" collapsed="false">
      <c r="A5" s="24" t="s">
        <v>34</v>
      </c>
      <c r="B5" s="25" t="n">
        <f aca="false">SUM(CleanData[إجمالي المبيعات])</f>
        <v>3698240.9</v>
      </c>
      <c r="H5" s="22" t="s">
        <v>78</v>
      </c>
      <c r="I5" s="23" t="n">
        <f aca="false">SUMIFS(CleanData[إجمالي المبيعات],CleanData[المندوب],$H5)</f>
        <v>352945.65</v>
      </c>
      <c r="K5" s="22" t="s">
        <v>79</v>
      </c>
      <c r="L5" s="23" t="n">
        <f aca="false">SUMIFS(CleanData[إجمالي المبيعات],CleanData[المنتج],$K5)</f>
        <v>387741.65</v>
      </c>
    </row>
    <row r="6" customFormat="false" ht="15" hidden="false" customHeight="false" outlineLevel="0" collapsed="false">
      <c r="A6" s="24" t="s">
        <v>80</v>
      </c>
      <c r="B6" s="26" t="n">
        <f aca="false">COUNTA(CleanData[رقم الطلب])</f>
        <v>1120</v>
      </c>
      <c r="H6" s="22" t="s">
        <v>81</v>
      </c>
      <c r="I6" s="23" t="n">
        <f aca="false">SUMIFS(CleanData[إجمالي المبيعات],CleanData[المندوب],$H6)</f>
        <v>369894.05</v>
      </c>
      <c r="K6" s="22" t="s">
        <v>82</v>
      </c>
      <c r="L6" s="23" t="n">
        <f aca="false">SUMIFS(CleanData[إجمالي المبيعات],CleanData[المنتج],$K6)</f>
        <v>292850.3</v>
      </c>
    </row>
    <row r="7" customFormat="false" ht="15" hidden="false" customHeight="false" outlineLevel="0" collapsed="false">
      <c r="A7" s="24" t="s">
        <v>83</v>
      </c>
      <c r="B7" s="27" t="n">
        <f aca="false">AVERAGE(CleanData[إجمالي المبيعات])</f>
        <v>3302.00080357143</v>
      </c>
      <c r="H7" s="22" t="s">
        <v>84</v>
      </c>
      <c r="I7" s="23" t="n">
        <f aca="false">SUMIFS(CleanData[إجمالي المبيعات],CleanData[المندوب],$H7)</f>
        <v>518419.35</v>
      </c>
      <c r="K7" s="22" t="s">
        <v>85</v>
      </c>
      <c r="L7" s="23" t="n">
        <f aca="false">SUMIFS(CleanData[إجمالي المبيعات],CleanData[المنتج],$K7)</f>
        <v>278878.4</v>
      </c>
    </row>
    <row r="8" customFormat="false" ht="15" hidden="false" customHeight="false" outlineLevel="0" collapsed="false">
      <c r="A8" s="24" t="s">
        <v>37</v>
      </c>
      <c r="B8" s="26" t="n">
        <f aca="false">SUM(CleanData[الكمية])</f>
        <v>2085</v>
      </c>
      <c r="H8" s="22" t="s">
        <v>86</v>
      </c>
      <c r="I8" s="23" t="n">
        <f aca="false">SUMIFS(CleanData[إجمالي المبيعات],CleanData[المندوب],$H8)</f>
        <v>494190.6</v>
      </c>
      <c r="K8" s="22" t="s">
        <v>87</v>
      </c>
      <c r="L8" s="23" t="n">
        <f aca="false">SUMIFS(CleanData[إجمالي المبيعات],CleanData[المنتج],$K8)</f>
        <v>438135.45</v>
      </c>
    </row>
    <row r="9" customFormat="false" ht="15" hidden="false" customHeight="false" outlineLevel="0" collapsed="false">
      <c r="A9" s="24" t="s">
        <v>88</v>
      </c>
      <c r="B9" s="28" t="n">
        <f aca="false">AVERAGE(CleanData[نسبة الخصم])</f>
        <v>0.0491517857142857</v>
      </c>
      <c r="H9" s="22" t="s">
        <v>89</v>
      </c>
      <c r="I9" s="23" t="n">
        <f aca="false">SUMIFS(CleanData[إجمالي المبيعات],CleanData[المندوب],$H9)</f>
        <v>383783.8</v>
      </c>
      <c r="K9" s="22" t="s">
        <v>90</v>
      </c>
      <c r="L9" s="23" t="n">
        <f aca="false">SUMIFS(CleanData[إجمالي المبيعات],CleanData[المنتج],$K9)</f>
        <v>373808.75</v>
      </c>
    </row>
    <row r="10" customFormat="false" ht="15" hidden="false" customHeight="false" outlineLevel="0" collapsed="false">
      <c r="A10" s="24" t="s">
        <v>91</v>
      </c>
      <c r="B10" s="25" t="n">
        <f aca="false">SUMPRODUCT(CleanData[سعر الوحدة]*CleanData[الكمية]*CleanData[نسبة الخصم])</f>
        <v>187984.1</v>
      </c>
      <c r="H10" s="22" t="s">
        <v>92</v>
      </c>
      <c r="I10" s="23" t="n">
        <f aca="false">SUMIFS(CleanData[إجمالي المبيعات],CleanData[المندوب],$H10)</f>
        <v>270669.8</v>
      </c>
      <c r="K10" s="22" t="s">
        <v>93</v>
      </c>
      <c r="L10" s="23" t="n">
        <f aca="false">SUMIFS(CleanData[إجمالي المبيعات],CleanData[المنتج],$K10)</f>
        <v>15411.15</v>
      </c>
    </row>
    <row r="11" customFormat="false" ht="15" hidden="false" customHeight="false" outlineLevel="0" collapsed="false">
      <c r="H11" s="22" t="s">
        <v>94</v>
      </c>
      <c r="I11" s="23" t="n">
        <f aca="false">SUMIFS(CleanData[إجمالي المبيعات],CleanData[المندوب],$H11)</f>
        <v>420906.6</v>
      </c>
      <c r="K11" s="22" t="s">
        <v>95</v>
      </c>
      <c r="L11" s="23" t="n">
        <f aca="false">SUMIFS(CleanData[إجمالي المبيعات],CleanData[المنتج],$K11)</f>
        <v>33438.95</v>
      </c>
    </row>
    <row r="12" customFormat="false" ht="15" hidden="false" customHeight="false" outlineLevel="0" collapsed="false">
      <c r="H12" s="22" t="s">
        <v>96</v>
      </c>
      <c r="I12" s="23" t="n">
        <f aca="false">SUMIFS(CleanData[إجمالي المبيعات],CleanData[المندوب],$H12)</f>
        <v>252109.5</v>
      </c>
      <c r="K12" s="22" t="s">
        <v>97</v>
      </c>
      <c r="L12" s="23" t="n">
        <f aca="false">SUMIFS(CleanData[إجمالي المبيعات],CleanData[المنتج],$K12)</f>
        <v>40584.25</v>
      </c>
    </row>
    <row r="13" customFormat="false" ht="15" hidden="false" customHeight="false" outlineLevel="0" collapsed="false">
      <c r="A13" s="21" t="s">
        <v>98</v>
      </c>
      <c r="H13" s="22" t="s">
        <v>99</v>
      </c>
      <c r="I13" s="23" t="n">
        <f aca="false">SUMIFS(CleanData[إجمالي المبيعات],CleanData[المندوب],$H13)</f>
        <v>354800.25</v>
      </c>
      <c r="K13" s="22" t="s">
        <v>100</v>
      </c>
      <c r="L13" s="23" t="n">
        <f aca="false">SUMIFS(CleanData[إجمالي المبيعات],CleanData[المنتج],$K13)</f>
        <v>28973.95</v>
      </c>
    </row>
    <row r="14" customFormat="false" ht="21.75" hidden="false" customHeight="true" outlineLevel="0" collapsed="false">
      <c r="A14" s="29" t="s">
        <v>101</v>
      </c>
      <c r="B14" s="29" t="s">
        <v>102</v>
      </c>
      <c r="C14" s="29" t="s">
        <v>35</v>
      </c>
      <c r="D14" s="29" t="s">
        <v>36</v>
      </c>
      <c r="E14" s="29" t="s">
        <v>103</v>
      </c>
      <c r="K14" s="22" t="s">
        <v>104</v>
      </c>
      <c r="L14" s="23" t="n">
        <f aca="false">SUMIFS(CleanData[إجمالي المبيعات],CleanData[المنتج],$K14)</f>
        <v>17831.3</v>
      </c>
    </row>
    <row r="15" customFormat="false" ht="15" hidden="false" customHeight="false" outlineLevel="0" collapsed="false">
      <c r="A15" s="30" t="s">
        <v>105</v>
      </c>
      <c r="B15" s="20" t="n">
        <f aca="false">SUMIFS(CleanData[إجمالي المبيعات],CleanData[الفئة],$A15)</f>
        <v>1771414.55</v>
      </c>
      <c r="C15" s="19" t="n">
        <f aca="false">COUNTIFS(CleanData[الفئة],$A15)</f>
        <v>356</v>
      </c>
      <c r="D15" s="31" t="n">
        <f aca="false">IFERROR(B15/C15,0)</f>
        <v>4975.88356741573</v>
      </c>
      <c r="E15" s="32" t="n">
        <f aca="false">B15/$B$5</f>
        <v>0.478988415816828</v>
      </c>
      <c r="K15" s="22" t="s">
        <v>106</v>
      </c>
      <c r="L15" s="23" t="n">
        <f aca="false">SUMIFS(CleanData[إجمالي المبيعات],CleanData[المنتج],$K15)</f>
        <v>15904.55</v>
      </c>
    </row>
    <row r="16" customFormat="false" ht="15" hidden="false" customHeight="false" outlineLevel="0" collapsed="false">
      <c r="A16" s="33" t="s">
        <v>107</v>
      </c>
      <c r="B16" s="34" t="n">
        <f aca="false">SUMIFS(CleanData[إجمالي المبيعات],CleanData[الفئة],$A16)</f>
        <v>1623912.75</v>
      </c>
      <c r="C16" s="35" t="n">
        <f aca="false">COUNTIFS(CleanData[الفئة],$A16)</f>
        <v>196</v>
      </c>
      <c r="D16" s="36" t="n">
        <f aca="false">IFERROR(B16/C16,0)</f>
        <v>8285.26913265306</v>
      </c>
      <c r="E16" s="37" t="n">
        <f aca="false">B16/$B$5</f>
        <v>0.439104102169223</v>
      </c>
      <c r="K16" s="22" t="s">
        <v>108</v>
      </c>
      <c r="L16" s="23" t="n">
        <f aca="false">SUMIFS(CleanData[إجمالي المبيعات],CleanData[المنتج],$K16)</f>
        <v>17428.75</v>
      </c>
    </row>
    <row r="17" customFormat="false" ht="15" hidden="false" customHeight="false" outlineLevel="0" collapsed="false">
      <c r="A17" s="30" t="s">
        <v>109</v>
      </c>
      <c r="B17" s="20" t="n">
        <f aca="false">SUMIFS(CleanData[إجمالي المبيعات],CleanData[الفئة],$A17)</f>
        <v>91278.95</v>
      </c>
      <c r="C17" s="19" t="n">
        <f aca="false">COUNTIFS(CleanData[الفئة],$A17)</f>
        <v>279</v>
      </c>
      <c r="D17" s="31" t="n">
        <f aca="false">IFERROR(B17/C17,0)</f>
        <v>327.164695340502</v>
      </c>
      <c r="E17" s="32" t="n">
        <f aca="false">B17/$B$5</f>
        <v>0.0246817209771273</v>
      </c>
      <c r="K17" s="22" t="s">
        <v>110</v>
      </c>
      <c r="L17" s="23" t="n">
        <f aca="false">SUMIFS(CleanData[إجمالي المبيعات],CleanData[المنتج],$K17)</f>
        <v>16309.25</v>
      </c>
    </row>
    <row r="18" customFormat="false" ht="15" hidden="false" customHeight="false" outlineLevel="0" collapsed="false">
      <c r="A18" s="33" t="s">
        <v>111</v>
      </c>
      <c r="B18" s="34" t="n">
        <f aca="false">SUMIFS(CleanData[إجمالي المبيعات],CleanData[الفئة],$A18)</f>
        <v>69917.3</v>
      </c>
      <c r="C18" s="35" t="n">
        <f aca="false">COUNTIFS(CleanData[الفئة],$A18)</f>
        <v>126</v>
      </c>
      <c r="D18" s="36" t="n">
        <f aca="false">IFERROR(B18/C18,0)</f>
        <v>554.899206349206</v>
      </c>
      <c r="E18" s="37" t="n">
        <f aca="false">B18/$B$5</f>
        <v>0.018905555881987</v>
      </c>
      <c r="K18" s="22" t="s">
        <v>112</v>
      </c>
      <c r="L18" s="23" t="n">
        <f aca="false">SUMIFS(CleanData[إجمالي المبيعات],CleanData[المنتج],$K18)</f>
        <v>484250.9</v>
      </c>
    </row>
    <row r="19" customFormat="false" ht="15" hidden="false" customHeight="false" outlineLevel="0" collapsed="false">
      <c r="A19" s="30" t="s">
        <v>113</v>
      </c>
      <c r="B19" s="20" t="n">
        <f aca="false">SUMIFS(CleanData[إجمالي المبيعات],CleanData[الفئة],$A19)</f>
        <v>141717.35</v>
      </c>
      <c r="C19" s="19" t="n">
        <f aca="false">COUNTIFS(CleanData[الفئة],$A19)</f>
        <v>163</v>
      </c>
      <c r="D19" s="31" t="n">
        <f aca="false">IFERROR(B19/C19,0)</f>
        <v>869.431595092025</v>
      </c>
      <c r="E19" s="32" t="n">
        <f aca="false">B19/$B$5</f>
        <v>0.0383202051548346</v>
      </c>
      <c r="K19" s="22" t="s">
        <v>114</v>
      </c>
      <c r="L19" s="23" t="n">
        <f aca="false">SUMIFS(CleanData[إجمالي المبيعات],CleanData[المنتج],$K19)</f>
        <v>329267.65</v>
      </c>
    </row>
    <row r="20" customFormat="false" ht="15" hidden="false" customHeight="false" outlineLevel="0" collapsed="false">
      <c r="K20" s="22" t="s">
        <v>115</v>
      </c>
      <c r="L20" s="23" t="n">
        <f aca="false">SUMIFS(CleanData[إجمالي المبيعات],CleanData[المنتج],$K20)</f>
        <v>385404.5</v>
      </c>
    </row>
    <row r="21" customFormat="false" ht="15" hidden="false" customHeight="false" outlineLevel="0" collapsed="false">
      <c r="K21" s="22" t="s">
        <v>116</v>
      </c>
      <c r="L21" s="23" t="n">
        <f aca="false">SUMIFS(CleanData[إجمالي المبيعات],CleanData[المنتج],$K21)</f>
        <v>424989.7</v>
      </c>
    </row>
    <row r="22" customFormat="false" ht="15" hidden="false" customHeight="false" outlineLevel="0" collapsed="false">
      <c r="A22" s="21" t="s">
        <v>117</v>
      </c>
      <c r="K22" s="22" t="s">
        <v>118</v>
      </c>
      <c r="L22" s="23" t="n">
        <f aca="false">SUMIFS(CleanData[إجمالي المبيعات],CleanData[المنتج],$K22)</f>
        <v>18835.35</v>
      </c>
    </row>
    <row r="23" customFormat="false" ht="21.75" hidden="false" customHeight="true" outlineLevel="0" collapsed="false">
      <c r="A23" s="29" t="s">
        <v>42</v>
      </c>
      <c r="B23" s="29" t="s">
        <v>119</v>
      </c>
      <c r="C23" s="29" t="s">
        <v>102</v>
      </c>
      <c r="D23" s="29" t="s">
        <v>35</v>
      </c>
      <c r="E23" s="29" t="s">
        <v>36</v>
      </c>
      <c r="K23" s="22" t="s">
        <v>120</v>
      </c>
      <c r="L23" s="23" t="n">
        <f aca="false">SUMIFS(CleanData[إجمالي المبيعات],CleanData[المنتج],$K23)</f>
        <v>16872.85</v>
      </c>
    </row>
    <row r="24" customFormat="false" ht="15" hidden="false" customHeight="false" outlineLevel="0" collapsed="false">
      <c r="A24" s="30" t="s">
        <v>46</v>
      </c>
      <c r="B24" s="19" t="str">
        <f aca="false">INDEX(Lists!$B$2:$B$6,MATCH($A24,Lists!$A$2:$A$6,0))</f>
        <v>المنطقة الوسطى</v>
      </c>
      <c r="C24" s="20" t="n">
        <f aca="false">SUMIFS(CleanData[إجمالي المبيعات],CleanData[الفرع],$A24)</f>
        <v>1133402.8</v>
      </c>
      <c r="D24" s="19" t="n">
        <f aca="false">COUNTIFS(CleanData[الفرع],$A24)</f>
        <v>361</v>
      </c>
      <c r="E24" s="31" t="n">
        <f aca="false">IFERROR(C24/D24,0)</f>
        <v>3139.61994459834</v>
      </c>
      <c r="K24" s="22" t="s">
        <v>121</v>
      </c>
      <c r="L24" s="23" t="n">
        <f aca="false">SUMIFS(CleanData[إجمالي المبيعات],CleanData[المنتج],$K24)</f>
        <v>38720.2</v>
      </c>
    </row>
    <row r="25" customFormat="false" ht="15" hidden="false" customHeight="false" outlineLevel="0" collapsed="false">
      <c r="A25" s="33" t="s">
        <v>50</v>
      </c>
      <c r="B25" s="35" t="str">
        <f aca="false">INDEX(Lists!$B$2:$B$6,MATCH($A25,Lists!$A$2:$A$6,0))</f>
        <v>المنطقة الغربية</v>
      </c>
      <c r="C25" s="34" t="n">
        <f aca="false">SUMIFS(CleanData[إجمالي المبيعات],CleanData[الفرع],$A25)</f>
        <v>1105399.2</v>
      </c>
      <c r="D25" s="35" t="n">
        <f aca="false">COUNTIFS(CleanData[الفرع],$A25)</f>
        <v>311</v>
      </c>
      <c r="E25" s="36" t="n">
        <f aca="false">IFERROR(C25/D25,0)</f>
        <v>3554.33826366559</v>
      </c>
      <c r="K25" s="22" t="s">
        <v>122</v>
      </c>
      <c r="L25" s="23" t="n">
        <f aca="false">SUMIFS(CleanData[إجمالي المبيعات],CleanData[المنتج],$K25)</f>
        <v>16780.35</v>
      </c>
    </row>
    <row r="26" customFormat="false" ht="15" hidden="false" customHeight="false" outlineLevel="0" collapsed="false">
      <c r="A26" s="30" t="s">
        <v>54</v>
      </c>
      <c r="B26" s="19" t="str">
        <f aca="false">INDEX(Lists!$B$2:$B$6,MATCH($A26,Lists!$A$2:$A$6,0))</f>
        <v>المنطقة الشرقية</v>
      </c>
      <c r="C26" s="20" t="n">
        <f aca="false">SUMIFS(CleanData[إجمالي المبيعات],CleanData[الفرع],$A26)</f>
        <v>517668.4</v>
      </c>
      <c r="D26" s="19" t="n">
        <f aca="false">COUNTIFS(CleanData[الفرع],$A26)</f>
        <v>165</v>
      </c>
      <c r="E26" s="31" t="n">
        <f aca="false">IFERROR(C26/D26,0)</f>
        <v>3137.38424242424</v>
      </c>
    </row>
    <row r="27" customFormat="false" ht="15" hidden="false" customHeight="false" outlineLevel="0" collapsed="false">
      <c r="A27" s="33" t="s">
        <v>57</v>
      </c>
      <c r="B27" s="35" t="str">
        <f aca="false">INDEX(Lists!$B$2:$B$6,MATCH($A27,Lists!$A$2:$A$6,0))</f>
        <v>المنطقة الغربية</v>
      </c>
      <c r="C27" s="34" t="n">
        <f aca="false">SUMIFS(CleanData[إجمالي المبيعات],CleanData[الفرع],$A27)</f>
        <v>444396.8</v>
      </c>
      <c r="D27" s="35" t="n">
        <f aca="false">COUNTIFS(CleanData[الفرع],$A27)</f>
        <v>144</v>
      </c>
      <c r="E27" s="36" t="n">
        <f aca="false">IFERROR(C27/D27,0)</f>
        <v>3086.08888888889</v>
      </c>
    </row>
    <row r="28" customFormat="false" ht="15" hidden="false" customHeight="false" outlineLevel="0" collapsed="false">
      <c r="A28" s="30" t="s">
        <v>60</v>
      </c>
      <c r="B28" s="19" t="str">
        <f aca="false">INDEX(Lists!$B$2:$B$6,MATCH($A28,Lists!$A$2:$A$6,0))</f>
        <v>المنطقة الغربية</v>
      </c>
      <c r="C28" s="20" t="n">
        <f aca="false">SUMIFS(CleanData[إجمالي المبيعات],CleanData[الفرع],$A28)</f>
        <v>497373.7</v>
      </c>
      <c r="D28" s="19" t="n">
        <f aca="false">COUNTIFS(CleanData[الفرع],$A28)</f>
        <v>139</v>
      </c>
      <c r="E28" s="31" t="n">
        <f aca="false">IFERROR(C28/D28,0)</f>
        <v>3578.22805755396</v>
      </c>
    </row>
    <row r="31" customFormat="false" ht="15" hidden="false" customHeight="false" outlineLevel="0" collapsed="false">
      <c r="A31" s="21" t="s">
        <v>123</v>
      </c>
    </row>
    <row r="32" customFormat="false" ht="21.75" hidden="false" customHeight="true" outlineLevel="0" collapsed="false">
      <c r="A32" s="29" t="s">
        <v>40</v>
      </c>
      <c r="B32" s="29" t="s">
        <v>102</v>
      </c>
      <c r="C32" s="29" t="s">
        <v>35</v>
      </c>
      <c r="D32" s="29" t="s">
        <v>36</v>
      </c>
    </row>
    <row r="33" customFormat="false" ht="15" hidden="false" customHeight="false" outlineLevel="0" collapsed="false">
      <c r="A33" s="30" t="s">
        <v>45</v>
      </c>
      <c r="B33" s="20" t="n">
        <f aca="false">SUMIFS(CleanData[إجمالي المبيعات],CleanData[اسم الشهر],$A33)</f>
        <v>245455.7</v>
      </c>
      <c r="C33" s="19" t="n">
        <f aca="false">COUNTIFS(CleanData[اسم الشهر],$A33)</f>
        <v>81</v>
      </c>
      <c r="D33" s="31" t="n">
        <f aca="false">IFERROR(B33/C33,0)</f>
        <v>3030.31728395062</v>
      </c>
    </row>
    <row r="34" customFormat="false" ht="15" hidden="false" customHeight="false" outlineLevel="0" collapsed="false">
      <c r="A34" s="33" t="s">
        <v>49</v>
      </c>
      <c r="B34" s="34" t="n">
        <f aca="false">SUMIFS(CleanData[إجمالي المبيعات],CleanData[اسم الشهر],$A34)</f>
        <v>230319.15</v>
      </c>
      <c r="C34" s="35" t="n">
        <f aca="false">COUNTIFS(CleanData[اسم الشهر],$A34)</f>
        <v>70</v>
      </c>
      <c r="D34" s="36" t="n">
        <f aca="false">IFERROR(B34/C34,0)</f>
        <v>3290.27357142857</v>
      </c>
    </row>
    <row r="35" customFormat="false" ht="15" hidden="false" customHeight="false" outlineLevel="0" collapsed="false">
      <c r="A35" s="30" t="s">
        <v>53</v>
      </c>
      <c r="B35" s="20" t="n">
        <f aca="false">SUMIFS(CleanData[إجمالي المبيعات],CleanData[اسم الشهر],$A35)</f>
        <v>310641.8</v>
      </c>
      <c r="C35" s="19" t="n">
        <f aca="false">COUNTIFS(CleanData[اسم الشهر],$A35)</f>
        <v>103</v>
      </c>
      <c r="D35" s="31" t="n">
        <f aca="false">IFERROR(B35/C35,0)</f>
        <v>3015.93980582524</v>
      </c>
    </row>
    <row r="36" customFormat="false" ht="15" hidden="false" customHeight="false" outlineLevel="0" collapsed="false">
      <c r="A36" s="33" t="s">
        <v>56</v>
      </c>
      <c r="B36" s="34" t="n">
        <f aca="false">SUMIFS(CleanData[إجمالي المبيعات],CleanData[اسم الشهر],$A36)</f>
        <v>197125.5</v>
      </c>
      <c r="C36" s="35" t="n">
        <f aca="false">COUNTIFS(CleanData[اسم الشهر],$A36)</f>
        <v>68</v>
      </c>
      <c r="D36" s="36" t="n">
        <f aca="false">IFERROR(B36/C36,0)</f>
        <v>2898.90441176471</v>
      </c>
    </row>
    <row r="37" customFormat="false" ht="15" hidden="false" customHeight="false" outlineLevel="0" collapsed="false">
      <c r="A37" s="30" t="s">
        <v>59</v>
      </c>
      <c r="B37" s="20" t="n">
        <f aca="false">SUMIFS(CleanData[إجمالي المبيعات],CleanData[اسم الشهر],$A37)</f>
        <v>341120.65</v>
      </c>
      <c r="C37" s="19" t="n">
        <f aca="false">COUNTIFS(CleanData[اسم الشهر],$A37)</f>
        <v>84</v>
      </c>
      <c r="D37" s="31" t="n">
        <f aca="false">IFERROR(B37/C37,0)</f>
        <v>4060.96011904762</v>
      </c>
    </row>
    <row r="38" customFormat="false" ht="15" hidden="false" customHeight="false" outlineLevel="0" collapsed="false">
      <c r="A38" s="33" t="s">
        <v>61</v>
      </c>
      <c r="B38" s="34" t="n">
        <f aca="false">SUMIFS(CleanData[إجمالي المبيعات],CleanData[اسم الشهر],$A38)</f>
        <v>427179.65</v>
      </c>
      <c r="C38" s="35" t="n">
        <f aca="false">COUNTIFS(CleanData[اسم الشهر],$A38)</f>
        <v>90</v>
      </c>
      <c r="D38" s="36" t="n">
        <f aca="false">IFERROR(B38/C38,0)</f>
        <v>4746.44055555556</v>
      </c>
    </row>
    <row r="39" customFormat="false" ht="15" hidden="false" customHeight="false" outlineLevel="0" collapsed="false">
      <c r="A39" s="30" t="s">
        <v>62</v>
      </c>
      <c r="B39" s="20" t="n">
        <f aca="false">SUMIFS(CleanData[إجمالي المبيعات],CleanData[اسم الشهر],$A39)</f>
        <v>242251.65</v>
      </c>
      <c r="C39" s="19" t="n">
        <f aca="false">COUNTIFS(CleanData[اسم الشهر],$A39)</f>
        <v>85</v>
      </c>
      <c r="D39" s="31" t="n">
        <f aca="false">IFERROR(B39/C39,0)</f>
        <v>2850.01941176471</v>
      </c>
    </row>
    <row r="40" customFormat="false" ht="15" hidden="false" customHeight="false" outlineLevel="0" collapsed="false">
      <c r="A40" s="33" t="s">
        <v>63</v>
      </c>
      <c r="B40" s="34" t="n">
        <f aca="false">SUMIFS(CleanData[إجمالي المبيعات],CleanData[اسم الشهر],$A40)</f>
        <v>329999.7</v>
      </c>
      <c r="C40" s="35" t="n">
        <f aca="false">COUNTIFS(CleanData[اسم الشهر],$A40)</f>
        <v>121</v>
      </c>
      <c r="D40" s="36" t="n">
        <f aca="false">IFERROR(B40/C40,0)</f>
        <v>2727.27024793388</v>
      </c>
    </row>
    <row r="41" customFormat="false" ht="15" hidden="false" customHeight="false" outlineLevel="0" collapsed="false">
      <c r="A41" s="30" t="s">
        <v>64</v>
      </c>
      <c r="B41" s="20" t="n">
        <f aca="false">SUMIFS(CleanData[إجمالي المبيعات],CleanData[اسم الشهر],$A41)</f>
        <v>229364.75</v>
      </c>
      <c r="C41" s="19" t="n">
        <f aca="false">COUNTIFS(CleanData[اسم الشهر],$A41)</f>
        <v>78</v>
      </c>
      <c r="D41" s="31" t="n">
        <f aca="false">IFERROR(B41/C41,0)</f>
        <v>2940.57371794872</v>
      </c>
    </row>
    <row r="42" customFormat="false" ht="15" hidden="false" customHeight="false" outlineLevel="0" collapsed="false">
      <c r="A42" s="33" t="s">
        <v>65</v>
      </c>
      <c r="B42" s="34" t="n">
        <f aca="false">SUMIFS(CleanData[إجمالي المبيعات],CleanData[اسم الشهر],$A42)</f>
        <v>383931.85</v>
      </c>
      <c r="C42" s="35" t="n">
        <f aca="false">COUNTIFS(CleanData[اسم الشهر],$A42)</f>
        <v>96</v>
      </c>
      <c r="D42" s="36" t="n">
        <f aca="false">IFERROR(B42/C42,0)</f>
        <v>3999.29010416667</v>
      </c>
    </row>
    <row r="43" customFormat="false" ht="15" hidden="false" customHeight="false" outlineLevel="0" collapsed="false">
      <c r="A43" s="30" t="s">
        <v>66</v>
      </c>
      <c r="B43" s="20" t="n">
        <f aca="false">SUMIFS(CleanData[إجمالي المبيعات],CleanData[اسم الشهر],$A43)</f>
        <v>431308.7</v>
      </c>
      <c r="C43" s="19" t="n">
        <f aca="false">COUNTIFS(CleanData[اسم الشهر],$A43)</f>
        <v>136</v>
      </c>
      <c r="D43" s="31" t="n">
        <f aca="false">IFERROR(B43/C43,0)</f>
        <v>3171.3875</v>
      </c>
    </row>
    <row r="44" customFormat="false" ht="15" hidden="false" customHeight="false" outlineLevel="0" collapsed="false">
      <c r="A44" s="33" t="s">
        <v>67</v>
      </c>
      <c r="B44" s="34" t="n">
        <f aca="false">SUMIFS(CleanData[إجمالي المبيعات],CleanData[اسم الشهر],$A44)</f>
        <v>329541.8</v>
      </c>
      <c r="C44" s="35" t="n">
        <f aca="false">COUNTIFS(CleanData[اسم الشهر],$A44)</f>
        <v>108</v>
      </c>
      <c r="D44" s="36" t="n">
        <f aca="false">IFERROR(B44/C44,0)</f>
        <v>3051.31296296296</v>
      </c>
    </row>
    <row r="47" customFormat="false" ht="15" hidden="false" customHeight="false" outlineLevel="0" collapsed="false">
      <c r="A47" s="21" t="s">
        <v>124</v>
      </c>
    </row>
    <row r="48" customFormat="false" ht="21.75" hidden="false" customHeight="true" outlineLevel="0" collapsed="false">
      <c r="A48" s="29" t="s">
        <v>44</v>
      </c>
      <c r="B48" s="29" t="s">
        <v>102</v>
      </c>
      <c r="C48" s="29" t="s">
        <v>125</v>
      </c>
      <c r="D48" s="29" t="s">
        <v>35</v>
      </c>
    </row>
    <row r="49" customFormat="false" ht="15" hidden="false" customHeight="false" outlineLevel="0" collapsed="false">
      <c r="A49" s="30" t="s">
        <v>48</v>
      </c>
      <c r="B49" s="20" t="n">
        <f aca="false">SUMIFS(CleanData[إجمالي المبيعات],CleanData[طريقة الدفع],$A49)</f>
        <v>1605693.65</v>
      </c>
      <c r="C49" s="32" t="n">
        <f aca="false">B49/$B$5</f>
        <v>0.434177678906747</v>
      </c>
      <c r="D49" s="19" t="n">
        <f aca="false">COUNTIFS(CleanData[طريقة الدفع],$A49)</f>
        <v>482</v>
      </c>
    </row>
    <row r="50" customFormat="false" ht="15" hidden="false" customHeight="false" outlineLevel="0" collapsed="false">
      <c r="A50" s="33" t="s">
        <v>52</v>
      </c>
      <c r="B50" s="34" t="n">
        <f aca="false">SUMIFS(CleanData[إجمالي المبيعات],CleanData[طريقة الدفع],$A50)</f>
        <v>994640.75</v>
      </c>
      <c r="C50" s="37" t="n">
        <f aca="false">B50/$B$5</f>
        <v>0.268949691730466</v>
      </c>
      <c r="D50" s="35" t="n">
        <f aca="false">COUNTIFS(CleanData[طريقة الدفع],$A50)</f>
        <v>318</v>
      </c>
    </row>
    <row r="51" customFormat="false" ht="15" hidden="false" customHeight="false" outlineLevel="0" collapsed="false">
      <c r="A51" s="30" t="s">
        <v>55</v>
      </c>
      <c r="B51" s="20" t="n">
        <f aca="false">SUMIFS(CleanData[إجمالي المبيعات],CleanData[طريقة الدفع],$A51)</f>
        <v>747593.95</v>
      </c>
      <c r="C51" s="32" t="n">
        <f aca="false">B51/$B$5</f>
        <v>0.202148526884768</v>
      </c>
      <c r="D51" s="19" t="n">
        <f aca="false">COUNTIFS(CleanData[طريقة الدفع],$A51)</f>
        <v>213</v>
      </c>
    </row>
    <row r="52" customFormat="false" ht="15" hidden="false" customHeight="false" outlineLevel="0" collapsed="false">
      <c r="A52" s="33" t="s">
        <v>58</v>
      </c>
      <c r="B52" s="34" t="n">
        <f aca="false">SUMIFS(CleanData[إجمالي المبيعات],CleanData[طريقة الدفع],$A52)</f>
        <v>350312.55</v>
      </c>
      <c r="C52" s="37" t="n">
        <f aca="false">B52/$B$5</f>
        <v>0.0947241024780187</v>
      </c>
      <c r="D52" s="35" t="n">
        <f aca="false">COUNTIFS(CleanData[طريقة الدفع],$A52)</f>
        <v>107</v>
      </c>
    </row>
    <row r="55" customFormat="false" ht="15" hidden="false" customHeight="false" outlineLevel="0" collapsed="false">
      <c r="A55" s="21" t="s">
        <v>126</v>
      </c>
    </row>
    <row r="56" customFormat="false" ht="21.75" hidden="false" customHeight="true" outlineLevel="0" collapsed="false">
      <c r="A56" s="29" t="s">
        <v>43</v>
      </c>
      <c r="B56" s="29" t="s">
        <v>102</v>
      </c>
      <c r="C56" s="29" t="s">
        <v>35</v>
      </c>
      <c r="D56" s="29" t="s">
        <v>36</v>
      </c>
    </row>
    <row r="57" customFormat="false" ht="15" hidden="false" customHeight="false" outlineLevel="0" collapsed="false">
      <c r="A57" s="30" t="s">
        <v>47</v>
      </c>
      <c r="B57" s="20" t="n">
        <f aca="false">SUMIFS(CleanData[إجمالي المبيعات],CleanData[نوع العميل],$A57)</f>
        <v>2097433.2</v>
      </c>
      <c r="C57" s="19" t="n">
        <f aca="false">COUNTIFS(CleanData[نوع العميل],$A57)</f>
        <v>886</v>
      </c>
      <c r="D57" s="31" t="n">
        <f aca="false">IFERROR(B57/C57,0)</f>
        <v>2367.30609480813</v>
      </c>
    </row>
    <row r="58" customFormat="false" ht="15" hidden="false" customHeight="false" outlineLevel="0" collapsed="false">
      <c r="A58" s="33" t="s">
        <v>51</v>
      </c>
      <c r="B58" s="34" t="n">
        <f aca="false">SUMIFS(CleanData[إجمالي المبيعات],CleanData[نوع العميل],$A58)</f>
        <v>1600807.7</v>
      </c>
      <c r="C58" s="35" t="n">
        <f aca="false">COUNTIFS(CleanData[نوع العميل],$A58)</f>
        <v>234</v>
      </c>
      <c r="D58" s="36" t="n">
        <f aca="false">IFERROR(B58/C58,0)</f>
        <v>6841.05854700855</v>
      </c>
    </row>
    <row r="61" customFormat="false" ht="15" hidden="false" customHeight="false" outlineLevel="0" collapsed="false">
      <c r="A61" s="21" t="s">
        <v>127</v>
      </c>
    </row>
    <row r="62" customFormat="false" ht="21.75" hidden="false" customHeight="true" outlineLevel="0" collapsed="false">
      <c r="A62" s="29" t="s">
        <v>128</v>
      </c>
      <c r="B62" s="29" t="s">
        <v>129</v>
      </c>
      <c r="C62" s="29" t="s">
        <v>102</v>
      </c>
      <c r="D62" s="29" t="s">
        <v>35</v>
      </c>
      <c r="E62" s="29" t="s">
        <v>36</v>
      </c>
    </row>
    <row r="63" customFormat="false" ht="15" hidden="false" customHeight="false" outlineLevel="0" collapsed="false">
      <c r="A63" s="38" t="n">
        <v>1</v>
      </c>
      <c r="B63" s="39" t="str">
        <f aca="false">INDEX($H$4:$H$13,MATCH(LARGE($I$4:$I$13,1),$I$4:$I$13,0))</f>
        <v>سارة القحطاني</v>
      </c>
      <c r="C63" s="40" t="n">
        <f aca="false">LARGE($I$4:$I$13,1)</f>
        <v>518419.35</v>
      </c>
      <c r="D63" s="38" t="n">
        <f aca="false">COUNTIFS(CleanData[المندوب],$B63)</f>
        <v>146</v>
      </c>
      <c r="E63" s="41" t="n">
        <f aca="false">IFERROR(C63/D63,0)</f>
        <v>3550.81746575342</v>
      </c>
    </row>
    <row r="64" customFormat="false" ht="15" hidden="false" customHeight="false" outlineLevel="0" collapsed="false">
      <c r="A64" s="35" t="n">
        <v>2</v>
      </c>
      <c r="B64" s="33" t="str">
        <f aca="false">INDEX($H$4:$H$13,MATCH(LARGE($I$4:$I$13,2),$I$4:$I$13,0))</f>
        <v>عبدالله المطيري</v>
      </c>
      <c r="C64" s="34" t="n">
        <f aca="false">LARGE($I$4:$I$13,2)</f>
        <v>494190.6</v>
      </c>
      <c r="D64" s="35" t="n">
        <f aca="false">COUNTIFS(CleanData[المندوب],$B64)</f>
        <v>169</v>
      </c>
      <c r="E64" s="36" t="n">
        <f aca="false">IFERROR(C64/D64,0)</f>
        <v>2924.20473372781</v>
      </c>
    </row>
    <row r="65" customFormat="false" ht="15" hidden="false" customHeight="false" outlineLevel="0" collapsed="false">
      <c r="A65" s="19" t="n">
        <v>3</v>
      </c>
      <c r="B65" s="30" t="str">
        <f aca="false">INDEX($H$4:$H$13,MATCH(LARGE($I$4:$I$13,3),$I$4:$I$13,0))</f>
        <v>محمد العتيبي</v>
      </c>
      <c r="C65" s="20" t="n">
        <f aca="false">LARGE($I$4:$I$13,3)</f>
        <v>420906.6</v>
      </c>
      <c r="D65" s="19" t="n">
        <f aca="false">COUNTIFS(CleanData[المندوب],$B65)</f>
        <v>123</v>
      </c>
      <c r="E65" s="31" t="n">
        <f aca="false">IFERROR(C65/D65,0)</f>
        <v>3422.00487804878</v>
      </c>
    </row>
    <row r="66" customFormat="false" ht="15" hidden="false" customHeight="false" outlineLevel="0" collapsed="false">
      <c r="A66" s="35" t="n">
        <v>4</v>
      </c>
      <c r="B66" s="33" t="str">
        <f aca="false">INDEX($H$4:$H$13,MATCH(LARGE($I$4:$I$13,4),$I$4:$I$13,0))</f>
        <v>فهد الغامدي</v>
      </c>
      <c r="C66" s="34" t="n">
        <f aca="false">LARGE($I$4:$I$13,4)</f>
        <v>383783.8</v>
      </c>
      <c r="D66" s="35" t="n">
        <f aca="false">COUNTIFS(CleanData[المندوب],$B66)</f>
        <v>105</v>
      </c>
      <c r="E66" s="36" t="n">
        <f aca="false">IFERROR(C66/D66,0)</f>
        <v>3655.08380952381</v>
      </c>
    </row>
    <row r="67" customFormat="false" ht="15" hidden="false" customHeight="false" outlineLevel="0" collapsed="false">
      <c r="A67" s="19" t="n">
        <v>5</v>
      </c>
      <c r="B67" s="30" t="str">
        <f aca="false">INDEX($H$4:$H$13,MATCH(LARGE($I$4:$I$13,5),$I$4:$I$13,0))</f>
        <v>ريم الزهراني</v>
      </c>
      <c r="C67" s="20" t="n">
        <f aca="false">LARGE($I$4:$I$13,5)</f>
        <v>369894.05</v>
      </c>
      <c r="D67" s="19" t="n">
        <f aca="false">COUNTIFS(CleanData[المندوب],$B67)</f>
        <v>111</v>
      </c>
      <c r="E67" s="31" t="n">
        <f aca="false">IFERROR(C67/D67,0)</f>
        <v>3332.37882882883</v>
      </c>
    </row>
    <row r="68" customFormat="false" ht="15" hidden="false" customHeight="false" outlineLevel="0" collapsed="false">
      <c r="A68" s="35" t="n">
        <v>6</v>
      </c>
      <c r="B68" s="33" t="str">
        <f aca="false">INDEX($H$4:$H$13,MATCH(LARGE($I$4:$I$13,6),$I$4:$I$13,0))</f>
        <v>نورة الدوسري</v>
      </c>
      <c r="C68" s="34" t="n">
        <f aca="false">LARGE($I$4:$I$13,6)</f>
        <v>354800.25</v>
      </c>
      <c r="D68" s="35" t="n">
        <f aca="false">COUNTIFS(CleanData[المندوب],$B68)</f>
        <v>108</v>
      </c>
      <c r="E68" s="36" t="n">
        <f aca="false">IFERROR(C68/D68,0)</f>
        <v>3285.1875</v>
      </c>
    </row>
    <row r="69" customFormat="false" ht="15" hidden="false" customHeight="false" outlineLevel="0" collapsed="false">
      <c r="A69" s="19" t="n">
        <v>7</v>
      </c>
      <c r="B69" s="30" t="str">
        <f aca="false">INDEX($H$4:$H$13,MATCH(LARGE($I$4:$I$13,7),$I$4:$I$13,0))</f>
        <v>خالد الشمري</v>
      </c>
      <c r="C69" s="20" t="n">
        <f aca="false">LARGE($I$4:$I$13,7)</f>
        <v>352945.65</v>
      </c>
      <c r="D69" s="19" t="n">
        <f aca="false">COUNTIFS(CleanData[المندوب],$B69)</f>
        <v>109</v>
      </c>
      <c r="E69" s="31" t="n">
        <f aca="false">IFERROR(C69/D69,0)</f>
        <v>3238.03348623853</v>
      </c>
    </row>
    <row r="70" customFormat="false" ht="15" hidden="false" customHeight="false" outlineLevel="0" collapsed="false">
      <c r="A70" s="35" t="n">
        <v>8</v>
      </c>
      <c r="B70" s="33" t="str">
        <f aca="false">INDEX($H$4:$H$13,MATCH(LARGE($I$4:$I$13,8),$I$4:$I$13,0))</f>
        <v>تركي السبيعي</v>
      </c>
      <c r="C70" s="34" t="n">
        <f aca="false">LARGE($I$4:$I$13,8)</f>
        <v>280521.3</v>
      </c>
      <c r="D70" s="35" t="n">
        <f aca="false">COUNTIFS(CleanData[المندوب],$B70)</f>
        <v>73</v>
      </c>
      <c r="E70" s="36" t="n">
        <f aca="false">IFERROR(C70/D70,0)</f>
        <v>3842.75753424658</v>
      </c>
    </row>
    <row r="71" customFormat="false" ht="15" hidden="false" customHeight="false" outlineLevel="0" collapsed="false">
      <c r="A71" s="19" t="n">
        <v>9</v>
      </c>
      <c r="B71" s="30" t="str">
        <f aca="false">INDEX($H$4:$H$13,MATCH(LARGE($I$4:$I$13,9),$I$4:$I$13,0))</f>
        <v>لمى العنزي</v>
      </c>
      <c r="C71" s="20" t="n">
        <f aca="false">LARGE($I$4:$I$13,9)</f>
        <v>270669.8</v>
      </c>
      <c r="D71" s="19" t="n">
        <f aca="false">COUNTIFS(CleanData[المندوب],$B71)</f>
        <v>88</v>
      </c>
      <c r="E71" s="31" t="n">
        <f aca="false">IFERROR(C71/D71,0)</f>
        <v>3075.79318181818</v>
      </c>
    </row>
    <row r="72" customFormat="false" ht="15" hidden="false" customHeight="false" outlineLevel="0" collapsed="false">
      <c r="A72" s="35" t="n">
        <v>10</v>
      </c>
      <c r="B72" s="33" t="str">
        <f aca="false">INDEX($H$4:$H$13,MATCH(LARGE($I$4:$I$13,10),$I$4:$I$13,0))</f>
        <v>منيرة الحربي</v>
      </c>
      <c r="C72" s="34" t="n">
        <f aca="false">LARGE($I$4:$I$13,10)</f>
        <v>252109.5</v>
      </c>
      <c r="D72" s="35" t="n">
        <f aca="false">COUNTIFS(CleanData[المندوب],$B72)</f>
        <v>88</v>
      </c>
      <c r="E72" s="36" t="n">
        <f aca="false">IFERROR(C72/D72,0)</f>
        <v>2864.88068181818</v>
      </c>
    </row>
    <row r="75" customFormat="false" ht="15" hidden="false" customHeight="false" outlineLevel="0" collapsed="false">
      <c r="A75" s="21" t="s">
        <v>130</v>
      </c>
    </row>
    <row r="76" customFormat="false" ht="21.75" hidden="false" customHeight="true" outlineLevel="0" collapsed="false">
      <c r="A76" s="29" t="s">
        <v>128</v>
      </c>
      <c r="B76" s="29" t="s">
        <v>131</v>
      </c>
      <c r="C76" s="29" t="s">
        <v>102</v>
      </c>
      <c r="D76" s="29" t="s">
        <v>35</v>
      </c>
    </row>
    <row r="77" customFormat="false" ht="15" hidden="false" customHeight="false" outlineLevel="0" collapsed="false">
      <c r="A77" s="38" t="n">
        <v>1</v>
      </c>
      <c r="B77" s="39" t="str">
        <f aca="false">INDEX($K$4:$K$25,MATCH(LARGE($L$4:$L$25,1),$L$4:$L$25,0))</f>
        <v>لابتوب أوركا برو 15</v>
      </c>
      <c r="C77" s="40" t="n">
        <f aca="false">LARGE($L$4:$L$25,1)</f>
        <v>484250.9</v>
      </c>
      <c r="D77" s="38" t="n">
        <f aca="false">COUNTIFS(CleanData[المنتج],$B77)</f>
        <v>61</v>
      </c>
    </row>
    <row r="78" customFormat="false" ht="15" hidden="false" customHeight="false" outlineLevel="0" collapsed="false">
      <c r="A78" s="35" t="n">
        <v>2</v>
      </c>
      <c r="B78" s="33" t="str">
        <f aca="false">INDEX($K$4:$K$25,MATCH(LARGE($L$4:$L$25,2),$L$4:$L$25,0))</f>
        <v>جوال نوفا X12</v>
      </c>
      <c r="C78" s="34" t="n">
        <f aca="false">LARGE($L$4:$L$25,2)</f>
        <v>438135.45</v>
      </c>
      <c r="D78" s="35" t="n">
        <f aca="false">COUNTIFS(CleanData[المنتج],$B78)</f>
        <v>76</v>
      </c>
    </row>
    <row r="79" customFormat="false" ht="15" hidden="false" customHeight="false" outlineLevel="0" collapsed="false">
      <c r="A79" s="19" t="n">
        <v>3</v>
      </c>
      <c r="B79" s="30" t="str">
        <f aca="false">INDEX($K$4:$K$25,MATCH(LARGE($L$4:$L$25,3),$L$4:$L$25,0))</f>
        <v>لابتوب نوفا بوك 14</v>
      </c>
      <c r="C79" s="20" t="n">
        <f aca="false">LARGE($L$4:$L$25,3)</f>
        <v>424989.7</v>
      </c>
      <c r="D79" s="19" t="n">
        <f aca="false">COUNTIFS(CleanData[المنتج],$B79)</f>
        <v>43</v>
      </c>
    </row>
    <row r="80" customFormat="false" ht="15" hidden="false" customHeight="false" outlineLevel="0" collapsed="false">
      <c r="A80" s="35" t="n">
        <v>4</v>
      </c>
      <c r="B80" s="33" t="str">
        <f aca="false">INDEX($K$4:$K$25,MATCH(LARGE($L$4:$L$25,4),$L$4:$L$25,0))</f>
        <v>جوال أوركا الجديد</v>
      </c>
      <c r="C80" s="34" t="n">
        <f aca="false">LARGE($L$4:$L$25,4)</f>
        <v>387741.65</v>
      </c>
      <c r="D80" s="35" t="n">
        <f aca="false">COUNTIFS(CleanData[المنتج],$B80)</f>
        <v>76</v>
      </c>
    </row>
    <row r="81" customFormat="false" ht="15" hidden="false" customHeight="false" outlineLevel="0" collapsed="false">
      <c r="A81" s="19" t="n">
        <v>5</v>
      </c>
      <c r="B81" s="30" t="str">
        <f aca="false">INDEX($K$4:$K$25,MATCH(LARGE($L$4:$L$25,5),$L$4:$L$25,0))</f>
        <v>لابتوب نوفا ألترا</v>
      </c>
      <c r="C81" s="20" t="n">
        <f aca="false">LARGE($L$4:$L$25,5)</f>
        <v>385404.5</v>
      </c>
      <c r="D81" s="19" t="n">
        <f aca="false">COUNTIFS(CleanData[المنتج],$B81)</f>
        <v>51</v>
      </c>
    </row>
  </sheetData>
  <mergeCells count="2">
    <mergeCell ref="A1:H1"/>
    <mergeCell ref="A2:H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71F"/>
    <pageSetUpPr fitToPage="true"/>
  </sheetPr>
  <dimension ref="A1:F3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0"/>
  </cols>
  <sheetData>
    <row r="1" customFormat="false" ht="33.75" hidden="false" customHeight="true" outlineLevel="0" collapsed="false">
      <c r="A1" s="8" t="s">
        <v>132</v>
      </c>
      <c r="B1" s="8"/>
      <c r="C1" s="8"/>
      <c r="D1" s="8"/>
      <c r="E1" s="8"/>
      <c r="F1" s="8"/>
    </row>
    <row r="2" customFormat="false" ht="18" hidden="false" customHeight="true" outlineLevel="0" collapsed="false">
      <c r="A2" s="9" t="s">
        <v>133</v>
      </c>
      <c r="B2" s="9"/>
      <c r="C2" s="9"/>
      <c r="D2" s="9"/>
      <c r="E2" s="9"/>
      <c r="F2" s="9"/>
    </row>
    <row r="4" customFormat="false" ht="24" hidden="false" customHeight="true" outlineLevel="0" collapsed="false">
      <c r="A4" s="42" t="s">
        <v>134</v>
      </c>
      <c r="B4" s="42"/>
      <c r="C4" s="42"/>
      <c r="D4" s="42"/>
      <c r="E4" s="42"/>
      <c r="F4" s="42"/>
    </row>
    <row r="5" customFormat="false" ht="33.75" hidden="false" customHeight="true" outlineLevel="0" collapsed="false">
      <c r="A5" s="4" t="s">
        <v>135</v>
      </c>
      <c r="B5" s="4"/>
      <c r="C5" s="4"/>
      <c r="D5" s="4"/>
      <c r="E5" s="4"/>
      <c r="F5" s="4"/>
    </row>
    <row r="6" customFormat="false" ht="33.75" hidden="false" customHeight="true" outlineLevel="0" collapsed="false">
      <c r="A6" s="43" t="s">
        <v>136</v>
      </c>
      <c r="B6" s="43"/>
      <c r="C6" s="43"/>
      <c r="D6" s="43"/>
      <c r="E6" s="43"/>
      <c r="F6" s="43"/>
    </row>
    <row r="7" customFormat="false" ht="33.75" hidden="false" customHeight="true" outlineLevel="0" collapsed="false">
      <c r="A7" s="4" t="s">
        <v>137</v>
      </c>
      <c r="B7" s="4"/>
      <c r="C7" s="4"/>
      <c r="D7" s="4"/>
      <c r="E7" s="4"/>
      <c r="F7" s="4"/>
    </row>
    <row r="8" customFormat="false" ht="33.75" hidden="false" customHeight="true" outlineLevel="0" collapsed="false">
      <c r="A8" s="43" t="s">
        <v>138</v>
      </c>
      <c r="B8" s="43"/>
      <c r="C8" s="43"/>
      <c r="D8" s="43"/>
      <c r="E8" s="43"/>
      <c r="F8" s="43"/>
    </row>
    <row r="9" customFormat="false" ht="33.75" hidden="false" customHeight="true" outlineLevel="0" collapsed="false">
      <c r="A9" s="4" t="s">
        <v>139</v>
      </c>
      <c r="B9" s="4"/>
      <c r="C9" s="4"/>
      <c r="D9" s="4"/>
      <c r="E9" s="4"/>
      <c r="F9" s="4"/>
    </row>
    <row r="10" customFormat="false" ht="33.75" hidden="false" customHeight="true" outlineLevel="0" collapsed="false">
      <c r="A10" s="43" t="s">
        <v>140</v>
      </c>
      <c r="B10" s="43"/>
      <c r="C10" s="43"/>
      <c r="D10" s="43"/>
      <c r="E10" s="43"/>
      <c r="F10" s="43"/>
    </row>
    <row r="11" customFormat="false" ht="33.75" hidden="false" customHeight="true" outlineLevel="0" collapsed="false">
      <c r="A11" s="4" t="s">
        <v>141</v>
      </c>
      <c r="B11" s="4"/>
      <c r="C11" s="4"/>
      <c r="D11" s="4"/>
      <c r="E11" s="4"/>
      <c r="F11" s="4"/>
    </row>
    <row r="12" customFormat="false" ht="33.75" hidden="false" customHeight="true" outlineLevel="0" collapsed="false">
      <c r="A12" s="43" t="s">
        <v>142</v>
      </c>
      <c r="B12" s="43"/>
      <c r="C12" s="43"/>
      <c r="D12" s="43"/>
      <c r="E12" s="43"/>
      <c r="F12" s="43"/>
    </row>
    <row r="14" customFormat="false" ht="24" hidden="false" customHeight="true" outlineLevel="0" collapsed="false">
      <c r="A14" s="42" t="s">
        <v>143</v>
      </c>
      <c r="B14" s="42"/>
      <c r="C14" s="42"/>
      <c r="D14" s="42"/>
      <c r="E14" s="42"/>
      <c r="F14" s="42"/>
    </row>
    <row r="15" customFormat="false" ht="33.75" hidden="false" customHeight="true" outlineLevel="0" collapsed="false">
      <c r="A15" s="4" t="s">
        <v>144</v>
      </c>
      <c r="B15" s="4"/>
      <c r="C15" s="4"/>
      <c r="D15" s="4"/>
      <c r="E15" s="4"/>
      <c r="F15" s="4"/>
    </row>
    <row r="16" customFormat="false" ht="33.75" hidden="false" customHeight="true" outlineLevel="0" collapsed="false">
      <c r="A16" s="43" t="s">
        <v>145</v>
      </c>
      <c r="B16" s="43"/>
      <c r="C16" s="43"/>
      <c r="D16" s="43"/>
      <c r="E16" s="43"/>
      <c r="F16" s="43"/>
    </row>
    <row r="17" customFormat="false" ht="33.75" hidden="false" customHeight="true" outlineLevel="0" collapsed="false">
      <c r="A17" s="4" t="s">
        <v>146</v>
      </c>
      <c r="B17" s="4"/>
      <c r="C17" s="4"/>
      <c r="D17" s="4"/>
      <c r="E17" s="4"/>
      <c r="F17" s="4"/>
    </row>
    <row r="18" customFormat="false" ht="33.75" hidden="false" customHeight="true" outlineLevel="0" collapsed="false">
      <c r="A18" s="43" t="s">
        <v>147</v>
      </c>
      <c r="B18" s="43"/>
      <c r="C18" s="43"/>
      <c r="D18" s="43"/>
      <c r="E18" s="43"/>
      <c r="F18" s="43"/>
    </row>
    <row r="20" customFormat="false" ht="24" hidden="false" customHeight="true" outlineLevel="0" collapsed="false">
      <c r="A20" s="42" t="s">
        <v>148</v>
      </c>
      <c r="B20" s="42"/>
      <c r="C20" s="42"/>
      <c r="D20" s="42"/>
      <c r="E20" s="42"/>
      <c r="F20" s="42"/>
    </row>
    <row r="21" customFormat="false" ht="33.75" hidden="false" customHeight="true" outlineLevel="0" collapsed="false">
      <c r="A21" s="4" t="s">
        <v>149</v>
      </c>
      <c r="B21" s="4"/>
      <c r="C21" s="4"/>
      <c r="D21" s="4"/>
      <c r="E21" s="4"/>
      <c r="F21" s="4"/>
    </row>
    <row r="22" customFormat="false" ht="33.75" hidden="false" customHeight="true" outlineLevel="0" collapsed="false">
      <c r="A22" s="43" t="s">
        <v>150</v>
      </c>
      <c r="B22" s="43"/>
      <c r="C22" s="43"/>
      <c r="D22" s="43"/>
      <c r="E22" s="43"/>
      <c r="F22" s="43"/>
    </row>
    <row r="23" customFormat="false" ht="33.75" hidden="false" customHeight="true" outlineLevel="0" collapsed="false">
      <c r="A23" s="4" t="s">
        <v>151</v>
      </c>
      <c r="B23" s="4"/>
      <c r="C23" s="4"/>
      <c r="D23" s="4"/>
      <c r="E23" s="4"/>
      <c r="F23" s="4"/>
    </row>
    <row r="24" customFormat="false" ht="33.75" hidden="false" customHeight="true" outlineLevel="0" collapsed="false">
      <c r="A24" s="43" t="s">
        <v>152</v>
      </c>
      <c r="B24" s="43"/>
      <c r="C24" s="43"/>
      <c r="D24" s="43"/>
      <c r="E24" s="43"/>
      <c r="F24" s="43"/>
    </row>
    <row r="25" customFormat="false" ht="33.75" hidden="false" customHeight="true" outlineLevel="0" collapsed="false">
      <c r="A25" s="4" t="s">
        <v>153</v>
      </c>
      <c r="B25" s="4"/>
      <c r="C25" s="4"/>
      <c r="D25" s="4"/>
      <c r="E25" s="4"/>
      <c r="F25" s="4"/>
    </row>
    <row r="26" customFormat="false" ht="33.75" hidden="false" customHeight="true" outlineLevel="0" collapsed="false">
      <c r="A26" s="43" t="s">
        <v>154</v>
      </c>
      <c r="B26" s="43"/>
      <c r="C26" s="43"/>
      <c r="D26" s="43"/>
      <c r="E26" s="43"/>
      <c r="F26" s="43"/>
    </row>
    <row r="27" customFormat="false" ht="33.75" hidden="false" customHeight="true" outlineLevel="0" collapsed="false">
      <c r="A27" s="4" t="s">
        <v>155</v>
      </c>
      <c r="B27" s="4"/>
      <c r="C27" s="4"/>
      <c r="D27" s="4"/>
      <c r="E27" s="4"/>
      <c r="F27" s="4"/>
    </row>
    <row r="30" customFormat="false" ht="15" hidden="false" customHeight="true" outlineLevel="0" collapsed="false">
      <c r="A30" s="12" t="s">
        <v>156</v>
      </c>
      <c r="B30" s="12"/>
      <c r="C30" s="12"/>
      <c r="D30" s="12"/>
      <c r="E30" s="12"/>
      <c r="F30" s="12"/>
    </row>
    <row r="31" customFormat="false" ht="15" hidden="false" customHeight="false" outlineLevel="0" collapsed="false">
      <c r="A31" s="12"/>
      <c r="B31" s="12"/>
      <c r="C31" s="12"/>
      <c r="D31" s="12"/>
      <c r="E31" s="12"/>
      <c r="F31" s="12"/>
    </row>
    <row r="32" customFormat="false" ht="15" hidden="false" customHeight="false" outlineLevel="0" collapsed="false">
      <c r="A32" s="12"/>
      <c r="B32" s="12"/>
      <c r="C32" s="12"/>
      <c r="D32" s="12"/>
      <c r="E32" s="12"/>
      <c r="F32" s="12"/>
    </row>
  </sheetData>
  <mergeCells count="25">
    <mergeCell ref="A1:F1"/>
    <mergeCell ref="A2:F2"/>
    <mergeCell ref="A4:F4"/>
    <mergeCell ref="A5:F5"/>
    <mergeCell ref="A6:F6"/>
    <mergeCell ref="A7:F7"/>
    <mergeCell ref="A8:F8"/>
    <mergeCell ref="A9:F9"/>
    <mergeCell ref="A10:F10"/>
    <mergeCell ref="A11:F11"/>
    <mergeCell ref="A12:F12"/>
    <mergeCell ref="A14:F14"/>
    <mergeCell ref="A15:F15"/>
    <mergeCell ref="A16:F16"/>
    <mergeCell ref="A17:F17"/>
    <mergeCell ref="A18:F18"/>
    <mergeCell ref="A20:F20"/>
    <mergeCell ref="A21:F21"/>
    <mergeCell ref="A22:F22"/>
    <mergeCell ref="A23:F23"/>
    <mergeCell ref="A24:F24"/>
    <mergeCell ref="A25:F25"/>
    <mergeCell ref="A26:F26"/>
    <mergeCell ref="A27:F27"/>
    <mergeCell ref="A30:F3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R1121"/>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4" min="3" style="0" width="8"/>
    <col collapsed="false" customWidth="true" hidden="false" outlineLevel="0" max="5" min="5" style="0" width="10"/>
    <col collapsed="false" customWidth="true" hidden="false" outlineLevel="0" max="6" min="6" style="0" width="7"/>
    <col collapsed="false" customWidth="true" hidden="false" outlineLevel="0" max="7" min="7" style="0" width="10"/>
    <col collapsed="false" customWidth="true" hidden="false" outlineLevel="0" max="8" min="8" style="0" width="15"/>
    <col collapsed="false" customWidth="true" hidden="false" outlineLevel="0" max="10" min="9" style="0" width="16"/>
    <col collapsed="false" customWidth="true" hidden="false" outlineLevel="0" max="11" min="11" style="0" width="20"/>
    <col collapsed="false" customWidth="true" hidden="false" outlineLevel="0" max="12" min="12" style="0" width="13"/>
    <col collapsed="false" customWidth="true" hidden="false" outlineLevel="0" max="13" min="13" style="0" width="9"/>
    <col collapsed="false" customWidth="true" hidden="false" outlineLevel="0" max="14" min="14" style="0" width="11"/>
    <col collapsed="false" customWidth="true" hidden="false" outlineLevel="0" max="15" min="15" style="0" width="14"/>
    <col collapsed="false" customWidth="true" hidden="false" outlineLevel="0" max="16" min="16" style="0" width="12"/>
    <col collapsed="false" customWidth="true" hidden="false" outlineLevel="0" max="17" min="17" style="0" width="16"/>
    <col collapsed="false" customWidth="true" hidden="false" outlineLevel="0" max="18" min="18" style="0" width="15"/>
  </cols>
  <sheetData>
    <row r="1" customFormat="false" ht="30" hidden="false" customHeight="true" outlineLevel="0" collapsed="false">
      <c r="A1" s="29" t="s">
        <v>157</v>
      </c>
      <c r="B1" s="29" t="s">
        <v>158</v>
      </c>
      <c r="C1" s="29" t="s">
        <v>159</v>
      </c>
      <c r="D1" s="29" t="s">
        <v>160</v>
      </c>
      <c r="E1" s="29" t="s">
        <v>161</v>
      </c>
      <c r="F1" s="29" t="s">
        <v>162</v>
      </c>
      <c r="G1" s="29" t="s">
        <v>163</v>
      </c>
      <c r="H1" s="29" t="s">
        <v>42</v>
      </c>
      <c r="I1" s="29" t="s">
        <v>119</v>
      </c>
      <c r="J1" s="29" t="s">
        <v>101</v>
      </c>
      <c r="K1" s="29" t="s">
        <v>131</v>
      </c>
      <c r="L1" s="29" t="s">
        <v>164</v>
      </c>
      <c r="M1" s="29" t="s">
        <v>165</v>
      </c>
      <c r="N1" s="29" t="s">
        <v>166</v>
      </c>
      <c r="O1" s="29" t="s">
        <v>44</v>
      </c>
      <c r="P1" s="29" t="s">
        <v>43</v>
      </c>
      <c r="Q1" s="29" t="s">
        <v>129</v>
      </c>
      <c r="R1" s="29" t="s">
        <v>102</v>
      </c>
    </row>
    <row r="2" customFormat="false" ht="15" hidden="false" customHeight="false" outlineLevel="0" collapsed="false">
      <c r="A2" s="30" t="s">
        <v>167</v>
      </c>
      <c r="B2" s="44" t="n">
        <v>45292</v>
      </c>
      <c r="C2" s="19" t="n">
        <f aca="false">YEAR(B2)</f>
        <v>2024</v>
      </c>
      <c r="D2" s="19" t="n">
        <f aca="false">MONTH(B2)</f>
        <v>1</v>
      </c>
      <c r="E2" s="30" t="str">
        <f aca="false">INDEX(Lists!$K$2:$K$13,MATCH(D2,Lists!$J$2:$J$13,0))</f>
        <v>يناير</v>
      </c>
      <c r="F2" s="19" t="str">
        <f aca="false">"Q"&amp;ROUNDUP(D2/3,0)</f>
        <v>Q1</v>
      </c>
      <c r="G2" s="30" t="str">
        <f aca="false">INDEX(Lists!$N$2:$N$8,MATCH(WEEKDAY(B2,2),Lists!$M$2:$M$8,0))</f>
        <v>الإثنين</v>
      </c>
      <c r="H2" s="30" t="s">
        <v>60</v>
      </c>
      <c r="I2" s="19" t="str">
        <f aca="false">INDEX(Lists!$B$2:$B$6,MATCH(H2,Lists!$A$2:$A$6,0))</f>
        <v>المنطقة الغربية</v>
      </c>
      <c r="J2" s="30" t="s">
        <v>113</v>
      </c>
      <c r="K2" s="30" t="s">
        <v>121</v>
      </c>
      <c r="L2" s="31" t="n">
        <v>679</v>
      </c>
      <c r="M2" s="19" t="n">
        <v>1</v>
      </c>
      <c r="N2" s="32" t="n">
        <v>0</v>
      </c>
      <c r="O2" s="30" t="s">
        <v>55</v>
      </c>
      <c r="P2" s="30" t="s">
        <v>47</v>
      </c>
      <c r="Q2" s="30" t="s">
        <v>81</v>
      </c>
      <c r="R2" s="25" t="n">
        <f aca="false">L2*M2*(1-N2)</f>
        <v>679</v>
      </c>
    </row>
    <row r="3" customFormat="false" ht="15" hidden="false" customHeight="false" outlineLevel="0" collapsed="false">
      <c r="A3" s="30" t="s">
        <v>168</v>
      </c>
      <c r="B3" s="44" t="n">
        <v>45292</v>
      </c>
      <c r="C3" s="19" t="n">
        <f aca="false">YEAR(B3)</f>
        <v>2024</v>
      </c>
      <c r="D3" s="19" t="n">
        <f aca="false">MONTH(B3)</f>
        <v>1</v>
      </c>
      <c r="E3" s="30" t="str">
        <f aca="false">INDEX(Lists!$K$2:$K$13,MATCH(D3,Lists!$J$2:$J$13,0))</f>
        <v>يناير</v>
      </c>
      <c r="F3" s="19" t="str">
        <f aca="false">"Q"&amp;ROUNDUP(D3/3,0)</f>
        <v>Q1</v>
      </c>
      <c r="G3" s="30" t="str">
        <f aca="false">INDEX(Lists!$N$2:$N$8,MATCH(WEEKDAY(B3,2),Lists!$M$2:$M$8,0))</f>
        <v>الإثنين</v>
      </c>
      <c r="H3" s="30" t="s">
        <v>57</v>
      </c>
      <c r="I3" s="19" t="str">
        <f aca="false">INDEX(Lists!$B$2:$B$6,MATCH(H3,Lists!$A$2:$A$6,0))</f>
        <v>المنطقة الغربية</v>
      </c>
      <c r="J3" s="30" t="s">
        <v>105</v>
      </c>
      <c r="K3" s="30" t="s">
        <v>85</v>
      </c>
      <c r="L3" s="31" t="n">
        <v>1509</v>
      </c>
      <c r="M3" s="19" t="n">
        <v>1</v>
      </c>
      <c r="N3" s="32" t="n">
        <v>0</v>
      </c>
      <c r="O3" s="30" t="s">
        <v>48</v>
      </c>
      <c r="P3" s="30" t="s">
        <v>47</v>
      </c>
      <c r="Q3" s="30" t="s">
        <v>81</v>
      </c>
      <c r="R3" s="25" t="n">
        <f aca="false">L3*M3*(1-N3)</f>
        <v>1509</v>
      </c>
    </row>
    <row r="4" customFormat="false" ht="15" hidden="false" customHeight="false" outlineLevel="0" collapsed="false">
      <c r="A4" s="30" t="s">
        <v>169</v>
      </c>
      <c r="B4" s="44" t="n">
        <v>45293</v>
      </c>
      <c r="C4" s="19" t="n">
        <f aca="false">YEAR(B4)</f>
        <v>2024</v>
      </c>
      <c r="D4" s="19" t="n">
        <f aca="false">MONTH(B4)</f>
        <v>1</v>
      </c>
      <c r="E4" s="30" t="str">
        <f aca="false">INDEX(Lists!$K$2:$K$13,MATCH(D4,Lists!$J$2:$J$13,0))</f>
        <v>يناير</v>
      </c>
      <c r="F4" s="19" t="str">
        <f aca="false">"Q"&amp;ROUNDUP(D4/3,0)</f>
        <v>Q1</v>
      </c>
      <c r="G4" s="30" t="str">
        <f aca="false">INDEX(Lists!$N$2:$N$8,MATCH(WEEKDAY(B4,2),Lists!$M$2:$M$8,0))</f>
        <v>الثلاثاء</v>
      </c>
      <c r="H4" s="30" t="s">
        <v>46</v>
      </c>
      <c r="I4" s="19" t="str">
        <f aca="false">INDEX(Lists!$B$2:$B$6,MATCH(H4,Lists!$A$2:$A$6,0))</f>
        <v>المنطقة الوسطى</v>
      </c>
      <c r="J4" s="30" t="s">
        <v>109</v>
      </c>
      <c r="K4" s="30" t="s">
        <v>93</v>
      </c>
      <c r="L4" s="31" t="n">
        <v>149</v>
      </c>
      <c r="M4" s="19" t="n">
        <v>3</v>
      </c>
      <c r="N4" s="32" t="n">
        <v>0</v>
      </c>
      <c r="O4" s="30" t="s">
        <v>52</v>
      </c>
      <c r="P4" s="30" t="s">
        <v>47</v>
      </c>
      <c r="Q4" s="30" t="s">
        <v>86</v>
      </c>
      <c r="R4" s="25" t="n">
        <f aca="false">L4*M4*(1-N4)</f>
        <v>447</v>
      </c>
    </row>
    <row r="5" customFormat="false" ht="15" hidden="false" customHeight="false" outlineLevel="0" collapsed="false">
      <c r="A5" s="30" t="s">
        <v>170</v>
      </c>
      <c r="B5" s="44" t="n">
        <v>45294</v>
      </c>
      <c r="C5" s="19" t="n">
        <f aca="false">YEAR(B5)</f>
        <v>2024</v>
      </c>
      <c r="D5" s="19" t="n">
        <f aca="false">MONTH(B5)</f>
        <v>1</v>
      </c>
      <c r="E5" s="30" t="str">
        <f aca="false">INDEX(Lists!$K$2:$K$13,MATCH(D5,Lists!$J$2:$J$13,0))</f>
        <v>يناير</v>
      </c>
      <c r="F5" s="19" t="str">
        <f aca="false">"Q"&amp;ROUNDUP(D5/3,0)</f>
        <v>Q1</v>
      </c>
      <c r="G5" s="30" t="str">
        <f aca="false">INDEX(Lists!$N$2:$N$8,MATCH(WEEKDAY(B5,2),Lists!$M$2:$M$8,0))</f>
        <v>الأربعاء</v>
      </c>
      <c r="H5" s="30" t="s">
        <v>57</v>
      </c>
      <c r="I5" s="19" t="str">
        <f aca="false">INDEX(Lists!$B$2:$B$6,MATCH(H5,Lists!$A$2:$A$6,0))</f>
        <v>المنطقة الغربية</v>
      </c>
      <c r="J5" s="30" t="s">
        <v>109</v>
      </c>
      <c r="K5" s="30" t="s">
        <v>171</v>
      </c>
      <c r="L5" s="31" t="n">
        <v>259</v>
      </c>
      <c r="M5" s="19" t="n">
        <v>1</v>
      </c>
      <c r="N5" s="32" t="n">
        <v>0</v>
      </c>
      <c r="O5" s="30" t="s">
        <v>48</v>
      </c>
      <c r="P5" s="30" t="s">
        <v>47</v>
      </c>
      <c r="Q5" s="30" t="s">
        <v>76</v>
      </c>
      <c r="R5" s="25" t="n">
        <f aca="false">L5*M5*(1-N5)</f>
        <v>259</v>
      </c>
    </row>
    <row r="6" customFormat="false" ht="15" hidden="false" customHeight="false" outlineLevel="0" collapsed="false">
      <c r="A6" s="30" t="s">
        <v>172</v>
      </c>
      <c r="B6" s="44" t="n">
        <v>45294</v>
      </c>
      <c r="C6" s="19" t="n">
        <f aca="false">YEAR(B6)</f>
        <v>2024</v>
      </c>
      <c r="D6" s="19" t="n">
        <f aca="false">MONTH(B6)</f>
        <v>1</v>
      </c>
      <c r="E6" s="30" t="str">
        <f aca="false">INDEX(Lists!$K$2:$K$13,MATCH(D6,Lists!$J$2:$J$13,0))</f>
        <v>يناير</v>
      </c>
      <c r="F6" s="19" t="str">
        <f aca="false">"Q"&amp;ROUNDUP(D6/3,0)</f>
        <v>Q1</v>
      </c>
      <c r="G6" s="30" t="str">
        <f aca="false">INDEX(Lists!$N$2:$N$8,MATCH(WEEKDAY(B6,2),Lists!$M$2:$M$8,0))</f>
        <v>الأربعاء</v>
      </c>
      <c r="H6" s="30" t="s">
        <v>57</v>
      </c>
      <c r="I6" s="19" t="str">
        <f aca="false">INDEX(Lists!$B$2:$B$6,MATCH(H6,Lists!$A$2:$A$6,0))</f>
        <v>المنطقة الغربية</v>
      </c>
      <c r="J6" s="30" t="s">
        <v>113</v>
      </c>
      <c r="K6" s="30" t="s">
        <v>95</v>
      </c>
      <c r="L6" s="31" t="n">
        <v>179</v>
      </c>
      <c r="M6" s="19" t="n">
        <v>1</v>
      </c>
      <c r="N6" s="32" t="n">
        <v>0.15</v>
      </c>
      <c r="O6" s="30" t="s">
        <v>52</v>
      </c>
      <c r="P6" s="30" t="s">
        <v>47</v>
      </c>
      <c r="Q6" s="30" t="s">
        <v>78</v>
      </c>
      <c r="R6" s="25" t="n">
        <f aca="false">L6*M6*(1-N6)</f>
        <v>152.15</v>
      </c>
    </row>
    <row r="7" customFormat="false" ht="15" hidden="false" customHeight="false" outlineLevel="0" collapsed="false">
      <c r="A7" s="30" t="s">
        <v>173</v>
      </c>
      <c r="B7" s="44" t="n">
        <v>45294</v>
      </c>
      <c r="C7" s="19" t="n">
        <f aca="false">YEAR(B7)</f>
        <v>2024</v>
      </c>
      <c r="D7" s="19" t="n">
        <f aca="false">MONTH(B7)</f>
        <v>1</v>
      </c>
      <c r="E7" s="30" t="str">
        <f aca="false">INDEX(Lists!$K$2:$K$13,MATCH(D7,Lists!$J$2:$J$13,0))</f>
        <v>يناير</v>
      </c>
      <c r="F7" s="19" t="str">
        <f aca="false">"Q"&amp;ROUNDUP(D7/3,0)</f>
        <v>Q1</v>
      </c>
      <c r="G7" s="30" t="str">
        <f aca="false">INDEX(Lists!$N$2:$N$8,MATCH(WEEKDAY(B7,2),Lists!$M$2:$M$8,0))</f>
        <v>الأربعاء</v>
      </c>
      <c r="H7" s="30" t="s">
        <v>50</v>
      </c>
      <c r="I7" s="19" t="str">
        <f aca="false">INDEX(Lists!$B$2:$B$6,MATCH(H7,Lists!$A$2:$A$6,0))</f>
        <v>المنطقة الغربية</v>
      </c>
      <c r="J7" s="30" t="s">
        <v>105</v>
      </c>
      <c r="K7" s="30" t="s">
        <v>90</v>
      </c>
      <c r="L7" s="31" t="n">
        <v>3829</v>
      </c>
      <c r="M7" s="19" t="n">
        <v>2</v>
      </c>
      <c r="N7" s="32" t="n">
        <v>0</v>
      </c>
      <c r="O7" s="30" t="s">
        <v>48</v>
      </c>
      <c r="P7" s="30" t="s">
        <v>47</v>
      </c>
      <c r="Q7" s="30" t="s">
        <v>84</v>
      </c>
      <c r="R7" s="25" t="n">
        <f aca="false">L7*M7*(1-N7)</f>
        <v>7658</v>
      </c>
    </row>
    <row r="8" customFormat="false" ht="15" hidden="false" customHeight="false" outlineLevel="0" collapsed="false">
      <c r="A8" s="30" t="s">
        <v>174</v>
      </c>
      <c r="B8" s="44" t="n">
        <v>45294</v>
      </c>
      <c r="C8" s="19" t="n">
        <f aca="false">YEAR(B8)</f>
        <v>2024</v>
      </c>
      <c r="D8" s="19" t="n">
        <f aca="false">MONTH(B8)</f>
        <v>1</v>
      </c>
      <c r="E8" s="30" t="str">
        <f aca="false">INDEX(Lists!$K$2:$K$13,MATCH(D8,Lists!$J$2:$J$13,0))</f>
        <v>يناير</v>
      </c>
      <c r="F8" s="19" t="str">
        <f aca="false">"Q"&amp;ROUNDUP(D8/3,0)</f>
        <v>Q1</v>
      </c>
      <c r="G8" s="30" t="str">
        <f aca="false">INDEX(Lists!$N$2:$N$8,MATCH(WEEKDAY(B8,2),Lists!$M$2:$M$8,0))</f>
        <v>الأربعاء</v>
      </c>
      <c r="H8" s="30" t="s">
        <v>46</v>
      </c>
      <c r="I8" s="19" t="str">
        <f aca="false">INDEX(Lists!$B$2:$B$6,MATCH(H8,Lists!$A$2:$A$6,0))</f>
        <v>المنطقة الوسطى</v>
      </c>
      <c r="J8" s="30" t="s">
        <v>109</v>
      </c>
      <c r="K8" s="30" t="s">
        <v>175</v>
      </c>
      <c r="L8" s="31" t="n">
        <v>159</v>
      </c>
      <c r="M8" s="19" t="n">
        <v>2</v>
      </c>
      <c r="N8" s="32" t="n">
        <v>0.15</v>
      </c>
      <c r="O8" s="30" t="s">
        <v>58</v>
      </c>
      <c r="P8" s="30" t="s">
        <v>47</v>
      </c>
      <c r="Q8" s="30" t="s">
        <v>94</v>
      </c>
      <c r="R8" s="25" t="n">
        <f aca="false">L8*M8*(1-N8)</f>
        <v>270.3</v>
      </c>
    </row>
    <row r="9" customFormat="false" ht="15" hidden="false" customHeight="false" outlineLevel="0" collapsed="false">
      <c r="A9" s="30" t="s">
        <v>176</v>
      </c>
      <c r="B9" s="44" t="n">
        <v>45294</v>
      </c>
      <c r="C9" s="19" t="n">
        <f aca="false">YEAR(B9)</f>
        <v>2024</v>
      </c>
      <c r="D9" s="19" t="n">
        <f aca="false">MONTH(B9)</f>
        <v>1</v>
      </c>
      <c r="E9" s="30" t="str">
        <f aca="false">INDEX(Lists!$K$2:$K$13,MATCH(D9,Lists!$J$2:$J$13,0))</f>
        <v>يناير</v>
      </c>
      <c r="F9" s="19" t="str">
        <f aca="false">"Q"&amp;ROUNDUP(D9/3,0)</f>
        <v>Q1</v>
      </c>
      <c r="G9" s="30" t="str">
        <f aca="false">INDEX(Lists!$N$2:$N$8,MATCH(WEEKDAY(B9,2),Lists!$M$2:$M$8,0))</f>
        <v>الأربعاء</v>
      </c>
      <c r="H9" s="30" t="s">
        <v>46</v>
      </c>
      <c r="I9" s="19" t="str">
        <f aca="false">INDEX(Lists!$B$2:$B$6,MATCH(H9,Lists!$A$2:$A$6,0))</f>
        <v>المنطقة الوسطى</v>
      </c>
      <c r="J9" s="30" t="s">
        <v>105</v>
      </c>
      <c r="K9" s="30" t="s">
        <v>85</v>
      </c>
      <c r="L9" s="31" t="n">
        <v>2139</v>
      </c>
      <c r="M9" s="19" t="n">
        <v>1</v>
      </c>
      <c r="N9" s="32" t="n">
        <v>0</v>
      </c>
      <c r="O9" s="30" t="s">
        <v>48</v>
      </c>
      <c r="P9" s="30" t="s">
        <v>47</v>
      </c>
      <c r="Q9" s="30" t="s">
        <v>96</v>
      </c>
      <c r="R9" s="25" t="n">
        <f aca="false">L9*M9*(1-N9)</f>
        <v>2139</v>
      </c>
    </row>
    <row r="10" customFormat="false" ht="15" hidden="false" customHeight="false" outlineLevel="0" collapsed="false">
      <c r="A10" s="30" t="s">
        <v>177</v>
      </c>
      <c r="B10" s="44" t="n">
        <v>45295</v>
      </c>
      <c r="C10" s="19" t="n">
        <f aca="false">YEAR(B10)</f>
        <v>2024</v>
      </c>
      <c r="D10" s="19" t="n">
        <f aca="false">MONTH(B10)</f>
        <v>1</v>
      </c>
      <c r="E10" s="30" t="str">
        <f aca="false">INDEX(Lists!$K$2:$K$13,MATCH(D10,Lists!$J$2:$J$13,0))</f>
        <v>يناير</v>
      </c>
      <c r="F10" s="19" t="str">
        <f aca="false">"Q"&amp;ROUNDUP(D10/3,0)</f>
        <v>Q1</v>
      </c>
      <c r="G10" s="30" t="str">
        <f aca="false">INDEX(Lists!$N$2:$N$8,MATCH(WEEKDAY(B10,2),Lists!$M$2:$M$8,0))</f>
        <v>الخميس</v>
      </c>
      <c r="H10" s="30" t="s">
        <v>50</v>
      </c>
      <c r="I10" s="19" t="str">
        <f aca="false">INDEX(Lists!$B$2:$B$6,MATCH(H10,Lists!$A$2:$A$6,0))</f>
        <v>المنطقة الغربية</v>
      </c>
      <c r="J10" s="30" t="s">
        <v>109</v>
      </c>
      <c r="K10" s="30" t="s">
        <v>110</v>
      </c>
      <c r="L10" s="31" t="n">
        <v>39</v>
      </c>
      <c r="M10" s="19" t="n">
        <v>1</v>
      </c>
      <c r="N10" s="32" t="n">
        <v>0.05</v>
      </c>
      <c r="O10" s="30" t="s">
        <v>48</v>
      </c>
      <c r="P10" s="30" t="s">
        <v>47</v>
      </c>
      <c r="Q10" s="30" t="s">
        <v>84</v>
      </c>
      <c r="R10" s="25" t="n">
        <f aca="false">L10*M10*(1-N10)</f>
        <v>37.05</v>
      </c>
    </row>
    <row r="11" customFormat="false" ht="15" hidden="false" customHeight="false" outlineLevel="0" collapsed="false">
      <c r="A11" s="30" t="s">
        <v>178</v>
      </c>
      <c r="B11" s="44" t="n">
        <v>45295</v>
      </c>
      <c r="C11" s="19" t="n">
        <f aca="false">YEAR(B11)</f>
        <v>2024</v>
      </c>
      <c r="D11" s="19" t="n">
        <f aca="false">MONTH(B11)</f>
        <v>1</v>
      </c>
      <c r="E11" s="30" t="str">
        <f aca="false">INDEX(Lists!$K$2:$K$13,MATCH(D11,Lists!$J$2:$J$13,0))</f>
        <v>يناير</v>
      </c>
      <c r="F11" s="19" t="str">
        <f aca="false">"Q"&amp;ROUNDUP(D11/3,0)</f>
        <v>Q1</v>
      </c>
      <c r="G11" s="30" t="str">
        <f aca="false">INDEX(Lists!$N$2:$N$8,MATCH(WEEKDAY(B11,2),Lists!$M$2:$M$8,0))</f>
        <v>الخميس</v>
      </c>
      <c r="H11" s="30" t="s">
        <v>46</v>
      </c>
      <c r="I11" s="19" t="str">
        <f aca="false">INDEX(Lists!$B$2:$B$6,MATCH(H11,Lists!$A$2:$A$6,0))</f>
        <v>المنطقة الوسطى</v>
      </c>
      <c r="J11" s="30" t="s">
        <v>105</v>
      </c>
      <c r="K11" s="30" t="s">
        <v>179</v>
      </c>
      <c r="L11" s="31" t="n">
        <v>1199</v>
      </c>
      <c r="M11" s="19" t="n">
        <v>2</v>
      </c>
      <c r="N11" s="32" t="n">
        <v>0.05</v>
      </c>
      <c r="O11" s="30" t="s">
        <v>52</v>
      </c>
      <c r="P11" s="30" t="s">
        <v>47</v>
      </c>
      <c r="Q11" s="30" t="s">
        <v>94</v>
      </c>
      <c r="R11" s="25" t="n">
        <f aca="false">L11*M11*(1-N11)</f>
        <v>2278.1</v>
      </c>
    </row>
    <row r="12" customFormat="false" ht="15" hidden="false" customHeight="false" outlineLevel="0" collapsed="false">
      <c r="A12" s="30" t="s">
        <v>180</v>
      </c>
      <c r="B12" s="44" t="n">
        <v>45296</v>
      </c>
      <c r="C12" s="19" t="n">
        <f aca="false">YEAR(B12)</f>
        <v>2024</v>
      </c>
      <c r="D12" s="19" t="n">
        <f aca="false">MONTH(B12)</f>
        <v>1</v>
      </c>
      <c r="E12" s="30" t="str">
        <f aca="false">INDEX(Lists!$K$2:$K$13,MATCH(D12,Lists!$J$2:$J$13,0))</f>
        <v>يناير</v>
      </c>
      <c r="F12" s="19" t="str">
        <f aca="false">"Q"&amp;ROUNDUP(D12/3,0)</f>
        <v>Q1</v>
      </c>
      <c r="G12" s="30" t="str">
        <f aca="false">INDEX(Lists!$N$2:$N$8,MATCH(WEEKDAY(B12,2),Lists!$M$2:$M$8,0))</f>
        <v>الجمعة</v>
      </c>
      <c r="H12" s="30" t="s">
        <v>54</v>
      </c>
      <c r="I12" s="19" t="str">
        <f aca="false">INDEX(Lists!$B$2:$B$6,MATCH(H12,Lists!$A$2:$A$6,0))</f>
        <v>المنطقة الشرقية</v>
      </c>
      <c r="J12" s="30" t="s">
        <v>113</v>
      </c>
      <c r="K12" s="30" t="s">
        <v>97</v>
      </c>
      <c r="L12" s="31" t="n">
        <v>569</v>
      </c>
      <c r="M12" s="19" t="n">
        <v>5</v>
      </c>
      <c r="N12" s="32" t="n">
        <v>0</v>
      </c>
      <c r="O12" s="30" t="s">
        <v>58</v>
      </c>
      <c r="P12" s="30" t="s">
        <v>51</v>
      </c>
      <c r="Q12" s="30" t="s">
        <v>86</v>
      </c>
      <c r="R12" s="25" t="n">
        <f aca="false">L12*M12*(1-N12)</f>
        <v>2845</v>
      </c>
    </row>
    <row r="13" customFormat="false" ht="15" hidden="false" customHeight="false" outlineLevel="0" collapsed="false">
      <c r="A13" s="30" t="s">
        <v>181</v>
      </c>
      <c r="B13" s="44" t="n">
        <v>45296</v>
      </c>
      <c r="C13" s="19" t="n">
        <f aca="false">YEAR(B13)</f>
        <v>2024</v>
      </c>
      <c r="D13" s="19" t="n">
        <f aca="false">MONTH(B13)</f>
        <v>1</v>
      </c>
      <c r="E13" s="30" t="str">
        <f aca="false">INDEX(Lists!$K$2:$K$13,MATCH(D13,Lists!$J$2:$J$13,0))</f>
        <v>يناير</v>
      </c>
      <c r="F13" s="19" t="str">
        <f aca="false">"Q"&amp;ROUNDUP(D13/3,0)</f>
        <v>Q1</v>
      </c>
      <c r="G13" s="30" t="str">
        <f aca="false">INDEX(Lists!$N$2:$N$8,MATCH(WEEKDAY(B13,2),Lists!$M$2:$M$8,0))</f>
        <v>الجمعة</v>
      </c>
      <c r="H13" s="30" t="s">
        <v>57</v>
      </c>
      <c r="I13" s="19" t="str">
        <f aca="false">INDEX(Lists!$B$2:$B$6,MATCH(H13,Lists!$A$2:$A$6,0))</f>
        <v>المنطقة الغربية</v>
      </c>
      <c r="J13" s="30" t="s">
        <v>113</v>
      </c>
      <c r="K13" s="30" t="s">
        <v>97</v>
      </c>
      <c r="L13" s="31" t="n">
        <v>419</v>
      </c>
      <c r="M13" s="19" t="n">
        <v>1</v>
      </c>
      <c r="N13" s="32" t="n">
        <v>0</v>
      </c>
      <c r="O13" s="30" t="s">
        <v>55</v>
      </c>
      <c r="P13" s="30" t="s">
        <v>47</v>
      </c>
      <c r="Q13" s="30" t="s">
        <v>76</v>
      </c>
      <c r="R13" s="25" t="n">
        <f aca="false">L13*M13*(1-N13)</f>
        <v>419</v>
      </c>
    </row>
    <row r="14" customFormat="false" ht="15" hidden="false" customHeight="false" outlineLevel="0" collapsed="false">
      <c r="A14" s="30" t="s">
        <v>182</v>
      </c>
      <c r="B14" s="44" t="n">
        <v>45296</v>
      </c>
      <c r="C14" s="19" t="n">
        <f aca="false">YEAR(B14)</f>
        <v>2024</v>
      </c>
      <c r="D14" s="19" t="n">
        <f aca="false">MONTH(B14)</f>
        <v>1</v>
      </c>
      <c r="E14" s="30" t="str">
        <f aca="false">INDEX(Lists!$K$2:$K$13,MATCH(D14,Lists!$J$2:$J$13,0))</f>
        <v>يناير</v>
      </c>
      <c r="F14" s="19" t="str">
        <f aca="false">"Q"&amp;ROUNDUP(D14/3,0)</f>
        <v>Q1</v>
      </c>
      <c r="G14" s="30" t="str">
        <f aca="false">INDEX(Lists!$N$2:$N$8,MATCH(WEEKDAY(B14,2),Lists!$M$2:$M$8,0))</f>
        <v>الجمعة</v>
      </c>
      <c r="H14" s="30" t="s">
        <v>46</v>
      </c>
      <c r="I14" s="19" t="str">
        <f aca="false">INDEX(Lists!$B$2:$B$6,MATCH(H14,Lists!$A$2:$A$6,0))</f>
        <v>المنطقة الوسطى</v>
      </c>
      <c r="J14" s="30" t="s">
        <v>113</v>
      </c>
      <c r="K14" s="30" t="s">
        <v>95</v>
      </c>
      <c r="L14" s="31" t="n">
        <v>789</v>
      </c>
      <c r="M14" s="19" t="n">
        <v>1</v>
      </c>
      <c r="N14" s="32" t="n">
        <v>0</v>
      </c>
      <c r="O14" s="30" t="s">
        <v>48</v>
      </c>
      <c r="P14" s="30" t="s">
        <v>47</v>
      </c>
      <c r="Q14" s="30" t="s">
        <v>76</v>
      </c>
      <c r="R14" s="25" t="n">
        <f aca="false">L14*M14*(1-N14)</f>
        <v>789</v>
      </c>
    </row>
    <row r="15" customFormat="false" ht="15" hidden="false" customHeight="false" outlineLevel="0" collapsed="false">
      <c r="A15" s="30" t="s">
        <v>183</v>
      </c>
      <c r="B15" s="44" t="n">
        <v>45297</v>
      </c>
      <c r="C15" s="19" t="n">
        <f aca="false">YEAR(B15)</f>
        <v>2024</v>
      </c>
      <c r="D15" s="19" t="n">
        <f aca="false">MONTH(B15)</f>
        <v>1</v>
      </c>
      <c r="E15" s="30" t="str">
        <f aca="false">INDEX(Lists!$K$2:$K$13,MATCH(D15,Lists!$J$2:$J$13,0))</f>
        <v>يناير</v>
      </c>
      <c r="F15" s="19" t="str">
        <f aca="false">"Q"&amp;ROUNDUP(D15/3,0)</f>
        <v>Q1</v>
      </c>
      <c r="G15" s="30" t="str">
        <f aca="false">INDEX(Lists!$N$2:$N$8,MATCH(WEEKDAY(B15,2),Lists!$M$2:$M$8,0))</f>
        <v>السبت</v>
      </c>
      <c r="H15" s="30" t="s">
        <v>46</v>
      </c>
      <c r="I15" s="19" t="str">
        <f aca="false">INDEX(Lists!$B$2:$B$6,MATCH(H15,Lists!$A$2:$A$6,0))</f>
        <v>المنطقة الوسطى</v>
      </c>
      <c r="J15" s="30" t="s">
        <v>107</v>
      </c>
      <c r="K15" s="30" t="s">
        <v>184</v>
      </c>
      <c r="L15" s="31" t="n">
        <v>7079</v>
      </c>
      <c r="M15" s="19" t="n">
        <v>1</v>
      </c>
      <c r="N15" s="32" t="n">
        <v>0</v>
      </c>
      <c r="O15" s="30" t="s">
        <v>48</v>
      </c>
      <c r="P15" s="30" t="s">
        <v>47</v>
      </c>
      <c r="Q15" s="30" t="s">
        <v>76</v>
      </c>
      <c r="R15" s="25" t="n">
        <f aca="false">L15*M15*(1-N15)</f>
        <v>7079</v>
      </c>
    </row>
    <row r="16" customFormat="false" ht="15" hidden="false" customHeight="false" outlineLevel="0" collapsed="false">
      <c r="A16" s="30" t="s">
        <v>185</v>
      </c>
      <c r="B16" s="44" t="n">
        <v>45298</v>
      </c>
      <c r="C16" s="19" t="n">
        <f aca="false">YEAR(B16)</f>
        <v>2024</v>
      </c>
      <c r="D16" s="19" t="n">
        <f aca="false">MONTH(B16)</f>
        <v>1</v>
      </c>
      <c r="E16" s="30" t="str">
        <f aca="false">INDEX(Lists!$K$2:$K$13,MATCH(D16,Lists!$J$2:$J$13,0))</f>
        <v>يناير</v>
      </c>
      <c r="F16" s="19" t="str">
        <f aca="false">"Q"&amp;ROUNDUP(D16/3,0)</f>
        <v>Q1</v>
      </c>
      <c r="G16" s="30" t="str">
        <f aca="false">INDEX(Lists!$N$2:$N$8,MATCH(WEEKDAY(B16,2),Lists!$M$2:$M$8,0))</f>
        <v>الأحد</v>
      </c>
      <c r="H16" s="30" t="s">
        <v>46</v>
      </c>
      <c r="I16" s="19" t="str">
        <f aca="false">INDEX(Lists!$B$2:$B$6,MATCH(H16,Lists!$A$2:$A$6,0))</f>
        <v>المنطقة الوسطى</v>
      </c>
      <c r="J16" s="30" t="s">
        <v>109</v>
      </c>
      <c r="K16" s="30" t="s">
        <v>171</v>
      </c>
      <c r="L16" s="31" t="n">
        <v>209</v>
      </c>
      <c r="M16" s="19" t="n">
        <v>4</v>
      </c>
      <c r="N16" s="32" t="n">
        <v>0</v>
      </c>
      <c r="O16" s="30" t="s">
        <v>58</v>
      </c>
      <c r="P16" s="30" t="s">
        <v>51</v>
      </c>
      <c r="Q16" s="30" t="s">
        <v>92</v>
      </c>
      <c r="R16" s="25" t="n">
        <f aca="false">L16*M16*(1-N16)</f>
        <v>836</v>
      </c>
    </row>
    <row r="17" customFormat="false" ht="15" hidden="false" customHeight="false" outlineLevel="0" collapsed="false">
      <c r="A17" s="30" t="s">
        <v>186</v>
      </c>
      <c r="B17" s="44" t="n">
        <v>45298</v>
      </c>
      <c r="C17" s="19" t="n">
        <f aca="false">YEAR(B17)</f>
        <v>2024</v>
      </c>
      <c r="D17" s="19" t="n">
        <f aca="false">MONTH(B17)</f>
        <v>1</v>
      </c>
      <c r="E17" s="30" t="str">
        <f aca="false">INDEX(Lists!$K$2:$K$13,MATCH(D17,Lists!$J$2:$J$13,0))</f>
        <v>يناير</v>
      </c>
      <c r="F17" s="19" t="str">
        <f aca="false">"Q"&amp;ROUNDUP(D17/3,0)</f>
        <v>Q1</v>
      </c>
      <c r="G17" s="30" t="str">
        <f aca="false">INDEX(Lists!$N$2:$N$8,MATCH(WEEKDAY(B17,2),Lists!$M$2:$M$8,0))</f>
        <v>الأحد</v>
      </c>
      <c r="H17" s="30" t="s">
        <v>54</v>
      </c>
      <c r="I17" s="19" t="str">
        <f aca="false">INDEX(Lists!$B$2:$B$6,MATCH(H17,Lists!$A$2:$A$6,0))</f>
        <v>المنطقة الشرقية</v>
      </c>
      <c r="J17" s="30" t="s">
        <v>105</v>
      </c>
      <c r="K17" s="30" t="s">
        <v>179</v>
      </c>
      <c r="L17" s="31" t="n">
        <v>2459</v>
      </c>
      <c r="M17" s="19" t="n">
        <v>3</v>
      </c>
      <c r="N17" s="32" t="n">
        <v>0.1</v>
      </c>
      <c r="O17" s="30" t="s">
        <v>48</v>
      </c>
      <c r="P17" s="30" t="s">
        <v>47</v>
      </c>
      <c r="Q17" s="30" t="s">
        <v>89</v>
      </c>
      <c r="R17" s="25" t="n">
        <f aca="false">L17*M17*(1-N17)</f>
        <v>6639.3</v>
      </c>
    </row>
    <row r="18" customFormat="false" ht="15" hidden="false" customHeight="false" outlineLevel="0" collapsed="false">
      <c r="A18" s="30" t="s">
        <v>187</v>
      </c>
      <c r="B18" s="44" t="n">
        <v>45298</v>
      </c>
      <c r="C18" s="19" t="n">
        <f aca="false">YEAR(B18)</f>
        <v>2024</v>
      </c>
      <c r="D18" s="19" t="n">
        <f aca="false">MONTH(B18)</f>
        <v>1</v>
      </c>
      <c r="E18" s="30" t="str">
        <f aca="false">INDEX(Lists!$K$2:$K$13,MATCH(D18,Lists!$J$2:$J$13,0))</f>
        <v>يناير</v>
      </c>
      <c r="F18" s="19" t="str">
        <f aca="false">"Q"&amp;ROUNDUP(D18/3,0)</f>
        <v>Q1</v>
      </c>
      <c r="G18" s="30" t="str">
        <f aca="false">INDEX(Lists!$N$2:$N$8,MATCH(WEEKDAY(B18,2),Lists!$M$2:$M$8,0))</f>
        <v>الأحد</v>
      </c>
      <c r="H18" s="30" t="s">
        <v>46</v>
      </c>
      <c r="I18" s="19" t="str">
        <f aca="false">INDEX(Lists!$B$2:$B$6,MATCH(H18,Lists!$A$2:$A$6,0))</f>
        <v>المنطقة الوسطى</v>
      </c>
      <c r="J18" s="30" t="s">
        <v>105</v>
      </c>
      <c r="K18" s="30" t="s">
        <v>79</v>
      </c>
      <c r="L18" s="31" t="n">
        <v>2439</v>
      </c>
      <c r="M18" s="19" t="n">
        <v>2</v>
      </c>
      <c r="N18" s="32" t="n">
        <v>0.1</v>
      </c>
      <c r="O18" s="30" t="s">
        <v>48</v>
      </c>
      <c r="P18" s="30" t="s">
        <v>47</v>
      </c>
      <c r="Q18" s="30" t="s">
        <v>96</v>
      </c>
      <c r="R18" s="25" t="n">
        <f aca="false">L18*M18*(1-N18)</f>
        <v>4390.2</v>
      </c>
    </row>
    <row r="19" customFormat="false" ht="15" hidden="false" customHeight="false" outlineLevel="0" collapsed="false">
      <c r="A19" s="30" t="s">
        <v>188</v>
      </c>
      <c r="B19" s="44" t="n">
        <v>45298</v>
      </c>
      <c r="C19" s="19" t="n">
        <f aca="false">YEAR(B19)</f>
        <v>2024</v>
      </c>
      <c r="D19" s="19" t="n">
        <f aca="false">MONTH(B19)</f>
        <v>1</v>
      </c>
      <c r="E19" s="30" t="str">
        <f aca="false">INDEX(Lists!$K$2:$K$13,MATCH(D19,Lists!$J$2:$J$13,0))</f>
        <v>يناير</v>
      </c>
      <c r="F19" s="19" t="str">
        <f aca="false">"Q"&amp;ROUNDUP(D19/3,0)</f>
        <v>Q1</v>
      </c>
      <c r="G19" s="30" t="str">
        <f aca="false">INDEX(Lists!$N$2:$N$8,MATCH(WEEKDAY(B19,2),Lists!$M$2:$M$8,0))</f>
        <v>الأحد</v>
      </c>
      <c r="H19" s="30" t="s">
        <v>46</v>
      </c>
      <c r="I19" s="19" t="str">
        <f aca="false">INDEX(Lists!$B$2:$B$6,MATCH(H19,Lists!$A$2:$A$6,0))</f>
        <v>المنطقة الوسطى</v>
      </c>
      <c r="J19" s="30" t="s">
        <v>107</v>
      </c>
      <c r="K19" s="30" t="s">
        <v>184</v>
      </c>
      <c r="L19" s="31" t="n">
        <v>5749</v>
      </c>
      <c r="M19" s="19" t="n">
        <v>3</v>
      </c>
      <c r="N19" s="32" t="n">
        <v>0</v>
      </c>
      <c r="O19" s="30" t="s">
        <v>52</v>
      </c>
      <c r="P19" s="30" t="s">
        <v>47</v>
      </c>
      <c r="Q19" s="30" t="s">
        <v>78</v>
      </c>
      <c r="R19" s="25" t="n">
        <f aca="false">L19*M19*(1-N19)</f>
        <v>17247</v>
      </c>
    </row>
    <row r="20" customFormat="false" ht="15" hidden="false" customHeight="false" outlineLevel="0" collapsed="false">
      <c r="A20" s="30" t="s">
        <v>189</v>
      </c>
      <c r="B20" s="44" t="n">
        <v>45298</v>
      </c>
      <c r="C20" s="19" t="n">
        <f aca="false">YEAR(B20)</f>
        <v>2024</v>
      </c>
      <c r="D20" s="19" t="n">
        <f aca="false">MONTH(B20)</f>
        <v>1</v>
      </c>
      <c r="E20" s="30" t="str">
        <f aca="false">INDEX(Lists!$K$2:$K$13,MATCH(D20,Lists!$J$2:$J$13,0))</f>
        <v>يناير</v>
      </c>
      <c r="F20" s="19" t="str">
        <f aca="false">"Q"&amp;ROUNDUP(D20/3,0)</f>
        <v>Q1</v>
      </c>
      <c r="G20" s="30" t="str">
        <f aca="false">INDEX(Lists!$N$2:$N$8,MATCH(WEEKDAY(B20,2),Lists!$M$2:$M$8,0))</f>
        <v>الأحد</v>
      </c>
      <c r="H20" s="30" t="s">
        <v>50</v>
      </c>
      <c r="I20" s="19" t="str">
        <f aca="false">INDEX(Lists!$B$2:$B$6,MATCH(H20,Lists!$A$2:$A$6,0))</f>
        <v>المنطقة الغربية</v>
      </c>
      <c r="J20" s="30" t="s">
        <v>113</v>
      </c>
      <c r="K20" s="30" t="s">
        <v>121</v>
      </c>
      <c r="L20" s="31" t="n">
        <v>619</v>
      </c>
      <c r="M20" s="19" t="n">
        <v>1</v>
      </c>
      <c r="N20" s="32" t="n">
        <v>0.05</v>
      </c>
      <c r="O20" s="30" t="s">
        <v>52</v>
      </c>
      <c r="P20" s="30" t="s">
        <v>51</v>
      </c>
      <c r="Q20" s="30" t="s">
        <v>78</v>
      </c>
      <c r="R20" s="25" t="n">
        <f aca="false">L20*M20*(1-N20)</f>
        <v>588.05</v>
      </c>
    </row>
    <row r="21" customFormat="false" ht="15" hidden="false" customHeight="false" outlineLevel="0" collapsed="false">
      <c r="A21" s="30" t="s">
        <v>190</v>
      </c>
      <c r="B21" s="44" t="n">
        <v>45298</v>
      </c>
      <c r="C21" s="19" t="n">
        <f aca="false">YEAR(B21)</f>
        <v>2024</v>
      </c>
      <c r="D21" s="19" t="n">
        <f aca="false">MONTH(B21)</f>
        <v>1</v>
      </c>
      <c r="E21" s="30" t="str">
        <f aca="false">INDEX(Lists!$K$2:$K$13,MATCH(D21,Lists!$J$2:$J$13,0))</f>
        <v>يناير</v>
      </c>
      <c r="F21" s="19" t="str">
        <f aca="false">"Q"&amp;ROUNDUP(D21/3,0)</f>
        <v>Q1</v>
      </c>
      <c r="G21" s="30" t="str">
        <f aca="false">INDEX(Lists!$N$2:$N$8,MATCH(WEEKDAY(B21,2),Lists!$M$2:$M$8,0))</f>
        <v>الأحد</v>
      </c>
      <c r="H21" s="30" t="s">
        <v>50</v>
      </c>
      <c r="I21" s="19" t="str">
        <f aca="false">INDEX(Lists!$B$2:$B$6,MATCH(H21,Lists!$A$2:$A$6,0))</f>
        <v>المنطقة الغربية</v>
      </c>
      <c r="J21" s="30" t="s">
        <v>107</v>
      </c>
      <c r="K21" s="30" t="s">
        <v>114</v>
      </c>
      <c r="L21" s="31" t="n">
        <v>1909</v>
      </c>
      <c r="M21" s="19" t="n">
        <v>1</v>
      </c>
      <c r="N21" s="32" t="n">
        <v>0</v>
      </c>
      <c r="O21" s="30" t="s">
        <v>48</v>
      </c>
      <c r="P21" s="30" t="s">
        <v>47</v>
      </c>
      <c r="Q21" s="30" t="s">
        <v>78</v>
      </c>
      <c r="R21" s="25" t="n">
        <f aca="false">L21*M21*(1-N21)</f>
        <v>1909</v>
      </c>
    </row>
    <row r="22" customFormat="false" ht="15" hidden="false" customHeight="false" outlineLevel="0" collapsed="false">
      <c r="A22" s="30" t="s">
        <v>191</v>
      </c>
      <c r="B22" s="44" t="n">
        <v>45299</v>
      </c>
      <c r="C22" s="19" t="n">
        <f aca="false">YEAR(B22)</f>
        <v>2024</v>
      </c>
      <c r="D22" s="19" t="n">
        <f aca="false">MONTH(B22)</f>
        <v>1</v>
      </c>
      <c r="E22" s="30" t="str">
        <f aca="false">INDEX(Lists!$K$2:$K$13,MATCH(D22,Lists!$J$2:$J$13,0))</f>
        <v>يناير</v>
      </c>
      <c r="F22" s="19" t="str">
        <f aca="false">"Q"&amp;ROUNDUP(D22/3,0)</f>
        <v>Q1</v>
      </c>
      <c r="G22" s="30" t="str">
        <f aca="false">INDEX(Lists!$N$2:$N$8,MATCH(WEEKDAY(B22,2),Lists!$M$2:$M$8,0))</f>
        <v>الإثنين</v>
      </c>
      <c r="H22" s="30" t="s">
        <v>50</v>
      </c>
      <c r="I22" s="19" t="str">
        <f aca="false">INDEX(Lists!$B$2:$B$6,MATCH(H22,Lists!$A$2:$A$6,0))</f>
        <v>المنطقة الغربية</v>
      </c>
      <c r="J22" s="30" t="s">
        <v>109</v>
      </c>
      <c r="K22" s="30" t="s">
        <v>192</v>
      </c>
      <c r="L22" s="31" t="n">
        <v>279</v>
      </c>
      <c r="M22" s="19" t="n">
        <v>1</v>
      </c>
      <c r="N22" s="32" t="n">
        <v>0</v>
      </c>
      <c r="O22" s="30" t="s">
        <v>48</v>
      </c>
      <c r="P22" s="30" t="s">
        <v>47</v>
      </c>
      <c r="Q22" s="30" t="s">
        <v>76</v>
      </c>
      <c r="R22" s="25" t="n">
        <f aca="false">L22*M22*(1-N22)</f>
        <v>279</v>
      </c>
    </row>
    <row r="23" customFormat="false" ht="15" hidden="false" customHeight="false" outlineLevel="0" collapsed="false">
      <c r="A23" s="30" t="s">
        <v>193</v>
      </c>
      <c r="B23" s="44" t="n">
        <v>45299</v>
      </c>
      <c r="C23" s="19" t="n">
        <f aca="false">YEAR(B23)</f>
        <v>2024</v>
      </c>
      <c r="D23" s="19" t="n">
        <f aca="false">MONTH(B23)</f>
        <v>1</v>
      </c>
      <c r="E23" s="30" t="str">
        <f aca="false">INDEX(Lists!$K$2:$K$13,MATCH(D23,Lists!$J$2:$J$13,0))</f>
        <v>يناير</v>
      </c>
      <c r="F23" s="19" t="str">
        <f aca="false">"Q"&amp;ROUNDUP(D23/3,0)</f>
        <v>Q1</v>
      </c>
      <c r="G23" s="30" t="str">
        <f aca="false">INDEX(Lists!$N$2:$N$8,MATCH(WEEKDAY(B23,2),Lists!$M$2:$M$8,0))</f>
        <v>الإثنين</v>
      </c>
      <c r="H23" s="30" t="s">
        <v>50</v>
      </c>
      <c r="I23" s="19" t="str">
        <f aca="false">INDEX(Lists!$B$2:$B$6,MATCH(H23,Lists!$A$2:$A$6,0))</f>
        <v>المنطقة الغربية</v>
      </c>
      <c r="J23" s="30" t="s">
        <v>105</v>
      </c>
      <c r="K23" s="30" t="s">
        <v>85</v>
      </c>
      <c r="L23" s="31" t="n">
        <v>3189</v>
      </c>
      <c r="M23" s="19" t="n">
        <v>1</v>
      </c>
      <c r="N23" s="32" t="n">
        <v>0</v>
      </c>
      <c r="O23" s="30" t="s">
        <v>58</v>
      </c>
      <c r="P23" s="30" t="s">
        <v>47</v>
      </c>
      <c r="Q23" s="30" t="s">
        <v>86</v>
      </c>
      <c r="R23" s="25" t="n">
        <f aca="false">L23*M23*(1-N23)</f>
        <v>3189</v>
      </c>
    </row>
    <row r="24" customFormat="false" ht="15" hidden="false" customHeight="false" outlineLevel="0" collapsed="false">
      <c r="A24" s="30" t="s">
        <v>194</v>
      </c>
      <c r="B24" s="44" t="n">
        <v>45299</v>
      </c>
      <c r="C24" s="19" t="n">
        <f aca="false">YEAR(B24)</f>
        <v>2024</v>
      </c>
      <c r="D24" s="19" t="n">
        <f aca="false">MONTH(B24)</f>
        <v>1</v>
      </c>
      <c r="E24" s="30" t="str">
        <f aca="false">INDEX(Lists!$K$2:$K$13,MATCH(D24,Lists!$J$2:$J$13,0))</f>
        <v>يناير</v>
      </c>
      <c r="F24" s="19" t="str">
        <f aca="false">"Q"&amp;ROUNDUP(D24/3,0)</f>
        <v>Q1</v>
      </c>
      <c r="G24" s="30" t="str">
        <f aca="false">INDEX(Lists!$N$2:$N$8,MATCH(WEEKDAY(B24,2),Lists!$M$2:$M$8,0))</f>
        <v>الإثنين</v>
      </c>
      <c r="H24" s="30" t="s">
        <v>60</v>
      </c>
      <c r="I24" s="19" t="str">
        <f aca="false">INDEX(Lists!$B$2:$B$6,MATCH(H24,Lists!$A$2:$A$6,0))</f>
        <v>المنطقة الغربية</v>
      </c>
      <c r="J24" s="30" t="s">
        <v>105</v>
      </c>
      <c r="K24" s="30" t="s">
        <v>179</v>
      </c>
      <c r="L24" s="31" t="n">
        <v>2929</v>
      </c>
      <c r="M24" s="19" t="n">
        <v>1</v>
      </c>
      <c r="N24" s="32" t="n">
        <v>0.05</v>
      </c>
      <c r="O24" s="30" t="s">
        <v>55</v>
      </c>
      <c r="P24" s="30" t="s">
        <v>47</v>
      </c>
      <c r="Q24" s="30" t="s">
        <v>84</v>
      </c>
      <c r="R24" s="25" t="n">
        <f aca="false">L24*M24*(1-N24)</f>
        <v>2782.55</v>
      </c>
    </row>
    <row r="25" customFormat="false" ht="15" hidden="false" customHeight="false" outlineLevel="0" collapsed="false">
      <c r="A25" s="30" t="s">
        <v>195</v>
      </c>
      <c r="B25" s="44" t="n">
        <v>45300</v>
      </c>
      <c r="C25" s="19" t="n">
        <f aca="false">YEAR(B25)</f>
        <v>2024</v>
      </c>
      <c r="D25" s="19" t="n">
        <f aca="false">MONTH(B25)</f>
        <v>1</v>
      </c>
      <c r="E25" s="30" t="str">
        <f aca="false">INDEX(Lists!$K$2:$K$13,MATCH(D25,Lists!$J$2:$J$13,0))</f>
        <v>يناير</v>
      </c>
      <c r="F25" s="19" t="str">
        <f aca="false">"Q"&amp;ROUNDUP(D25/3,0)</f>
        <v>Q1</v>
      </c>
      <c r="G25" s="30" t="str">
        <f aca="false">INDEX(Lists!$N$2:$N$8,MATCH(WEEKDAY(B25,2),Lists!$M$2:$M$8,0))</f>
        <v>الثلاثاء</v>
      </c>
      <c r="H25" s="30" t="s">
        <v>46</v>
      </c>
      <c r="I25" s="19" t="str">
        <f aca="false">INDEX(Lists!$B$2:$B$6,MATCH(H25,Lists!$A$2:$A$6,0))</f>
        <v>المنطقة الوسطى</v>
      </c>
      <c r="J25" s="30" t="s">
        <v>111</v>
      </c>
      <c r="K25" s="30" t="s">
        <v>122</v>
      </c>
      <c r="L25" s="31" t="n">
        <v>179</v>
      </c>
      <c r="M25" s="19" t="n">
        <v>1</v>
      </c>
      <c r="N25" s="32" t="n">
        <v>0</v>
      </c>
      <c r="O25" s="30" t="s">
        <v>48</v>
      </c>
      <c r="P25" s="30" t="s">
        <v>47</v>
      </c>
      <c r="Q25" s="30" t="s">
        <v>89</v>
      </c>
      <c r="R25" s="25" t="n">
        <f aca="false">L25*M25*(1-N25)</f>
        <v>179</v>
      </c>
    </row>
    <row r="26" customFormat="false" ht="15" hidden="false" customHeight="false" outlineLevel="0" collapsed="false">
      <c r="A26" s="30" t="s">
        <v>196</v>
      </c>
      <c r="B26" s="44" t="n">
        <v>45300</v>
      </c>
      <c r="C26" s="19" t="n">
        <f aca="false">YEAR(B26)</f>
        <v>2024</v>
      </c>
      <c r="D26" s="19" t="n">
        <f aca="false">MONTH(B26)</f>
        <v>1</v>
      </c>
      <c r="E26" s="30" t="str">
        <f aca="false">INDEX(Lists!$K$2:$K$13,MATCH(D26,Lists!$J$2:$J$13,0))</f>
        <v>يناير</v>
      </c>
      <c r="F26" s="19" t="str">
        <f aca="false">"Q"&amp;ROUNDUP(D26/3,0)</f>
        <v>Q1</v>
      </c>
      <c r="G26" s="30" t="str">
        <f aca="false">INDEX(Lists!$N$2:$N$8,MATCH(WEEKDAY(B26,2),Lists!$M$2:$M$8,0))</f>
        <v>الثلاثاء</v>
      </c>
      <c r="H26" s="30" t="s">
        <v>46</v>
      </c>
      <c r="I26" s="19" t="str">
        <f aca="false">INDEX(Lists!$B$2:$B$6,MATCH(H26,Lists!$A$2:$A$6,0))</f>
        <v>المنطقة الوسطى</v>
      </c>
      <c r="J26" s="30" t="s">
        <v>109</v>
      </c>
      <c r="K26" s="30" t="s">
        <v>171</v>
      </c>
      <c r="L26" s="31" t="n">
        <v>309</v>
      </c>
      <c r="M26" s="19" t="n">
        <v>3</v>
      </c>
      <c r="N26" s="32" t="n">
        <v>0</v>
      </c>
      <c r="O26" s="30" t="s">
        <v>52</v>
      </c>
      <c r="P26" s="30" t="s">
        <v>47</v>
      </c>
      <c r="Q26" s="30" t="s">
        <v>86</v>
      </c>
      <c r="R26" s="25" t="n">
        <f aca="false">L26*M26*(1-N26)</f>
        <v>927</v>
      </c>
    </row>
    <row r="27" customFormat="false" ht="15" hidden="false" customHeight="false" outlineLevel="0" collapsed="false">
      <c r="A27" s="30" t="s">
        <v>197</v>
      </c>
      <c r="B27" s="44" t="n">
        <v>45300</v>
      </c>
      <c r="C27" s="19" t="n">
        <f aca="false">YEAR(B27)</f>
        <v>2024</v>
      </c>
      <c r="D27" s="19" t="n">
        <f aca="false">MONTH(B27)</f>
        <v>1</v>
      </c>
      <c r="E27" s="30" t="str">
        <f aca="false">INDEX(Lists!$K$2:$K$13,MATCH(D27,Lists!$J$2:$J$13,0))</f>
        <v>يناير</v>
      </c>
      <c r="F27" s="19" t="str">
        <f aca="false">"Q"&amp;ROUNDUP(D27/3,0)</f>
        <v>Q1</v>
      </c>
      <c r="G27" s="30" t="str">
        <f aca="false">INDEX(Lists!$N$2:$N$8,MATCH(WEEKDAY(B27,2),Lists!$M$2:$M$8,0))</f>
        <v>الثلاثاء</v>
      </c>
      <c r="H27" s="30" t="s">
        <v>46</v>
      </c>
      <c r="I27" s="19" t="str">
        <f aca="false">INDEX(Lists!$B$2:$B$6,MATCH(H27,Lists!$A$2:$A$6,0))</f>
        <v>المنطقة الوسطى</v>
      </c>
      <c r="J27" s="30" t="s">
        <v>111</v>
      </c>
      <c r="K27" s="30" t="s">
        <v>120</v>
      </c>
      <c r="L27" s="31" t="n">
        <v>159</v>
      </c>
      <c r="M27" s="19" t="n">
        <v>1</v>
      </c>
      <c r="N27" s="32" t="n">
        <v>0</v>
      </c>
      <c r="O27" s="30" t="s">
        <v>48</v>
      </c>
      <c r="P27" s="30" t="s">
        <v>47</v>
      </c>
      <c r="Q27" s="30" t="s">
        <v>81</v>
      </c>
      <c r="R27" s="25" t="n">
        <f aca="false">L27*M27*(1-N27)</f>
        <v>159</v>
      </c>
    </row>
    <row r="28" customFormat="false" ht="15" hidden="false" customHeight="false" outlineLevel="0" collapsed="false">
      <c r="A28" s="30" t="s">
        <v>198</v>
      </c>
      <c r="B28" s="44" t="n">
        <v>45301</v>
      </c>
      <c r="C28" s="19" t="n">
        <f aca="false">YEAR(B28)</f>
        <v>2024</v>
      </c>
      <c r="D28" s="19" t="n">
        <f aca="false">MONTH(B28)</f>
        <v>1</v>
      </c>
      <c r="E28" s="30" t="str">
        <f aca="false">INDEX(Lists!$K$2:$K$13,MATCH(D28,Lists!$J$2:$J$13,0))</f>
        <v>يناير</v>
      </c>
      <c r="F28" s="19" t="str">
        <f aca="false">"Q"&amp;ROUNDUP(D28/3,0)</f>
        <v>Q1</v>
      </c>
      <c r="G28" s="30" t="str">
        <f aca="false">INDEX(Lists!$N$2:$N$8,MATCH(WEEKDAY(B28,2),Lists!$M$2:$M$8,0))</f>
        <v>الأربعاء</v>
      </c>
      <c r="H28" s="30" t="s">
        <v>50</v>
      </c>
      <c r="I28" s="19" t="str">
        <f aca="false">INDEX(Lists!$B$2:$B$6,MATCH(H28,Lists!$A$2:$A$6,0))</f>
        <v>المنطقة الغربية</v>
      </c>
      <c r="J28" s="30" t="s">
        <v>109</v>
      </c>
      <c r="K28" s="30" t="s">
        <v>192</v>
      </c>
      <c r="L28" s="31" t="n">
        <v>129</v>
      </c>
      <c r="M28" s="19" t="n">
        <v>1</v>
      </c>
      <c r="N28" s="32" t="n">
        <v>0.05</v>
      </c>
      <c r="O28" s="30" t="s">
        <v>55</v>
      </c>
      <c r="P28" s="30" t="s">
        <v>47</v>
      </c>
      <c r="Q28" s="30" t="s">
        <v>78</v>
      </c>
      <c r="R28" s="25" t="n">
        <f aca="false">L28*M28*(1-N28)</f>
        <v>122.55</v>
      </c>
    </row>
    <row r="29" customFormat="false" ht="15" hidden="false" customHeight="false" outlineLevel="0" collapsed="false">
      <c r="A29" s="30" t="s">
        <v>199</v>
      </c>
      <c r="B29" s="44" t="n">
        <v>45301</v>
      </c>
      <c r="C29" s="19" t="n">
        <f aca="false">YEAR(B29)</f>
        <v>2024</v>
      </c>
      <c r="D29" s="19" t="n">
        <f aca="false">MONTH(B29)</f>
        <v>1</v>
      </c>
      <c r="E29" s="30" t="str">
        <f aca="false">INDEX(Lists!$K$2:$K$13,MATCH(D29,Lists!$J$2:$J$13,0))</f>
        <v>يناير</v>
      </c>
      <c r="F29" s="19" t="str">
        <f aca="false">"Q"&amp;ROUNDUP(D29/3,0)</f>
        <v>Q1</v>
      </c>
      <c r="G29" s="30" t="str">
        <f aca="false">INDEX(Lists!$N$2:$N$8,MATCH(WEEKDAY(B29,2),Lists!$M$2:$M$8,0))</f>
        <v>الأربعاء</v>
      </c>
      <c r="H29" s="30" t="s">
        <v>60</v>
      </c>
      <c r="I29" s="19" t="str">
        <f aca="false">INDEX(Lists!$B$2:$B$6,MATCH(H29,Lists!$A$2:$A$6,0))</f>
        <v>المنطقة الغربية</v>
      </c>
      <c r="J29" s="30" t="s">
        <v>105</v>
      </c>
      <c r="K29" s="30" t="s">
        <v>85</v>
      </c>
      <c r="L29" s="31" t="n">
        <v>1639</v>
      </c>
      <c r="M29" s="19" t="n">
        <v>1</v>
      </c>
      <c r="N29" s="32" t="n">
        <v>0.05</v>
      </c>
      <c r="O29" s="30" t="s">
        <v>48</v>
      </c>
      <c r="P29" s="30" t="s">
        <v>47</v>
      </c>
      <c r="Q29" s="30" t="s">
        <v>86</v>
      </c>
      <c r="R29" s="25" t="n">
        <f aca="false">L29*M29*(1-N29)</f>
        <v>1557.05</v>
      </c>
    </row>
    <row r="30" customFormat="false" ht="15" hidden="false" customHeight="false" outlineLevel="0" collapsed="false">
      <c r="A30" s="30" t="s">
        <v>200</v>
      </c>
      <c r="B30" s="44" t="n">
        <v>45301</v>
      </c>
      <c r="C30" s="19" t="n">
        <f aca="false">YEAR(B30)</f>
        <v>2024</v>
      </c>
      <c r="D30" s="19" t="n">
        <f aca="false">MONTH(B30)</f>
        <v>1</v>
      </c>
      <c r="E30" s="30" t="str">
        <f aca="false">INDEX(Lists!$K$2:$K$13,MATCH(D30,Lists!$J$2:$J$13,0))</f>
        <v>يناير</v>
      </c>
      <c r="F30" s="19" t="str">
        <f aca="false">"Q"&amp;ROUNDUP(D30/3,0)</f>
        <v>Q1</v>
      </c>
      <c r="G30" s="30" t="str">
        <f aca="false">INDEX(Lists!$N$2:$N$8,MATCH(WEEKDAY(B30,2),Lists!$M$2:$M$8,0))</f>
        <v>الأربعاء</v>
      </c>
      <c r="H30" s="30" t="s">
        <v>46</v>
      </c>
      <c r="I30" s="19" t="str">
        <f aca="false">INDEX(Lists!$B$2:$B$6,MATCH(H30,Lists!$A$2:$A$6,0))</f>
        <v>المنطقة الوسطى</v>
      </c>
      <c r="J30" s="30" t="s">
        <v>113</v>
      </c>
      <c r="K30" s="30" t="s">
        <v>121</v>
      </c>
      <c r="L30" s="31" t="n">
        <v>329</v>
      </c>
      <c r="M30" s="19" t="n">
        <v>1</v>
      </c>
      <c r="N30" s="32" t="n">
        <v>0.1</v>
      </c>
      <c r="O30" s="30" t="s">
        <v>48</v>
      </c>
      <c r="P30" s="30" t="s">
        <v>47</v>
      </c>
      <c r="Q30" s="30" t="s">
        <v>81</v>
      </c>
      <c r="R30" s="25" t="n">
        <f aca="false">L30*M30*(1-N30)</f>
        <v>296.1</v>
      </c>
    </row>
    <row r="31" customFormat="false" ht="15" hidden="false" customHeight="false" outlineLevel="0" collapsed="false">
      <c r="A31" s="30" t="s">
        <v>201</v>
      </c>
      <c r="B31" s="44" t="n">
        <v>45301</v>
      </c>
      <c r="C31" s="19" t="n">
        <f aca="false">YEAR(B31)</f>
        <v>2024</v>
      </c>
      <c r="D31" s="19" t="n">
        <f aca="false">MONTH(B31)</f>
        <v>1</v>
      </c>
      <c r="E31" s="30" t="str">
        <f aca="false">INDEX(Lists!$K$2:$K$13,MATCH(D31,Lists!$J$2:$J$13,0))</f>
        <v>يناير</v>
      </c>
      <c r="F31" s="19" t="str">
        <f aca="false">"Q"&amp;ROUNDUP(D31/3,0)</f>
        <v>Q1</v>
      </c>
      <c r="G31" s="30" t="str">
        <f aca="false">INDEX(Lists!$N$2:$N$8,MATCH(WEEKDAY(B31,2),Lists!$M$2:$M$8,0))</f>
        <v>الأربعاء</v>
      </c>
      <c r="H31" s="30" t="s">
        <v>50</v>
      </c>
      <c r="I31" s="19" t="str">
        <f aca="false">INDEX(Lists!$B$2:$B$6,MATCH(H31,Lists!$A$2:$A$6,0))</f>
        <v>المنطقة الغربية</v>
      </c>
      <c r="J31" s="30" t="s">
        <v>105</v>
      </c>
      <c r="K31" s="30" t="s">
        <v>90</v>
      </c>
      <c r="L31" s="31" t="n">
        <v>2869</v>
      </c>
      <c r="M31" s="19" t="n">
        <v>3</v>
      </c>
      <c r="N31" s="32" t="n">
        <v>0.1</v>
      </c>
      <c r="O31" s="30" t="s">
        <v>48</v>
      </c>
      <c r="P31" s="30" t="s">
        <v>51</v>
      </c>
      <c r="Q31" s="30" t="s">
        <v>84</v>
      </c>
      <c r="R31" s="25" t="n">
        <f aca="false">L31*M31*(1-N31)</f>
        <v>7746.3</v>
      </c>
    </row>
    <row r="32" customFormat="false" ht="15" hidden="false" customHeight="false" outlineLevel="0" collapsed="false">
      <c r="A32" s="30" t="s">
        <v>202</v>
      </c>
      <c r="B32" s="44" t="n">
        <v>45302</v>
      </c>
      <c r="C32" s="19" t="n">
        <f aca="false">YEAR(B32)</f>
        <v>2024</v>
      </c>
      <c r="D32" s="19" t="n">
        <f aca="false">MONTH(B32)</f>
        <v>1</v>
      </c>
      <c r="E32" s="30" t="str">
        <f aca="false">INDEX(Lists!$K$2:$K$13,MATCH(D32,Lists!$J$2:$J$13,0))</f>
        <v>يناير</v>
      </c>
      <c r="F32" s="19" t="str">
        <f aca="false">"Q"&amp;ROUNDUP(D32/3,0)</f>
        <v>Q1</v>
      </c>
      <c r="G32" s="30" t="str">
        <f aca="false">INDEX(Lists!$N$2:$N$8,MATCH(WEEKDAY(B32,2),Lists!$M$2:$M$8,0))</f>
        <v>الخميس</v>
      </c>
      <c r="H32" s="30" t="s">
        <v>57</v>
      </c>
      <c r="I32" s="19" t="str">
        <f aca="false">INDEX(Lists!$B$2:$B$6,MATCH(H32,Lists!$A$2:$A$6,0))</f>
        <v>المنطقة الغربية</v>
      </c>
      <c r="J32" s="30" t="s">
        <v>107</v>
      </c>
      <c r="K32" s="30" t="s">
        <v>115</v>
      </c>
      <c r="L32" s="31" t="n">
        <v>3449</v>
      </c>
      <c r="M32" s="19" t="n">
        <v>1</v>
      </c>
      <c r="N32" s="32" t="n">
        <v>0.2</v>
      </c>
      <c r="O32" s="30" t="s">
        <v>48</v>
      </c>
      <c r="P32" s="30" t="s">
        <v>51</v>
      </c>
      <c r="Q32" s="30" t="s">
        <v>76</v>
      </c>
      <c r="R32" s="25" t="n">
        <f aca="false">L32*M32*(1-N32)</f>
        <v>2759.2</v>
      </c>
    </row>
    <row r="33" customFormat="false" ht="15" hidden="false" customHeight="false" outlineLevel="0" collapsed="false">
      <c r="A33" s="30" t="s">
        <v>203</v>
      </c>
      <c r="B33" s="44" t="n">
        <v>45304</v>
      </c>
      <c r="C33" s="19" t="n">
        <f aca="false">YEAR(B33)</f>
        <v>2024</v>
      </c>
      <c r="D33" s="19" t="n">
        <f aca="false">MONTH(B33)</f>
        <v>1</v>
      </c>
      <c r="E33" s="30" t="str">
        <f aca="false">INDEX(Lists!$K$2:$K$13,MATCH(D33,Lists!$J$2:$J$13,0))</f>
        <v>يناير</v>
      </c>
      <c r="F33" s="19" t="str">
        <f aca="false">"Q"&amp;ROUNDUP(D33/3,0)</f>
        <v>Q1</v>
      </c>
      <c r="G33" s="30" t="str">
        <f aca="false">INDEX(Lists!$N$2:$N$8,MATCH(WEEKDAY(B33,2),Lists!$M$2:$M$8,0))</f>
        <v>السبت</v>
      </c>
      <c r="H33" s="30" t="s">
        <v>46</v>
      </c>
      <c r="I33" s="19" t="str">
        <f aca="false">INDEX(Lists!$B$2:$B$6,MATCH(H33,Lists!$A$2:$A$6,0))</f>
        <v>المنطقة الوسطى</v>
      </c>
      <c r="J33" s="30" t="s">
        <v>105</v>
      </c>
      <c r="K33" s="30" t="s">
        <v>82</v>
      </c>
      <c r="L33" s="31" t="n">
        <v>2329</v>
      </c>
      <c r="M33" s="19" t="n">
        <v>1</v>
      </c>
      <c r="N33" s="32" t="n">
        <v>0.15</v>
      </c>
      <c r="O33" s="30" t="s">
        <v>55</v>
      </c>
      <c r="P33" s="30" t="s">
        <v>47</v>
      </c>
      <c r="Q33" s="30" t="s">
        <v>96</v>
      </c>
      <c r="R33" s="25" t="n">
        <f aca="false">L33*M33*(1-N33)</f>
        <v>1979.65</v>
      </c>
    </row>
    <row r="34" customFormat="false" ht="15" hidden="false" customHeight="false" outlineLevel="0" collapsed="false">
      <c r="A34" s="30" t="s">
        <v>204</v>
      </c>
      <c r="B34" s="44" t="n">
        <v>45304</v>
      </c>
      <c r="C34" s="19" t="n">
        <f aca="false">YEAR(B34)</f>
        <v>2024</v>
      </c>
      <c r="D34" s="19" t="n">
        <f aca="false">MONTH(B34)</f>
        <v>1</v>
      </c>
      <c r="E34" s="30" t="str">
        <f aca="false">INDEX(Lists!$K$2:$K$13,MATCH(D34,Lists!$J$2:$J$13,0))</f>
        <v>يناير</v>
      </c>
      <c r="F34" s="19" t="str">
        <f aca="false">"Q"&amp;ROUNDUP(D34/3,0)</f>
        <v>Q1</v>
      </c>
      <c r="G34" s="30" t="str">
        <f aca="false">INDEX(Lists!$N$2:$N$8,MATCH(WEEKDAY(B34,2),Lists!$M$2:$M$8,0))</f>
        <v>السبت</v>
      </c>
      <c r="H34" s="30" t="s">
        <v>50</v>
      </c>
      <c r="I34" s="19" t="str">
        <f aca="false">INDEX(Lists!$B$2:$B$6,MATCH(H34,Lists!$A$2:$A$6,0))</f>
        <v>المنطقة الغربية</v>
      </c>
      <c r="J34" s="30" t="s">
        <v>105</v>
      </c>
      <c r="K34" s="30" t="s">
        <v>79</v>
      </c>
      <c r="L34" s="31" t="n">
        <v>4019</v>
      </c>
      <c r="M34" s="19" t="n">
        <v>1</v>
      </c>
      <c r="N34" s="32" t="n">
        <v>0.05</v>
      </c>
      <c r="O34" s="30" t="s">
        <v>48</v>
      </c>
      <c r="P34" s="30" t="s">
        <v>47</v>
      </c>
      <c r="Q34" s="30" t="s">
        <v>99</v>
      </c>
      <c r="R34" s="25" t="n">
        <f aca="false">L34*M34*(1-N34)</f>
        <v>3818.05</v>
      </c>
    </row>
    <row r="35" customFormat="false" ht="15" hidden="false" customHeight="false" outlineLevel="0" collapsed="false">
      <c r="A35" s="30" t="s">
        <v>205</v>
      </c>
      <c r="B35" s="44" t="n">
        <v>45304</v>
      </c>
      <c r="C35" s="19" t="n">
        <f aca="false">YEAR(B35)</f>
        <v>2024</v>
      </c>
      <c r="D35" s="19" t="n">
        <f aca="false">MONTH(B35)</f>
        <v>1</v>
      </c>
      <c r="E35" s="30" t="str">
        <f aca="false">INDEX(Lists!$K$2:$K$13,MATCH(D35,Lists!$J$2:$J$13,0))</f>
        <v>يناير</v>
      </c>
      <c r="F35" s="19" t="str">
        <f aca="false">"Q"&amp;ROUNDUP(D35/3,0)</f>
        <v>Q1</v>
      </c>
      <c r="G35" s="30" t="str">
        <f aca="false">INDEX(Lists!$N$2:$N$8,MATCH(WEEKDAY(B35,2),Lists!$M$2:$M$8,0))</f>
        <v>السبت</v>
      </c>
      <c r="H35" s="30" t="s">
        <v>50</v>
      </c>
      <c r="I35" s="19" t="str">
        <f aca="false">INDEX(Lists!$B$2:$B$6,MATCH(H35,Lists!$A$2:$A$6,0))</f>
        <v>المنطقة الغربية</v>
      </c>
      <c r="J35" s="30" t="s">
        <v>109</v>
      </c>
      <c r="K35" s="30" t="s">
        <v>93</v>
      </c>
      <c r="L35" s="31" t="n">
        <v>329</v>
      </c>
      <c r="M35" s="19" t="n">
        <v>2</v>
      </c>
      <c r="N35" s="32" t="n">
        <v>0.05</v>
      </c>
      <c r="O35" s="30" t="s">
        <v>48</v>
      </c>
      <c r="P35" s="30" t="s">
        <v>47</v>
      </c>
      <c r="Q35" s="30" t="s">
        <v>94</v>
      </c>
      <c r="R35" s="25" t="n">
        <f aca="false">L35*M35*(1-N35)</f>
        <v>625.1</v>
      </c>
    </row>
    <row r="36" customFormat="false" ht="15" hidden="false" customHeight="false" outlineLevel="0" collapsed="false">
      <c r="A36" s="30" t="s">
        <v>206</v>
      </c>
      <c r="B36" s="44" t="n">
        <v>45304</v>
      </c>
      <c r="C36" s="19" t="n">
        <f aca="false">YEAR(B36)</f>
        <v>2024</v>
      </c>
      <c r="D36" s="19" t="n">
        <f aca="false">MONTH(B36)</f>
        <v>1</v>
      </c>
      <c r="E36" s="30" t="str">
        <f aca="false">INDEX(Lists!$K$2:$K$13,MATCH(D36,Lists!$J$2:$J$13,0))</f>
        <v>يناير</v>
      </c>
      <c r="F36" s="19" t="str">
        <f aca="false">"Q"&amp;ROUNDUP(D36/3,0)</f>
        <v>Q1</v>
      </c>
      <c r="G36" s="30" t="str">
        <f aca="false">INDEX(Lists!$N$2:$N$8,MATCH(WEEKDAY(B36,2),Lists!$M$2:$M$8,0))</f>
        <v>السبت</v>
      </c>
      <c r="H36" s="30" t="s">
        <v>57</v>
      </c>
      <c r="I36" s="19" t="str">
        <f aca="false">INDEX(Lists!$B$2:$B$6,MATCH(H36,Lists!$A$2:$A$6,0))</f>
        <v>المنطقة الغربية</v>
      </c>
      <c r="J36" s="30" t="s">
        <v>111</v>
      </c>
      <c r="K36" s="30" t="s">
        <v>122</v>
      </c>
      <c r="L36" s="31" t="n">
        <v>219</v>
      </c>
      <c r="M36" s="19" t="n">
        <v>1</v>
      </c>
      <c r="N36" s="32" t="n">
        <v>0</v>
      </c>
      <c r="O36" s="30" t="s">
        <v>48</v>
      </c>
      <c r="P36" s="30" t="s">
        <v>47</v>
      </c>
      <c r="Q36" s="30" t="s">
        <v>84</v>
      </c>
      <c r="R36" s="25" t="n">
        <f aca="false">L36*M36*(1-N36)</f>
        <v>219</v>
      </c>
    </row>
    <row r="37" customFormat="false" ht="15" hidden="false" customHeight="false" outlineLevel="0" collapsed="false">
      <c r="A37" s="30" t="s">
        <v>207</v>
      </c>
      <c r="B37" s="44" t="n">
        <v>45305</v>
      </c>
      <c r="C37" s="19" t="n">
        <f aca="false">YEAR(B37)</f>
        <v>2024</v>
      </c>
      <c r="D37" s="19" t="n">
        <f aca="false">MONTH(B37)</f>
        <v>1</v>
      </c>
      <c r="E37" s="30" t="str">
        <f aca="false">INDEX(Lists!$K$2:$K$13,MATCH(D37,Lists!$J$2:$J$13,0))</f>
        <v>يناير</v>
      </c>
      <c r="F37" s="19" t="str">
        <f aca="false">"Q"&amp;ROUNDUP(D37/3,0)</f>
        <v>Q1</v>
      </c>
      <c r="G37" s="30" t="str">
        <f aca="false">INDEX(Lists!$N$2:$N$8,MATCH(WEEKDAY(B37,2),Lists!$M$2:$M$8,0))</f>
        <v>الأحد</v>
      </c>
      <c r="H37" s="30" t="s">
        <v>50</v>
      </c>
      <c r="I37" s="19" t="str">
        <f aca="false">INDEX(Lists!$B$2:$B$6,MATCH(H37,Lists!$A$2:$A$6,0))</f>
        <v>المنطقة الغربية</v>
      </c>
      <c r="J37" s="30" t="s">
        <v>113</v>
      </c>
      <c r="K37" s="30" t="s">
        <v>97</v>
      </c>
      <c r="L37" s="31" t="n">
        <v>139</v>
      </c>
      <c r="M37" s="19" t="n">
        <v>1</v>
      </c>
      <c r="N37" s="32" t="n">
        <v>0.15</v>
      </c>
      <c r="O37" s="30" t="s">
        <v>48</v>
      </c>
      <c r="P37" s="30" t="s">
        <v>47</v>
      </c>
      <c r="Q37" s="30" t="s">
        <v>84</v>
      </c>
      <c r="R37" s="25" t="n">
        <f aca="false">L37*M37*(1-N37)</f>
        <v>118.15</v>
      </c>
    </row>
    <row r="38" customFormat="false" ht="15" hidden="false" customHeight="false" outlineLevel="0" collapsed="false">
      <c r="A38" s="30" t="s">
        <v>208</v>
      </c>
      <c r="B38" s="44" t="n">
        <v>45305</v>
      </c>
      <c r="C38" s="19" t="n">
        <f aca="false">YEAR(B38)</f>
        <v>2024</v>
      </c>
      <c r="D38" s="19" t="n">
        <f aca="false">MONTH(B38)</f>
        <v>1</v>
      </c>
      <c r="E38" s="30" t="str">
        <f aca="false">INDEX(Lists!$K$2:$K$13,MATCH(D38,Lists!$J$2:$J$13,0))</f>
        <v>يناير</v>
      </c>
      <c r="F38" s="19" t="str">
        <f aca="false">"Q"&amp;ROUNDUP(D38/3,0)</f>
        <v>Q1</v>
      </c>
      <c r="G38" s="30" t="str">
        <f aca="false">INDEX(Lists!$N$2:$N$8,MATCH(WEEKDAY(B38,2),Lists!$M$2:$M$8,0))</f>
        <v>الأحد</v>
      </c>
      <c r="H38" s="30" t="s">
        <v>46</v>
      </c>
      <c r="I38" s="19" t="str">
        <f aca="false">INDEX(Lists!$B$2:$B$6,MATCH(H38,Lists!$A$2:$A$6,0))</f>
        <v>المنطقة الوسطى</v>
      </c>
      <c r="J38" s="30" t="s">
        <v>105</v>
      </c>
      <c r="K38" s="30" t="s">
        <v>90</v>
      </c>
      <c r="L38" s="31" t="n">
        <v>2349</v>
      </c>
      <c r="M38" s="19" t="n">
        <v>10</v>
      </c>
      <c r="N38" s="32" t="n">
        <v>0.05</v>
      </c>
      <c r="O38" s="30" t="s">
        <v>48</v>
      </c>
      <c r="P38" s="30" t="s">
        <v>51</v>
      </c>
      <c r="Q38" s="30" t="s">
        <v>76</v>
      </c>
      <c r="R38" s="25" t="n">
        <f aca="false">L38*M38*(1-N38)</f>
        <v>22315.5</v>
      </c>
    </row>
    <row r="39" customFormat="false" ht="15" hidden="false" customHeight="false" outlineLevel="0" collapsed="false">
      <c r="A39" s="30" t="s">
        <v>209</v>
      </c>
      <c r="B39" s="44" t="n">
        <v>45305</v>
      </c>
      <c r="C39" s="19" t="n">
        <f aca="false">YEAR(B39)</f>
        <v>2024</v>
      </c>
      <c r="D39" s="19" t="n">
        <f aca="false">MONTH(B39)</f>
        <v>1</v>
      </c>
      <c r="E39" s="30" t="str">
        <f aca="false">INDEX(Lists!$K$2:$K$13,MATCH(D39,Lists!$J$2:$J$13,0))</f>
        <v>يناير</v>
      </c>
      <c r="F39" s="19" t="str">
        <f aca="false">"Q"&amp;ROUNDUP(D39/3,0)</f>
        <v>Q1</v>
      </c>
      <c r="G39" s="30" t="str">
        <f aca="false">INDEX(Lists!$N$2:$N$8,MATCH(WEEKDAY(B39,2),Lists!$M$2:$M$8,0))</f>
        <v>الأحد</v>
      </c>
      <c r="H39" s="30" t="s">
        <v>46</v>
      </c>
      <c r="I39" s="19" t="str">
        <f aca="false">INDEX(Lists!$B$2:$B$6,MATCH(H39,Lists!$A$2:$A$6,0))</f>
        <v>المنطقة الوسطى</v>
      </c>
      <c r="J39" s="30" t="s">
        <v>107</v>
      </c>
      <c r="K39" s="30" t="s">
        <v>115</v>
      </c>
      <c r="L39" s="31" t="n">
        <v>4709</v>
      </c>
      <c r="M39" s="19" t="n">
        <v>2</v>
      </c>
      <c r="N39" s="32" t="n">
        <v>0.05</v>
      </c>
      <c r="O39" s="30" t="s">
        <v>52</v>
      </c>
      <c r="P39" s="30" t="s">
        <v>47</v>
      </c>
      <c r="Q39" s="30" t="s">
        <v>86</v>
      </c>
      <c r="R39" s="25" t="n">
        <f aca="false">L39*M39*(1-N39)</f>
        <v>8947.1</v>
      </c>
    </row>
    <row r="40" customFormat="false" ht="15" hidden="false" customHeight="false" outlineLevel="0" collapsed="false">
      <c r="A40" s="30" t="s">
        <v>210</v>
      </c>
      <c r="B40" s="44" t="n">
        <v>45305</v>
      </c>
      <c r="C40" s="19" t="n">
        <f aca="false">YEAR(B40)</f>
        <v>2024</v>
      </c>
      <c r="D40" s="19" t="n">
        <f aca="false">MONTH(B40)</f>
        <v>1</v>
      </c>
      <c r="E40" s="30" t="str">
        <f aca="false">INDEX(Lists!$K$2:$K$13,MATCH(D40,Lists!$J$2:$J$13,0))</f>
        <v>يناير</v>
      </c>
      <c r="F40" s="19" t="str">
        <f aca="false">"Q"&amp;ROUNDUP(D40/3,0)</f>
        <v>Q1</v>
      </c>
      <c r="G40" s="30" t="str">
        <f aca="false">INDEX(Lists!$N$2:$N$8,MATCH(WEEKDAY(B40,2),Lists!$M$2:$M$8,0))</f>
        <v>الأحد</v>
      </c>
      <c r="H40" s="30" t="s">
        <v>54</v>
      </c>
      <c r="I40" s="19" t="str">
        <f aca="false">INDEX(Lists!$B$2:$B$6,MATCH(H40,Lists!$A$2:$A$6,0))</f>
        <v>المنطقة الشرقية</v>
      </c>
      <c r="J40" s="30" t="s">
        <v>107</v>
      </c>
      <c r="K40" s="30" t="s">
        <v>114</v>
      </c>
      <c r="L40" s="31" t="n">
        <v>6729</v>
      </c>
      <c r="M40" s="19" t="n">
        <v>3</v>
      </c>
      <c r="N40" s="32" t="n">
        <v>0</v>
      </c>
      <c r="O40" s="30" t="s">
        <v>55</v>
      </c>
      <c r="P40" s="30" t="s">
        <v>47</v>
      </c>
      <c r="Q40" s="30" t="s">
        <v>92</v>
      </c>
      <c r="R40" s="25" t="n">
        <f aca="false">L40*M40*(1-N40)</f>
        <v>20187</v>
      </c>
    </row>
    <row r="41" customFormat="false" ht="15" hidden="false" customHeight="false" outlineLevel="0" collapsed="false">
      <c r="A41" s="30" t="s">
        <v>211</v>
      </c>
      <c r="B41" s="44" t="n">
        <v>45306</v>
      </c>
      <c r="C41" s="19" t="n">
        <f aca="false">YEAR(B41)</f>
        <v>2024</v>
      </c>
      <c r="D41" s="19" t="n">
        <f aca="false">MONTH(B41)</f>
        <v>1</v>
      </c>
      <c r="E41" s="30" t="str">
        <f aca="false">INDEX(Lists!$K$2:$K$13,MATCH(D41,Lists!$J$2:$J$13,0))</f>
        <v>يناير</v>
      </c>
      <c r="F41" s="19" t="str">
        <f aca="false">"Q"&amp;ROUNDUP(D41/3,0)</f>
        <v>Q1</v>
      </c>
      <c r="G41" s="30" t="str">
        <f aca="false">INDEX(Lists!$N$2:$N$8,MATCH(WEEKDAY(B41,2),Lists!$M$2:$M$8,0))</f>
        <v>الإثنين</v>
      </c>
      <c r="H41" s="30" t="s">
        <v>57</v>
      </c>
      <c r="I41" s="19" t="str">
        <f aca="false">INDEX(Lists!$B$2:$B$6,MATCH(H41,Lists!$A$2:$A$6,0))</f>
        <v>المنطقة الغربية</v>
      </c>
      <c r="J41" s="30" t="s">
        <v>105</v>
      </c>
      <c r="K41" s="30" t="s">
        <v>179</v>
      </c>
      <c r="L41" s="31" t="n">
        <v>2859</v>
      </c>
      <c r="M41" s="19" t="n">
        <v>1</v>
      </c>
      <c r="N41" s="32" t="n">
        <v>0</v>
      </c>
      <c r="O41" s="30" t="s">
        <v>55</v>
      </c>
      <c r="P41" s="30" t="s">
        <v>47</v>
      </c>
      <c r="Q41" s="30" t="s">
        <v>76</v>
      </c>
      <c r="R41" s="25" t="n">
        <f aca="false">L41*M41*(1-N41)</f>
        <v>2859</v>
      </c>
    </row>
    <row r="42" customFormat="false" ht="15" hidden="false" customHeight="false" outlineLevel="0" collapsed="false">
      <c r="A42" s="30" t="s">
        <v>212</v>
      </c>
      <c r="B42" s="44" t="n">
        <v>45306</v>
      </c>
      <c r="C42" s="19" t="n">
        <f aca="false">YEAR(B42)</f>
        <v>2024</v>
      </c>
      <c r="D42" s="19" t="n">
        <f aca="false">MONTH(B42)</f>
        <v>1</v>
      </c>
      <c r="E42" s="30" t="str">
        <f aca="false">INDEX(Lists!$K$2:$K$13,MATCH(D42,Lists!$J$2:$J$13,0))</f>
        <v>يناير</v>
      </c>
      <c r="F42" s="19" t="str">
        <f aca="false">"Q"&amp;ROUNDUP(D42/3,0)</f>
        <v>Q1</v>
      </c>
      <c r="G42" s="30" t="str">
        <f aca="false">INDEX(Lists!$N$2:$N$8,MATCH(WEEKDAY(B42,2),Lists!$M$2:$M$8,0))</f>
        <v>الإثنين</v>
      </c>
      <c r="H42" s="30" t="s">
        <v>54</v>
      </c>
      <c r="I42" s="19" t="str">
        <f aca="false">INDEX(Lists!$B$2:$B$6,MATCH(H42,Lists!$A$2:$A$6,0))</f>
        <v>المنطقة الشرقية</v>
      </c>
      <c r="J42" s="30" t="s">
        <v>113</v>
      </c>
      <c r="K42" s="30" t="s">
        <v>97</v>
      </c>
      <c r="L42" s="31" t="n">
        <v>779</v>
      </c>
      <c r="M42" s="19" t="n">
        <v>1</v>
      </c>
      <c r="N42" s="32" t="n">
        <v>0.1</v>
      </c>
      <c r="O42" s="30" t="s">
        <v>52</v>
      </c>
      <c r="P42" s="30" t="s">
        <v>47</v>
      </c>
      <c r="Q42" s="30" t="s">
        <v>86</v>
      </c>
      <c r="R42" s="25" t="n">
        <f aca="false">L42*M42*(1-N42)</f>
        <v>701.1</v>
      </c>
    </row>
    <row r="43" customFormat="false" ht="15" hidden="false" customHeight="false" outlineLevel="0" collapsed="false">
      <c r="A43" s="30" t="s">
        <v>213</v>
      </c>
      <c r="B43" s="44" t="n">
        <v>45306</v>
      </c>
      <c r="C43" s="19" t="n">
        <f aca="false">YEAR(B43)</f>
        <v>2024</v>
      </c>
      <c r="D43" s="19" t="n">
        <f aca="false">MONTH(B43)</f>
        <v>1</v>
      </c>
      <c r="E43" s="30" t="str">
        <f aca="false">INDEX(Lists!$K$2:$K$13,MATCH(D43,Lists!$J$2:$J$13,0))</f>
        <v>يناير</v>
      </c>
      <c r="F43" s="19" t="str">
        <f aca="false">"Q"&amp;ROUNDUP(D43/3,0)</f>
        <v>Q1</v>
      </c>
      <c r="G43" s="30" t="str">
        <f aca="false">INDEX(Lists!$N$2:$N$8,MATCH(WEEKDAY(B43,2),Lists!$M$2:$M$8,0))</f>
        <v>الإثنين</v>
      </c>
      <c r="H43" s="30" t="s">
        <v>50</v>
      </c>
      <c r="I43" s="19" t="str">
        <f aca="false">INDEX(Lists!$B$2:$B$6,MATCH(H43,Lists!$A$2:$A$6,0))</f>
        <v>المنطقة الغربية</v>
      </c>
      <c r="J43" s="30" t="s">
        <v>107</v>
      </c>
      <c r="K43" s="30" t="s">
        <v>114</v>
      </c>
      <c r="L43" s="31" t="n">
        <v>6579</v>
      </c>
      <c r="M43" s="19" t="n">
        <v>1</v>
      </c>
      <c r="N43" s="32" t="n">
        <v>0</v>
      </c>
      <c r="O43" s="30" t="s">
        <v>48</v>
      </c>
      <c r="P43" s="30" t="s">
        <v>47</v>
      </c>
      <c r="Q43" s="30" t="s">
        <v>86</v>
      </c>
      <c r="R43" s="25" t="n">
        <f aca="false">L43*M43*(1-N43)</f>
        <v>6579</v>
      </c>
    </row>
    <row r="44" customFormat="false" ht="15" hidden="false" customHeight="false" outlineLevel="0" collapsed="false">
      <c r="A44" s="30" t="s">
        <v>214</v>
      </c>
      <c r="B44" s="44" t="n">
        <v>45307</v>
      </c>
      <c r="C44" s="19" t="n">
        <f aca="false">YEAR(B44)</f>
        <v>2024</v>
      </c>
      <c r="D44" s="19" t="n">
        <f aca="false">MONTH(B44)</f>
        <v>1</v>
      </c>
      <c r="E44" s="30" t="str">
        <f aca="false">INDEX(Lists!$K$2:$K$13,MATCH(D44,Lists!$J$2:$J$13,0))</f>
        <v>يناير</v>
      </c>
      <c r="F44" s="19" t="str">
        <f aca="false">"Q"&amp;ROUNDUP(D44/3,0)</f>
        <v>Q1</v>
      </c>
      <c r="G44" s="30" t="str">
        <f aca="false">INDEX(Lists!$N$2:$N$8,MATCH(WEEKDAY(B44,2),Lists!$M$2:$M$8,0))</f>
        <v>الثلاثاء</v>
      </c>
      <c r="H44" s="30" t="s">
        <v>50</v>
      </c>
      <c r="I44" s="19" t="str">
        <f aca="false">INDEX(Lists!$B$2:$B$6,MATCH(H44,Lists!$A$2:$A$6,0))</f>
        <v>المنطقة الغربية</v>
      </c>
      <c r="J44" s="30" t="s">
        <v>109</v>
      </c>
      <c r="K44" s="30" t="s">
        <v>93</v>
      </c>
      <c r="L44" s="31" t="n">
        <v>209</v>
      </c>
      <c r="M44" s="19" t="n">
        <v>1</v>
      </c>
      <c r="N44" s="32" t="n">
        <v>0.2</v>
      </c>
      <c r="O44" s="30" t="s">
        <v>48</v>
      </c>
      <c r="P44" s="30" t="s">
        <v>47</v>
      </c>
      <c r="Q44" s="30" t="s">
        <v>84</v>
      </c>
      <c r="R44" s="25" t="n">
        <f aca="false">L44*M44*(1-N44)</f>
        <v>167.2</v>
      </c>
    </row>
    <row r="45" customFormat="false" ht="15" hidden="false" customHeight="false" outlineLevel="0" collapsed="false">
      <c r="A45" s="30" t="s">
        <v>215</v>
      </c>
      <c r="B45" s="44" t="n">
        <v>45308</v>
      </c>
      <c r="C45" s="19" t="n">
        <f aca="false">YEAR(B45)</f>
        <v>2024</v>
      </c>
      <c r="D45" s="19" t="n">
        <f aca="false">MONTH(B45)</f>
        <v>1</v>
      </c>
      <c r="E45" s="30" t="str">
        <f aca="false">INDEX(Lists!$K$2:$K$13,MATCH(D45,Lists!$J$2:$J$13,0))</f>
        <v>يناير</v>
      </c>
      <c r="F45" s="19" t="str">
        <f aca="false">"Q"&amp;ROUNDUP(D45/3,0)</f>
        <v>Q1</v>
      </c>
      <c r="G45" s="30" t="str">
        <f aca="false">INDEX(Lists!$N$2:$N$8,MATCH(WEEKDAY(B45,2),Lists!$M$2:$M$8,0))</f>
        <v>الأربعاء</v>
      </c>
      <c r="H45" s="30" t="s">
        <v>46</v>
      </c>
      <c r="I45" s="19" t="str">
        <f aca="false">INDEX(Lists!$B$2:$B$6,MATCH(H45,Lists!$A$2:$A$6,0))</f>
        <v>المنطقة الوسطى</v>
      </c>
      <c r="J45" s="30" t="s">
        <v>111</v>
      </c>
      <c r="K45" s="30" t="s">
        <v>120</v>
      </c>
      <c r="L45" s="31" t="n">
        <v>159</v>
      </c>
      <c r="M45" s="19" t="n">
        <v>1</v>
      </c>
      <c r="N45" s="32" t="n">
        <v>0</v>
      </c>
      <c r="O45" s="30" t="s">
        <v>48</v>
      </c>
      <c r="P45" s="30" t="s">
        <v>47</v>
      </c>
      <c r="Q45" s="30" t="s">
        <v>92</v>
      </c>
      <c r="R45" s="25" t="n">
        <f aca="false">L45*M45*(1-N45)</f>
        <v>159</v>
      </c>
    </row>
    <row r="46" customFormat="false" ht="15" hidden="false" customHeight="false" outlineLevel="0" collapsed="false">
      <c r="A46" s="30" t="s">
        <v>216</v>
      </c>
      <c r="B46" s="44" t="n">
        <v>45308</v>
      </c>
      <c r="C46" s="19" t="n">
        <f aca="false">YEAR(B46)</f>
        <v>2024</v>
      </c>
      <c r="D46" s="19" t="n">
        <f aca="false">MONTH(B46)</f>
        <v>1</v>
      </c>
      <c r="E46" s="30" t="str">
        <f aca="false">INDEX(Lists!$K$2:$K$13,MATCH(D46,Lists!$J$2:$J$13,0))</f>
        <v>يناير</v>
      </c>
      <c r="F46" s="19" t="str">
        <f aca="false">"Q"&amp;ROUNDUP(D46/3,0)</f>
        <v>Q1</v>
      </c>
      <c r="G46" s="30" t="str">
        <f aca="false">INDEX(Lists!$N$2:$N$8,MATCH(WEEKDAY(B46,2),Lists!$M$2:$M$8,0))</f>
        <v>الأربعاء</v>
      </c>
      <c r="H46" s="30" t="s">
        <v>46</v>
      </c>
      <c r="I46" s="19" t="str">
        <f aca="false">INDEX(Lists!$B$2:$B$6,MATCH(H46,Lists!$A$2:$A$6,0))</f>
        <v>المنطقة الوسطى</v>
      </c>
      <c r="J46" s="30" t="s">
        <v>105</v>
      </c>
      <c r="K46" s="30" t="s">
        <v>79</v>
      </c>
      <c r="L46" s="31" t="n">
        <v>3199</v>
      </c>
      <c r="M46" s="19" t="n">
        <v>1</v>
      </c>
      <c r="N46" s="32" t="n">
        <v>0</v>
      </c>
      <c r="O46" s="30" t="s">
        <v>52</v>
      </c>
      <c r="P46" s="30" t="s">
        <v>47</v>
      </c>
      <c r="Q46" s="30" t="s">
        <v>81</v>
      </c>
      <c r="R46" s="25" t="n">
        <f aca="false">L46*M46*(1-N46)</f>
        <v>3199</v>
      </c>
    </row>
    <row r="47" customFormat="false" ht="15" hidden="false" customHeight="false" outlineLevel="0" collapsed="false">
      <c r="A47" s="30" t="s">
        <v>217</v>
      </c>
      <c r="B47" s="44" t="n">
        <v>45308</v>
      </c>
      <c r="C47" s="19" t="n">
        <f aca="false">YEAR(B47)</f>
        <v>2024</v>
      </c>
      <c r="D47" s="19" t="n">
        <f aca="false">MONTH(B47)</f>
        <v>1</v>
      </c>
      <c r="E47" s="30" t="str">
        <f aca="false">INDEX(Lists!$K$2:$K$13,MATCH(D47,Lists!$J$2:$J$13,0))</f>
        <v>يناير</v>
      </c>
      <c r="F47" s="19" t="str">
        <f aca="false">"Q"&amp;ROUNDUP(D47/3,0)</f>
        <v>Q1</v>
      </c>
      <c r="G47" s="30" t="str">
        <f aca="false">INDEX(Lists!$N$2:$N$8,MATCH(WEEKDAY(B47,2),Lists!$M$2:$M$8,0))</f>
        <v>الأربعاء</v>
      </c>
      <c r="H47" s="30" t="s">
        <v>54</v>
      </c>
      <c r="I47" s="19" t="str">
        <f aca="false">INDEX(Lists!$B$2:$B$6,MATCH(H47,Lists!$A$2:$A$6,0))</f>
        <v>المنطقة الشرقية</v>
      </c>
      <c r="J47" s="30" t="s">
        <v>105</v>
      </c>
      <c r="K47" s="30" t="s">
        <v>179</v>
      </c>
      <c r="L47" s="31" t="n">
        <v>4019</v>
      </c>
      <c r="M47" s="19" t="n">
        <v>1</v>
      </c>
      <c r="N47" s="32" t="n">
        <v>0.05</v>
      </c>
      <c r="O47" s="30" t="s">
        <v>48</v>
      </c>
      <c r="P47" s="30" t="s">
        <v>47</v>
      </c>
      <c r="Q47" s="30" t="s">
        <v>78</v>
      </c>
      <c r="R47" s="25" t="n">
        <f aca="false">L47*M47*(1-N47)</f>
        <v>3818.05</v>
      </c>
    </row>
    <row r="48" customFormat="false" ht="15" hidden="false" customHeight="false" outlineLevel="0" collapsed="false">
      <c r="A48" s="30" t="s">
        <v>218</v>
      </c>
      <c r="B48" s="44" t="n">
        <v>45308</v>
      </c>
      <c r="C48" s="19" t="n">
        <f aca="false">YEAR(B48)</f>
        <v>2024</v>
      </c>
      <c r="D48" s="19" t="n">
        <f aca="false">MONTH(B48)</f>
        <v>1</v>
      </c>
      <c r="E48" s="30" t="str">
        <f aca="false">INDEX(Lists!$K$2:$K$13,MATCH(D48,Lists!$J$2:$J$13,0))</f>
        <v>يناير</v>
      </c>
      <c r="F48" s="19" t="str">
        <f aca="false">"Q"&amp;ROUNDUP(D48/3,0)</f>
        <v>Q1</v>
      </c>
      <c r="G48" s="30" t="str">
        <f aca="false">INDEX(Lists!$N$2:$N$8,MATCH(WEEKDAY(B48,2),Lists!$M$2:$M$8,0))</f>
        <v>الأربعاء</v>
      </c>
      <c r="H48" s="30" t="s">
        <v>50</v>
      </c>
      <c r="I48" s="19" t="str">
        <f aca="false">INDEX(Lists!$B$2:$B$6,MATCH(H48,Lists!$A$2:$A$6,0))</f>
        <v>المنطقة الغربية</v>
      </c>
      <c r="J48" s="30" t="s">
        <v>109</v>
      </c>
      <c r="K48" s="30" t="s">
        <v>175</v>
      </c>
      <c r="L48" s="31" t="n">
        <v>79</v>
      </c>
      <c r="M48" s="19" t="n">
        <v>1</v>
      </c>
      <c r="N48" s="32" t="n">
        <v>0</v>
      </c>
      <c r="O48" s="30" t="s">
        <v>52</v>
      </c>
      <c r="P48" s="30" t="s">
        <v>47</v>
      </c>
      <c r="Q48" s="30" t="s">
        <v>89</v>
      </c>
      <c r="R48" s="25" t="n">
        <f aca="false">L48*M48*(1-N48)</f>
        <v>79</v>
      </c>
    </row>
    <row r="49" customFormat="false" ht="15" hidden="false" customHeight="false" outlineLevel="0" collapsed="false">
      <c r="A49" s="30" t="s">
        <v>219</v>
      </c>
      <c r="B49" s="44" t="n">
        <v>45308</v>
      </c>
      <c r="C49" s="19" t="n">
        <f aca="false">YEAR(B49)</f>
        <v>2024</v>
      </c>
      <c r="D49" s="19" t="n">
        <f aca="false">MONTH(B49)</f>
        <v>1</v>
      </c>
      <c r="E49" s="30" t="str">
        <f aca="false">INDEX(Lists!$K$2:$K$13,MATCH(D49,Lists!$J$2:$J$13,0))</f>
        <v>يناير</v>
      </c>
      <c r="F49" s="19" t="str">
        <f aca="false">"Q"&amp;ROUNDUP(D49/3,0)</f>
        <v>Q1</v>
      </c>
      <c r="G49" s="30" t="str">
        <f aca="false">INDEX(Lists!$N$2:$N$8,MATCH(WEEKDAY(B49,2),Lists!$M$2:$M$8,0))</f>
        <v>الأربعاء</v>
      </c>
      <c r="H49" s="30" t="s">
        <v>50</v>
      </c>
      <c r="I49" s="19" t="str">
        <f aca="false">INDEX(Lists!$B$2:$B$6,MATCH(H49,Lists!$A$2:$A$6,0))</f>
        <v>المنطقة الغربية</v>
      </c>
      <c r="J49" s="30" t="s">
        <v>113</v>
      </c>
      <c r="K49" s="30" t="s">
        <v>95</v>
      </c>
      <c r="L49" s="31" t="n">
        <v>409</v>
      </c>
      <c r="M49" s="19" t="n">
        <v>2</v>
      </c>
      <c r="N49" s="32" t="n">
        <v>0.1</v>
      </c>
      <c r="O49" s="30" t="s">
        <v>52</v>
      </c>
      <c r="P49" s="30" t="s">
        <v>47</v>
      </c>
      <c r="Q49" s="30" t="s">
        <v>92</v>
      </c>
      <c r="R49" s="25" t="n">
        <f aca="false">L49*M49*(1-N49)</f>
        <v>736.2</v>
      </c>
    </row>
    <row r="50" customFormat="false" ht="15" hidden="false" customHeight="false" outlineLevel="0" collapsed="false">
      <c r="A50" s="30" t="s">
        <v>220</v>
      </c>
      <c r="B50" s="44" t="n">
        <v>45309</v>
      </c>
      <c r="C50" s="19" t="n">
        <f aca="false">YEAR(B50)</f>
        <v>2024</v>
      </c>
      <c r="D50" s="19" t="n">
        <f aca="false">MONTH(B50)</f>
        <v>1</v>
      </c>
      <c r="E50" s="30" t="str">
        <f aca="false">INDEX(Lists!$K$2:$K$13,MATCH(D50,Lists!$J$2:$J$13,0))</f>
        <v>يناير</v>
      </c>
      <c r="F50" s="19" t="str">
        <f aca="false">"Q"&amp;ROUNDUP(D50/3,0)</f>
        <v>Q1</v>
      </c>
      <c r="G50" s="30" t="str">
        <f aca="false">INDEX(Lists!$N$2:$N$8,MATCH(WEEKDAY(B50,2),Lists!$M$2:$M$8,0))</f>
        <v>الخميس</v>
      </c>
      <c r="H50" s="30" t="s">
        <v>46</v>
      </c>
      <c r="I50" s="19" t="str">
        <f aca="false">INDEX(Lists!$B$2:$B$6,MATCH(H50,Lists!$A$2:$A$6,0))</f>
        <v>المنطقة الوسطى</v>
      </c>
      <c r="J50" s="30" t="s">
        <v>113</v>
      </c>
      <c r="K50" s="30" t="s">
        <v>121</v>
      </c>
      <c r="L50" s="31" t="n">
        <v>869</v>
      </c>
      <c r="M50" s="19" t="n">
        <v>3</v>
      </c>
      <c r="N50" s="32" t="n">
        <v>0.05</v>
      </c>
      <c r="O50" s="30" t="s">
        <v>55</v>
      </c>
      <c r="P50" s="30" t="s">
        <v>47</v>
      </c>
      <c r="Q50" s="30" t="s">
        <v>99</v>
      </c>
      <c r="R50" s="25" t="n">
        <f aca="false">L50*M50*(1-N50)</f>
        <v>2476.65</v>
      </c>
    </row>
    <row r="51" customFormat="false" ht="15" hidden="false" customHeight="false" outlineLevel="0" collapsed="false">
      <c r="A51" s="30" t="s">
        <v>221</v>
      </c>
      <c r="B51" s="44" t="n">
        <v>45309</v>
      </c>
      <c r="C51" s="19" t="n">
        <f aca="false">YEAR(B51)</f>
        <v>2024</v>
      </c>
      <c r="D51" s="19" t="n">
        <f aca="false">MONTH(B51)</f>
        <v>1</v>
      </c>
      <c r="E51" s="30" t="str">
        <f aca="false">INDEX(Lists!$K$2:$K$13,MATCH(D51,Lists!$J$2:$J$13,0))</f>
        <v>يناير</v>
      </c>
      <c r="F51" s="19" t="str">
        <f aca="false">"Q"&amp;ROUNDUP(D51/3,0)</f>
        <v>Q1</v>
      </c>
      <c r="G51" s="30" t="str">
        <f aca="false">INDEX(Lists!$N$2:$N$8,MATCH(WEEKDAY(B51,2),Lists!$M$2:$M$8,0))</f>
        <v>الخميس</v>
      </c>
      <c r="H51" s="30" t="s">
        <v>50</v>
      </c>
      <c r="I51" s="19" t="str">
        <f aca="false">INDEX(Lists!$B$2:$B$6,MATCH(H51,Lists!$A$2:$A$6,0))</f>
        <v>المنطقة الغربية</v>
      </c>
      <c r="J51" s="30" t="s">
        <v>111</v>
      </c>
      <c r="K51" s="30" t="s">
        <v>118</v>
      </c>
      <c r="L51" s="31" t="n">
        <v>449</v>
      </c>
      <c r="M51" s="19" t="n">
        <v>1</v>
      </c>
      <c r="N51" s="32" t="n">
        <v>0</v>
      </c>
      <c r="O51" s="30" t="s">
        <v>52</v>
      </c>
      <c r="P51" s="30" t="s">
        <v>47</v>
      </c>
      <c r="Q51" s="30" t="s">
        <v>81</v>
      </c>
      <c r="R51" s="25" t="n">
        <f aca="false">L51*M51*(1-N51)</f>
        <v>449</v>
      </c>
    </row>
    <row r="52" customFormat="false" ht="15" hidden="false" customHeight="false" outlineLevel="0" collapsed="false">
      <c r="A52" s="30" t="s">
        <v>222</v>
      </c>
      <c r="B52" s="44" t="n">
        <v>45310</v>
      </c>
      <c r="C52" s="19" t="n">
        <f aca="false">YEAR(B52)</f>
        <v>2024</v>
      </c>
      <c r="D52" s="19" t="n">
        <f aca="false">MONTH(B52)</f>
        <v>1</v>
      </c>
      <c r="E52" s="30" t="str">
        <f aca="false">INDEX(Lists!$K$2:$K$13,MATCH(D52,Lists!$J$2:$J$13,0))</f>
        <v>يناير</v>
      </c>
      <c r="F52" s="19" t="str">
        <f aca="false">"Q"&amp;ROUNDUP(D52/3,0)</f>
        <v>Q1</v>
      </c>
      <c r="G52" s="30" t="str">
        <f aca="false">INDEX(Lists!$N$2:$N$8,MATCH(WEEKDAY(B52,2),Lists!$M$2:$M$8,0))</f>
        <v>الجمعة</v>
      </c>
      <c r="H52" s="30" t="s">
        <v>54</v>
      </c>
      <c r="I52" s="19" t="str">
        <f aca="false">INDEX(Lists!$B$2:$B$6,MATCH(H52,Lists!$A$2:$A$6,0))</f>
        <v>المنطقة الشرقية</v>
      </c>
      <c r="J52" s="30" t="s">
        <v>111</v>
      </c>
      <c r="K52" s="30" t="s">
        <v>108</v>
      </c>
      <c r="L52" s="31" t="n">
        <v>499</v>
      </c>
      <c r="M52" s="19" t="n">
        <v>1</v>
      </c>
      <c r="N52" s="32" t="n">
        <v>0.1</v>
      </c>
      <c r="O52" s="30" t="s">
        <v>52</v>
      </c>
      <c r="P52" s="30" t="s">
        <v>47</v>
      </c>
      <c r="Q52" s="30" t="s">
        <v>84</v>
      </c>
      <c r="R52" s="25" t="n">
        <f aca="false">L52*M52*(1-N52)</f>
        <v>449.1</v>
      </c>
    </row>
    <row r="53" customFormat="false" ht="15" hidden="false" customHeight="false" outlineLevel="0" collapsed="false">
      <c r="A53" s="30" t="s">
        <v>223</v>
      </c>
      <c r="B53" s="44" t="n">
        <v>45310</v>
      </c>
      <c r="C53" s="19" t="n">
        <f aca="false">YEAR(B53)</f>
        <v>2024</v>
      </c>
      <c r="D53" s="19" t="n">
        <f aca="false">MONTH(B53)</f>
        <v>1</v>
      </c>
      <c r="E53" s="30" t="str">
        <f aca="false">INDEX(Lists!$K$2:$K$13,MATCH(D53,Lists!$J$2:$J$13,0))</f>
        <v>يناير</v>
      </c>
      <c r="F53" s="19" t="str">
        <f aca="false">"Q"&amp;ROUNDUP(D53/3,0)</f>
        <v>Q1</v>
      </c>
      <c r="G53" s="30" t="str">
        <f aca="false">INDEX(Lists!$N$2:$N$8,MATCH(WEEKDAY(B53,2),Lists!$M$2:$M$8,0))</f>
        <v>الجمعة</v>
      </c>
      <c r="H53" s="30" t="s">
        <v>54</v>
      </c>
      <c r="I53" s="19" t="str">
        <f aca="false">INDEX(Lists!$B$2:$B$6,MATCH(H53,Lists!$A$2:$A$6,0))</f>
        <v>المنطقة الشرقية</v>
      </c>
      <c r="J53" s="30" t="s">
        <v>113</v>
      </c>
      <c r="K53" s="30" t="s">
        <v>97</v>
      </c>
      <c r="L53" s="31" t="n">
        <v>559</v>
      </c>
      <c r="M53" s="19" t="n">
        <v>8</v>
      </c>
      <c r="N53" s="32" t="n">
        <v>0</v>
      </c>
      <c r="O53" s="30" t="s">
        <v>48</v>
      </c>
      <c r="P53" s="30" t="s">
        <v>51</v>
      </c>
      <c r="Q53" s="30" t="s">
        <v>96</v>
      </c>
      <c r="R53" s="25" t="n">
        <f aca="false">L53*M53*(1-N53)</f>
        <v>4472</v>
      </c>
    </row>
    <row r="54" customFormat="false" ht="15" hidden="false" customHeight="false" outlineLevel="0" collapsed="false">
      <c r="A54" s="30" t="s">
        <v>224</v>
      </c>
      <c r="B54" s="44" t="n">
        <v>45311</v>
      </c>
      <c r="C54" s="19" t="n">
        <f aca="false">YEAR(B54)</f>
        <v>2024</v>
      </c>
      <c r="D54" s="19" t="n">
        <f aca="false">MONTH(B54)</f>
        <v>1</v>
      </c>
      <c r="E54" s="30" t="str">
        <f aca="false">INDEX(Lists!$K$2:$K$13,MATCH(D54,Lists!$J$2:$J$13,0))</f>
        <v>يناير</v>
      </c>
      <c r="F54" s="19" t="str">
        <f aca="false">"Q"&amp;ROUNDUP(D54/3,0)</f>
        <v>Q1</v>
      </c>
      <c r="G54" s="30" t="str">
        <f aca="false">INDEX(Lists!$N$2:$N$8,MATCH(WEEKDAY(B54,2),Lists!$M$2:$M$8,0))</f>
        <v>السبت</v>
      </c>
      <c r="H54" s="30" t="s">
        <v>46</v>
      </c>
      <c r="I54" s="19" t="str">
        <f aca="false">INDEX(Lists!$B$2:$B$6,MATCH(H54,Lists!$A$2:$A$6,0))</f>
        <v>المنطقة الوسطى</v>
      </c>
      <c r="J54" s="30" t="s">
        <v>113</v>
      </c>
      <c r="K54" s="30" t="s">
        <v>121</v>
      </c>
      <c r="L54" s="31" t="n">
        <v>809</v>
      </c>
      <c r="M54" s="19" t="n">
        <v>1</v>
      </c>
      <c r="N54" s="32" t="n">
        <v>0</v>
      </c>
      <c r="O54" s="30" t="s">
        <v>48</v>
      </c>
      <c r="P54" s="30" t="s">
        <v>47</v>
      </c>
      <c r="Q54" s="30" t="s">
        <v>99</v>
      </c>
      <c r="R54" s="25" t="n">
        <f aca="false">L54*M54*(1-N54)</f>
        <v>809</v>
      </c>
    </row>
    <row r="55" customFormat="false" ht="15" hidden="false" customHeight="false" outlineLevel="0" collapsed="false">
      <c r="A55" s="30" t="s">
        <v>225</v>
      </c>
      <c r="B55" s="44" t="n">
        <v>45312</v>
      </c>
      <c r="C55" s="19" t="n">
        <f aca="false">YEAR(B55)</f>
        <v>2024</v>
      </c>
      <c r="D55" s="19" t="n">
        <f aca="false">MONTH(B55)</f>
        <v>1</v>
      </c>
      <c r="E55" s="30" t="str">
        <f aca="false">INDEX(Lists!$K$2:$K$13,MATCH(D55,Lists!$J$2:$J$13,0))</f>
        <v>يناير</v>
      </c>
      <c r="F55" s="19" t="str">
        <f aca="false">"Q"&amp;ROUNDUP(D55/3,0)</f>
        <v>Q1</v>
      </c>
      <c r="G55" s="30" t="str">
        <f aca="false">INDEX(Lists!$N$2:$N$8,MATCH(WEEKDAY(B55,2),Lists!$M$2:$M$8,0))</f>
        <v>الأحد</v>
      </c>
      <c r="H55" s="30" t="s">
        <v>46</v>
      </c>
      <c r="I55" s="19" t="str">
        <f aca="false">INDEX(Lists!$B$2:$B$6,MATCH(H55,Lists!$A$2:$A$6,0))</f>
        <v>المنطقة الوسطى</v>
      </c>
      <c r="J55" s="30" t="s">
        <v>109</v>
      </c>
      <c r="K55" s="30" t="s">
        <v>110</v>
      </c>
      <c r="L55" s="31" t="n">
        <v>229</v>
      </c>
      <c r="M55" s="19" t="n">
        <v>1</v>
      </c>
      <c r="N55" s="32" t="n">
        <v>0.05</v>
      </c>
      <c r="O55" s="30" t="s">
        <v>52</v>
      </c>
      <c r="P55" s="30" t="s">
        <v>47</v>
      </c>
      <c r="Q55" s="30" t="s">
        <v>96</v>
      </c>
      <c r="R55" s="25" t="n">
        <f aca="false">L55*M55*(1-N55)</f>
        <v>217.55</v>
      </c>
    </row>
    <row r="56" customFormat="false" ht="15" hidden="false" customHeight="false" outlineLevel="0" collapsed="false">
      <c r="A56" s="30" t="s">
        <v>226</v>
      </c>
      <c r="B56" s="44" t="n">
        <v>45312</v>
      </c>
      <c r="C56" s="19" t="n">
        <f aca="false">YEAR(B56)</f>
        <v>2024</v>
      </c>
      <c r="D56" s="19" t="n">
        <f aca="false">MONTH(B56)</f>
        <v>1</v>
      </c>
      <c r="E56" s="30" t="str">
        <f aca="false">INDEX(Lists!$K$2:$K$13,MATCH(D56,Lists!$J$2:$J$13,0))</f>
        <v>يناير</v>
      </c>
      <c r="F56" s="19" t="str">
        <f aca="false">"Q"&amp;ROUNDUP(D56/3,0)</f>
        <v>Q1</v>
      </c>
      <c r="G56" s="30" t="str">
        <f aca="false">INDEX(Lists!$N$2:$N$8,MATCH(WEEKDAY(B56,2),Lists!$M$2:$M$8,0))</f>
        <v>الأحد</v>
      </c>
      <c r="H56" s="30" t="s">
        <v>54</v>
      </c>
      <c r="I56" s="19" t="str">
        <f aca="false">INDEX(Lists!$B$2:$B$6,MATCH(H56,Lists!$A$2:$A$6,0))</f>
        <v>المنطقة الشرقية</v>
      </c>
      <c r="J56" s="30" t="s">
        <v>113</v>
      </c>
      <c r="K56" s="30" t="s">
        <v>100</v>
      </c>
      <c r="L56" s="31" t="n">
        <v>199</v>
      </c>
      <c r="M56" s="19" t="n">
        <v>6</v>
      </c>
      <c r="N56" s="32" t="n">
        <v>0.15</v>
      </c>
      <c r="O56" s="30" t="s">
        <v>48</v>
      </c>
      <c r="P56" s="30" t="s">
        <v>51</v>
      </c>
      <c r="Q56" s="30" t="s">
        <v>76</v>
      </c>
      <c r="R56" s="25" t="n">
        <f aca="false">L56*M56*(1-N56)</f>
        <v>1014.9</v>
      </c>
    </row>
    <row r="57" customFormat="false" ht="15" hidden="false" customHeight="false" outlineLevel="0" collapsed="false">
      <c r="A57" s="30" t="s">
        <v>227</v>
      </c>
      <c r="B57" s="44" t="n">
        <v>45312</v>
      </c>
      <c r="C57" s="19" t="n">
        <f aca="false">YEAR(B57)</f>
        <v>2024</v>
      </c>
      <c r="D57" s="19" t="n">
        <f aca="false">MONTH(B57)</f>
        <v>1</v>
      </c>
      <c r="E57" s="30" t="str">
        <f aca="false">INDEX(Lists!$K$2:$K$13,MATCH(D57,Lists!$J$2:$J$13,0))</f>
        <v>يناير</v>
      </c>
      <c r="F57" s="19" t="str">
        <f aca="false">"Q"&amp;ROUNDUP(D57/3,0)</f>
        <v>Q1</v>
      </c>
      <c r="G57" s="30" t="str">
        <f aca="false">INDEX(Lists!$N$2:$N$8,MATCH(WEEKDAY(B57,2),Lists!$M$2:$M$8,0))</f>
        <v>الأحد</v>
      </c>
      <c r="H57" s="30" t="s">
        <v>57</v>
      </c>
      <c r="I57" s="19" t="str">
        <f aca="false">INDEX(Lists!$B$2:$B$6,MATCH(H57,Lists!$A$2:$A$6,0))</f>
        <v>المنطقة الغربية</v>
      </c>
      <c r="J57" s="30" t="s">
        <v>109</v>
      </c>
      <c r="K57" s="30" t="s">
        <v>93</v>
      </c>
      <c r="L57" s="31" t="n">
        <v>269</v>
      </c>
      <c r="M57" s="19" t="n">
        <v>1</v>
      </c>
      <c r="N57" s="32" t="n">
        <v>0</v>
      </c>
      <c r="O57" s="30" t="s">
        <v>48</v>
      </c>
      <c r="P57" s="30" t="s">
        <v>47</v>
      </c>
      <c r="Q57" s="30" t="s">
        <v>86</v>
      </c>
      <c r="R57" s="25" t="n">
        <f aca="false">L57*M57*(1-N57)</f>
        <v>269</v>
      </c>
    </row>
    <row r="58" customFormat="false" ht="15" hidden="false" customHeight="false" outlineLevel="0" collapsed="false">
      <c r="A58" s="30" t="s">
        <v>228</v>
      </c>
      <c r="B58" s="44" t="n">
        <v>45312</v>
      </c>
      <c r="C58" s="19" t="n">
        <f aca="false">YEAR(B58)</f>
        <v>2024</v>
      </c>
      <c r="D58" s="19" t="n">
        <f aca="false">MONTH(B58)</f>
        <v>1</v>
      </c>
      <c r="E58" s="30" t="str">
        <f aca="false">INDEX(Lists!$K$2:$K$13,MATCH(D58,Lists!$J$2:$J$13,0))</f>
        <v>يناير</v>
      </c>
      <c r="F58" s="19" t="str">
        <f aca="false">"Q"&amp;ROUNDUP(D58/3,0)</f>
        <v>Q1</v>
      </c>
      <c r="G58" s="30" t="str">
        <f aca="false">INDEX(Lists!$N$2:$N$8,MATCH(WEEKDAY(B58,2),Lists!$M$2:$M$8,0))</f>
        <v>الأحد</v>
      </c>
      <c r="H58" s="30" t="s">
        <v>46</v>
      </c>
      <c r="I58" s="19" t="str">
        <f aca="false">INDEX(Lists!$B$2:$B$6,MATCH(H58,Lists!$A$2:$A$6,0))</f>
        <v>المنطقة الوسطى</v>
      </c>
      <c r="J58" s="30" t="s">
        <v>109</v>
      </c>
      <c r="K58" s="30" t="s">
        <v>175</v>
      </c>
      <c r="L58" s="31" t="n">
        <v>279</v>
      </c>
      <c r="M58" s="19" t="n">
        <v>1</v>
      </c>
      <c r="N58" s="32" t="n">
        <v>0</v>
      </c>
      <c r="O58" s="30" t="s">
        <v>48</v>
      </c>
      <c r="P58" s="30" t="s">
        <v>47</v>
      </c>
      <c r="Q58" s="30" t="s">
        <v>99</v>
      </c>
      <c r="R58" s="25" t="n">
        <f aca="false">L58*M58*(1-N58)</f>
        <v>279</v>
      </c>
    </row>
    <row r="59" customFormat="false" ht="15" hidden="false" customHeight="false" outlineLevel="0" collapsed="false">
      <c r="A59" s="30" t="s">
        <v>229</v>
      </c>
      <c r="B59" s="44" t="n">
        <v>45313</v>
      </c>
      <c r="C59" s="19" t="n">
        <f aca="false">YEAR(B59)</f>
        <v>2024</v>
      </c>
      <c r="D59" s="19" t="n">
        <f aca="false">MONTH(B59)</f>
        <v>1</v>
      </c>
      <c r="E59" s="30" t="str">
        <f aca="false">INDEX(Lists!$K$2:$K$13,MATCH(D59,Lists!$J$2:$J$13,0))</f>
        <v>يناير</v>
      </c>
      <c r="F59" s="19" t="str">
        <f aca="false">"Q"&amp;ROUNDUP(D59/3,0)</f>
        <v>Q1</v>
      </c>
      <c r="G59" s="30" t="str">
        <f aca="false">INDEX(Lists!$N$2:$N$8,MATCH(WEEKDAY(B59,2),Lists!$M$2:$M$8,0))</f>
        <v>الإثنين</v>
      </c>
      <c r="H59" s="30" t="s">
        <v>50</v>
      </c>
      <c r="I59" s="19" t="str">
        <f aca="false">INDEX(Lists!$B$2:$B$6,MATCH(H59,Lists!$A$2:$A$6,0))</f>
        <v>المنطقة الغربية</v>
      </c>
      <c r="J59" s="30" t="s">
        <v>111</v>
      </c>
      <c r="K59" s="30" t="s">
        <v>118</v>
      </c>
      <c r="L59" s="31" t="n">
        <v>499</v>
      </c>
      <c r="M59" s="19" t="n">
        <v>1</v>
      </c>
      <c r="N59" s="32" t="n">
        <v>0.1</v>
      </c>
      <c r="O59" s="30" t="s">
        <v>58</v>
      </c>
      <c r="P59" s="30" t="s">
        <v>47</v>
      </c>
      <c r="Q59" s="30" t="s">
        <v>86</v>
      </c>
      <c r="R59" s="25" t="n">
        <f aca="false">L59*M59*(1-N59)</f>
        <v>449.1</v>
      </c>
    </row>
    <row r="60" customFormat="false" ht="15" hidden="false" customHeight="false" outlineLevel="0" collapsed="false">
      <c r="A60" s="30" t="s">
        <v>230</v>
      </c>
      <c r="B60" s="44" t="n">
        <v>45313</v>
      </c>
      <c r="C60" s="19" t="n">
        <f aca="false">YEAR(B60)</f>
        <v>2024</v>
      </c>
      <c r="D60" s="19" t="n">
        <f aca="false">MONTH(B60)</f>
        <v>1</v>
      </c>
      <c r="E60" s="30" t="str">
        <f aca="false">INDEX(Lists!$K$2:$K$13,MATCH(D60,Lists!$J$2:$J$13,0))</f>
        <v>يناير</v>
      </c>
      <c r="F60" s="19" t="str">
        <f aca="false">"Q"&amp;ROUNDUP(D60/3,0)</f>
        <v>Q1</v>
      </c>
      <c r="G60" s="30" t="str">
        <f aca="false">INDEX(Lists!$N$2:$N$8,MATCH(WEEKDAY(B60,2),Lists!$M$2:$M$8,0))</f>
        <v>الإثنين</v>
      </c>
      <c r="H60" s="30" t="s">
        <v>46</v>
      </c>
      <c r="I60" s="19" t="str">
        <f aca="false">INDEX(Lists!$B$2:$B$6,MATCH(H60,Lists!$A$2:$A$6,0))</f>
        <v>المنطقة الوسطى</v>
      </c>
      <c r="J60" s="30" t="s">
        <v>113</v>
      </c>
      <c r="K60" s="30" t="s">
        <v>100</v>
      </c>
      <c r="L60" s="31" t="n">
        <v>269</v>
      </c>
      <c r="M60" s="19" t="n">
        <v>1</v>
      </c>
      <c r="N60" s="32" t="n">
        <v>0.15</v>
      </c>
      <c r="O60" s="30" t="s">
        <v>52</v>
      </c>
      <c r="P60" s="30" t="s">
        <v>47</v>
      </c>
      <c r="Q60" s="30" t="s">
        <v>89</v>
      </c>
      <c r="R60" s="25" t="n">
        <f aca="false">L60*M60*(1-N60)</f>
        <v>228.65</v>
      </c>
    </row>
    <row r="61" customFormat="false" ht="15" hidden="false" customHeight="false" outlineLevel="0" collapsed="false">
      <c r="A61" s="30" t="s">
        <v>231</v>
      </c>
      <c r="B61" s="44" t="n">
        <v>45313</v>
      </c>
      <c r="C61" s="19" t="n">
        <f aca="false">YEAR(B61)</f>
        <v>2024</v>
      </c>
      <c r="D61" s="19" t="n">
        <f aca="false">MONTH(B61)</f>
        <v>1</v>
      </c>
      <c r="E61" s="30" t="str">
        <f aca="false">INDEX(Lists!$K$2:$K$13,MATCH(D61,Lists!$J$2:$J$13,0))</f>
        <v>يناير</v>
      </c>
      <c r="F61" s="19" t="str">
        <f aca="false">"Q"&amp;ROUNDUP(D61/3,0)</f>
        <v>Q1</v>
      </c>
      <c r="G61" s="30" t="str">
        <f aca="false">INDEX(Lists!$N$2:$N$8,MATCH(WEEKDAY(B61,2),Lists!$M$2:$M$8,0))</f>
        <v>الإثنين</v>
      </c>
      <c r="H61" s="30" t="s">
        <v>46</v>
      </c>
      <c r="I61" s="19" t="str">
        <f aca="false">INDEX(Lists!$B$2:$B$6,MATCH(H61,Lists!$A$2:$A$6,0))</f>
        <v>المنطقة الوسطى</v>
      </c>
      <c r="J61" s="30" t="s">
        <v>109</v>
      </c>
      <c r="K61" s="30" t="s">
        <v>192</v>
      </c>
      <c r="L61" s="31" t="n">
        <v>209</v>
      </c>
      <c r="M61" s="19" t="n">
        <v>1</v>
      </c>
      <c r="N61" s="32" t="n">
        <v>0.2</v>
      </c>
      <c r="O61" s="30" t="s">
        <v>48</v>
      </c>
      <c r="P61" s="30" t="s">
        <v>47</v>
      </c>
      <c r="Q61" s="30" t="s">
        <v>84</v>
      </c>
      <c r="R61" s="25" t="n">
        <f aca="false">L61*M61*(1-N61)</f>
        <v>167.2</v>
      </c>
    </row>
    <row r="62" customFormat="false" ht="15" hidden="false" customHeight="false" outlineLevel="0" collapsed="false">
      <c r="A62" s="30" t="s">
        <v>232</v>
      </c>
      <c r="B62" s="44" t="n">
        <v>45313</v>
      </c>
      <c r="C62" s="19" t="n">
        <f aca="false">YEAR(B62)</f>
        <v>2024</v>
      </c>
      <c r="D62" s="19" t="n">
        <f aca="false">MONTH(B62)</f>
        <v>1</v>
      </c>
      <c r="E62" s="30" t="str">
        <f aca="false">INDEX(Lists!$K$2:$K$13,MATCH(D62,Lists!$J$2:$J$13,0))</f>
        <v>يناير</v>
      </c>
      <c r="F62" s="19" t="str">
        <f aca="false">"Q"&amp;ROUNDUP(D62/3,0)</f>
        <v>Q1</v>
      </c>
      <c r="G62" s="30" t="str">
        <f aca="false">INDEX(Lists!$N$2:$N$8,MATCH(WEEKDAY(B62,2),Lists!$M$2:$M$8,0))</f>
        <v>الإثنين</v>
      </c>
      <c r="H62" s="30" t="s">
        <v>46</v>
      </c>
      <c r="I62" s="19" t="str">
        <f aca="false">INDEX(Lists!$B$2:$B$6,MATCH(H62,Lists!$A$2:$A$6,0))</f>
        <v>المنطقة الوسطى</v>
      </c>
      <c r="J62" s="30" t="s">
        <v>109</v>
      </c>
      <c r="K62" s="30" t="s">
        <v>175</v>
      </c>
      <c r="L62" s="31" t="n">
        <v>269</v>
      </c>
      <c r="M62" s="19" t="n">
        <v>2</v>
      </c>
      <c r="N62" s="32" t="n">
        <v>0</v>
      </c>
      <c r="O62" s="30" t="s">
        <v>48</v>
      </c>
      <c r="P62" s="30" t="s">
        <v>47</v>
      </c>
      <c r="Q62" s="30" t="s">
        <v>84</v>
      </c>
      <c r="R62" s="25" t="n">
        <f aca="false">L62*M62*(1-N62)</f>
        <v>538</v>
      </c>
    </row>
    <row r="63" customFormat="false" ht="15" hidden="false" customHeight="false" outlineLevel="0" collapsed="false">
      <c r="A63" s="30" t="s">
        <v>233</v>
      </c>
      <c r="B63" s="44" t="n">
        <v>45314</v>
      </c>
      <c r="C63" s="19" t="n">
        <f aca="false">YEAR(B63)</f>
        <v>2024</v>
      </c>
      <c r="D63" s="19" t="n">
        <f aca="false">MONTH(B63)</f>
        <v>1</v>
      </c>
      <c r="E63" s="30" t="str">
        <f aca="false">INDEX(Lists!$K$2:$K$13,MATCH(D63,Lists!$J$2:$J$13,0))</f>
        <v>يناير</v>
      </c>
      <c r="F63" s="19" t="str">
        <f aca="false">"Q"&amp;ROUNDUP(D63/3,0)</f>
        <v>Q1</v>
      </c>
      <c r="G63" s="30" t="str">
        <f aca="false">INDEX(Lists!$N$2:$N$8,MATCH(WEEKDAY(B63,2),Lists!$M$2:$M$8,0))</f>
        <v>الثلاثاء</v>
      </c>
      <c r="H63" s="30" t="s">
        <v>46</v>
      </c>
      <c r="I63" s="19" t="str">
        <f aca="false">INDEX(Lists!$B$2:$B$6,MATCH(H63,Lists!$A$2:$A$6,0))</f>
        <v>المنطقة الوسطى</v>
      </c>
      <c r="J63" s="30" t="s">
        <v>105</v>
      </c>
      <c r="K63" s="30" t="s">
        <v>179</v>
      </c>
      <c r="L63" s="31" t="n">
        <v>4499</v>
      </c>
      <c r="M63" s="19" t="n">
        <v>6</v>
      </c>
      <c r="N63" s="32" t="n">
        <v>0.05</v>
      </c>
      <c r="O63" s="30" t="s">
        <v>48</v>
      </c>
      <c r="P63" s="30" t="s">
        <v>51</v>
      </c>
      <c r="Q63" s="30" t="s">
        <v>84</v>
      </c>
      <c r="R63" s="25" t="n">
        <f aca="false">L63*M63*(1-N63)</f>
        <v>25644.3</v>
      </c>
    </row>
    <row r="64" customFormat="false" ht="15" hidden="false" customHeight="false" outlineLevel="0" collapsed="false">
      <c r="A64" s="30" t="s">
        <v>234</v>
      </c>
      <c r="B64" s="44" t="n">
        <v>45314</v>
      </c>
      <c r="C64" s="19" t="n">
        <f aca="false">YEAR(B64)</f>
        <v>2024</v>
      </c>
      <c r="D64" s="19" t="n">
        <f aca="false">MONTH(B64)</f>
        <v>1</v>
      </c>
      <c r="E64" s="30" t="str">
        <f aca="false">INDEX(Lists!$K$2:$K$13,MATCH(D64,Lists!$J$2:$J$13,0))</f>
        <v>يناير</v>
      </c>
      <c r="F64" s="19" t="str">
        <f aca="false">"Q"&amp;ROUNDUP(D64/3,0)</f>
        <v>Q1</v>
      </c>
      <c r="G64" s="30" t="str">
        <f aca="false">INDEX(Lists!$N$2:$N$8,MATCH(WEEKDAY(B64,2),Lists!$M$2:$M$8,0))</f>
        <v>الثلاثاء</v>
      </c>
      <c r="H64" s="30" t="s">
        <v>46</v>
      </c>
      <c r="I64" s="19" t="str">
        <f aca="false">INDEX(Lists!$B$2:$B$6,MATCH(H64,Lists!$A$2:$A$6,0))</f>
        <v>المنطقة الوسطى</v>
      </c>
      <c r="J64" s="30" t="s">
        <v>109</v>
      </c>
      <c r="K64" s="30" t="s">
        <v>175</v>
      </c>
      <c r="L64" s="31" t="n">
        <v>99</v>
      </c>
      <c r="M64" s="19" t="n">
        <v>1</v>
      </c>
      <c r="N64" s="32" t="n">
        <v>0</v>
      </c>
      <c r="O64" s="30" t="s">
        <v>58</v>
      </c>
      <c r="P64" s="30" t="s">
        <v>47</v>
      </c>
      <c r="Q64" s="30" t="s">
        <v>76</v>
      </c>
      <c r="R64" s="25" t="n">
        <f aca="false">L64*M64*(1-N64)</f>
        <v>99</v>
      </c>
    </row>
    <row r="65" customFormat="false" ht="15" hidden="false" customHeight="false" outlineLevel="0" collapsed="false">
      <c r="A65" s="30" t="s">
        <v>235</v>
      </c>
      <c r="B65" s="44" t="n">
        <v>45315</v>
      </c>
      <c r="C65" s="19" t="n">
        <f aca="false">YEAR(B65)</f>
        <v>2024</v>
      </c>
      <c r="D65" s="19" t="n">
        <f aca="false">MONTH(B65)</f>
        <v>1</v>
      </c>
      <c r="E65" s="30" t="str">
        <f aca="false">INDEX(Lists!$K$2:$K$13,MATCH(D65,Lists!$J$2:$J$13,0))</f>
        <v>يناير</v>
      </c>
      <c r="F65" s="19" t="str">
        <f aca="false">"Q"&amp;ROUNDUP(D65/3,0)</f>
        <v>Q1</v>
      </c>
      <c r="G65" s="30" t="str">
        <f aca="false">INDEX(Lists!$N$2:$N$8,MATCH(WEEKDAY(B65,2),Lists!$M$2:$M$8,0))</f>
        <v>الأربعاء</v>
      </c>
      <c r="H65" s="30" t="s">
        <v>57</v>
      </c>
      <c r="I65" s="19" t="str">
        <f aca="false">INDEX(Lists!$B$2:$B$6,MATCH(H65,Lists!$A$2:$A$6,0))</f>
        <v>المنطقة الغربية</v>
      </c>
      <c r="J65" s="30" t="s">
        <v>107</v>
      </c>
      <c r="K65" s="30" t="s">
        <v>114</v>
      </c>
      <c r="L65" s="31" t="n">
        <v>1799</v>
      </c>
      <c r="M65" s="19" t="n">
        <v>1</v>
      </c>
      <c r="N65" s="32" t="n">
        <v>0</v>
      </c>
      <c r="O65" s="30" t="s">
        <v>55</v>
      </c>
      <c r="P65" s="30" t="s">
        <v>47</v>
      </c>
      <c r="Q65" s="30" t="s">
        <v>86</v>
      </c>
      <c r="R65" s="25" t="n">
        <f aca="false">L65*M65*(1-N65)</f>
        <v>1799</v>
      </c>
    </row>
    <row r="66" customFormat="false" ht="15" hidden="false" customHeight="false" outlineLevel="0" collapsed="false">
      <c r="A66" s="30" t="s">
        <v>236</v>
      </c>
      <c r="B66" s="44" t="n">
        <v>45316</v>
      </c>
      <c r="C66" s="19" t="n">
        <f aca="false">YEAR(B66)</f>
        <v>2024</v>
      </c>
      <c r="D66" s="19" t="n">
        <f aca="false">MONTH(B66)</f>
        <v>1</v>
      </c>
      <c r="E66" s="30" t="str">
        <f aca="false">INDEX(Lists!$K$2:$K$13,MATCH(D66,Lists!$J$2:$J$13,0))</f>
        <v>يناير</v>
      </c>
      <c r="F66" s="19" t="str">
        <f aca="false">"Q"&amp;ROUNDUP(D66/3,0)</f>
        <v>Q1</v>
      </c>
      <c r="G66" s="30" t="str">
        <f aca="false">INDEX(Lists!$N$2:$N$8,MATCH(WEEKDAY(B66,2),Lists!$M$2:$M$8,0))</f>
        <v>الخميس</v>
      </c>
      <c r="H66" s="30" t="s">
        <v>50</v>
      </c>
      <c r="I66" s="19" t="str">
        <f aca="false">INDEX(Lists!$B$2:$B$6,MATCH(H66,Lists!$A$2:$A$6,0))</f>
        <v>المنطقة الغربية</v>
      </c>
      <c r="J66" s="30" t="s">
        <v>113</v>
      </c>
      <c r="K66" s="30" t="s">
        <v>121</v>
      </c>
      <c r="L66" s="31" t="n">
        <v>599</v>
      </c>
      <c r="M66" s="19" t="n">
        <v>1</v>
      </c>
      <c r="N66" s="32" t="n">
        <v>0</v>
      </c>
      <c r="O66" s="30" t="s">
        <v>48</v>
      </c>
      <c r="P66" s="30" t="s">
        <v>47</v>
      </c>
      <c r="Q66" s="30" t="s">
        <v>92</v>
      </c>
      <c r="R66" s="25" t="n">
        <f aca="false">L66*M66*(1-N66)</f>
        <v>599</v>
      </c>
    </row>
    <row r="67" customFormat="false" ht="15" hidden="false" customHeight="false" outlineLevel="0" collapsed="false">
      <c r="A67" s="30" t="s">
        <v>237</v>
      </c>
      <c r="B67" s="44" t="n">
        <v>45316</v>
      </c>
      <c r="C67" s="19" t="n">
        <f aca="false">YEAR(B67)</f>
        <v>2024</v>
      </c>
      <c r="D67" s="19" t="n">
        <f aca="false">MONTH(B67)</f>
        <v>1</v>
      </c>
      <c r="E67" s="30" t="str">
        <f aca="false">INDEX(Lists!$K$2:$K$13,MATCH(D67,Lists!$J$2:$J$13,0))</f>
        <v>يناير</v>
      </c>
      <c r="F67" s="19" t="str">
        <f aca="false">"Q"&amp;ROUNDUP(D67/3,0)</f>
        <v>Q1</v>
      </c>
      <c r="G67" s="30" t="str">
        <f aca="false">INDEX(Lists!$N$2:$N$8,MATCH(WEEKDAY(B67,2),Lists!$M$2:$M$8,0))</f>
        <v>الخميس</v>
      </c>
      <c r="H67" s="30" t="s">
        <v>46</v>
      </c>
      <c r="I67" s="19" t="str">
        <f aca="false">INDEX(Lists!$B$2:$B$6,MATCH(H67,Lists!$A$2:$A$6,0))</f>
        <v>المنطقة الوسطى</v>
      </c>
      <c r="J67" s="30" t="s">
        <v>105</v>
      </c>
      <c r="K67" s="30" t="s">
        <v>179</v>
      </c>
      <c r="L67" s="31" t="n">
        <v>1709</v>
      </c>
      <c r="M67" s="19" t="n">
        <v>2</v>
      </c>
      <c r="N67" s="32" t="n">
        <v>0</v>
      </c>
      <c r="O67" s="30" t="s">
        <v>55</v>
      </c>
      <c r="P67" s="30" t="s">
        <v>51</v>
      </c>
      <c r="Q67" s="30" t="s">
        <v>99</v>
      </c>
      <c r="R67" s="25" t="n">
        <f aca="false">L67*M67*(1-N67)</f>
        <v>3418</v>
      </c>
    </row>
    <row r="68" customFormat="false" ht="15" hidden="false" customHeight="false" outlineLevel="0" collapsed="false">
      <c r="A68" s="30" t="s">
        <v>238</v>
      </c>
      <c r="B68" s="44" t="n">
        <v>45316</v>
      </c>
      <c r="C68" s="19" t="n">
        <f aca="false">YEAR(B68)</f>
        <v>2024</v>
      </c>
      <c r="D68" s="19" t="n">
        <f aca="false">MONTH(B68)</f>
        <v>1</v>
      </c>
      <c r="E68" s="30" t="str">
        <f aca="false">INDEX(Lists!$K$2:$K$13,MATCH(D68,Lists!$J$2:$J$13,0))</f>
        <v>يناير</v>
      </c>
      <c r="F68" s="19" t="str">
        <f aca="false">"Q"&amp;ROUNDUP(D68/3,0)</f>
        <v>Q1</v>
      </c>
      <c r="G68" s="30" t="str">
        <f aca="false">INDEX(Lists!$N$2:$N$8,MATCH(WEEKDAY(B68,2),Lists!$M$2:$M$8,0))</f>
        <v>الخميس</v>
      </c>
      <c r="H68" s="30" t="s">
        <v>50</v>
      </c>
      <c r="I68" s="19" t="str">
        <f aca="false">INDEX(Lists!$B$2:$B$6,MATCH(H68,Lists!$A$2:$A$6,0))</f>
        <v>المنطقة الغربية</v>
      </c>
      <c r="J68" s="30" t="s">
        <v>105</v>
      </c>
      <c r="K68" s="30" t="s">
        <v>90</v>
      </c>
      <c r="L68" s="31" t="n">
        <v>4369</v>
      </c>
      <c r="M68" s="19" t="n">
        <v>1</v>
      </c>
      <c r="N68" s="32" t="n">
        <v>0.05</v>
      </c>
      <c r="O68" s="30" t="s">
        <v>48</v>
      </c>
      <c r="P68" s="30" t="s">
        <v>47</v>
      </c>
      <c r="Q68" s="30" t="s">
        <v>99</v>
      </c>
      <c r="R68" s="25" t="n">
        <f aca="false">L68*M68*(1-N68)</f>
        <v>4150.55</v>
      </c>
    </row>
    <row r="69" customFormat="false" ht="15" hidden="false" customHeight="false" outlineLevel="0" collapsed="false">
      <c r="A69" s="30" t="s">
        <v>239</v>
      </c>
      <c r="B69" s="44" t="n">
        <v>45316</v>
      </c>
      <c r="C69" s="19" t="n">
        <f aca="false">YEAR(B69)</f>
        <v>2024</v>
      </c>
      <c r="D69" s="19" t="n">
        <f aca="false">MONTH(B69)</f>
        <v>1</v>
      </c>
      <c r="E69" s="30" t="str">
        <f aca="false">INDEX(Lists!$K$2:$K$13,MATCH(D69,Lists!$J$2:$J$13,0))</f>
        <v>يناير</v>
      </c>
      <c r="F69" s="19" t="str">
        <f aca="false">"Q"&amp;ROUNDUP(D69/3,0)</f>
        <v>Q1</v>
      </c>
      <c r="G69" s="30" t="str">
        <f aca="false">INDEX(Lists!$N$2:$N$8,MATCH(WEEKDAY(B69,2),Lists!$M$2:$M$8,0))</f>
        <v>الخميس</v>
      </c>
      <c r="H69" s="30" t="s">
        <v>50</v>
      </c>
      <c r="I69" s="19" t="str">
        <f aca="false">INDEX(Lists!$B$2:$B$6,MATCH(H69,Lists!$A$2:$A$6,0))</f>
        <v>المنطقة الغربية</v>
      </c>
      <c r="J69" s="30" t="s">
        <v>113</v>
      </c>
      <c r="K69" s="30" t="s">
        <v>97</v>
      </c>
      <c r="L69" s="31" t="n">
        <v>89</v>
      </c>
      <c r="M69" s="19" t="n">
        <v>1</v>
      </c>
      <c r="N69" s="32" t="n">
        <v>0.15</v>
      </c>
      <c r="O69" s="30" t="s">
        <v>48</v>
      </c>
      <c r="P69" s="30" t="s">
        <v>47</v>
      </c>
      <c r="Q69" s="30" t="s">
        <v>78</v>
      </c>
      <c r="R69" s="25" t="n">
        <f aca="false">L69*M69*(1-N69)</f>
        <v>75.65</v>
      </c>
    </row>
    <row r="70" customFormat="false" ht="15" hidden="false" customHeight="false" outlineLevel="0" collapsed="false">
      <c r="A70" s="30" t="s">
        <v>240</v>
      </c>
      <c r="B70" s="44" t="n">
        <v>45317</v>
      </c>
      <c r="C70" s="19" t="n">
        <f aca="false">YEAR(B70)</f>
        <v>2024</v>
      </c>
      <c r="D70" s="19" t="n">
        <f aca="false">MONTH(B70)</f>
        <v>1</v>
      </c>
      <c r="E70" s="30" t="str">
        <f aca="false">INDEX(Lists!$K$2:$K$13,MATCH(D70,Lists!$J$2:$J$13,0))</f>
        <v>يناير</v>
      </c>
      <c r="F70" s="19" t="str">
        <f aca="false">"Q"&amp;ROUNDUP(D70/3,0)</f>
        <v>Q1</v>
      </c>
      <c r="G70" s="30" t="str">
        <f aca="false">INDEX(Lists!$N$2:$N$8,MATCH(WEEKDAY(B70,2),Lists!$M$2:$M$8,0))</f>
        <v>الجمعة</v>
      </c>
      <c r="H70" s="30" t="s">
        <v>54</v>
      </c>
      <c r="I70" s="19" t="str">
        <f aca="false">INDEX(Lists!$B$2:$B$6,MATCH(H70,Lists!$A$2:$A$6,0))</f>
        <v>المنطقة الشرقية</v>
      </c>
      <c r="J70" s="30" t="s">
        <v>105</v>
      </c>
      <c r="K70" s="30" t="s">
        <v>85</v>
      </c>
      <c r="L70" s="31" t="n">
        <v>2339</v>
      </c>
      <c r="M70" s="19" t="n">
        <v>1</v>
      </c>
      <c r="N70" s="32" t="n">
        <v>0.05</v>
      </c>
      <c r="O70" s="30" t="s">
        <v>58</v>
      </c>
      <c r="P70" s="30" t="s">
        <v>47</v>
      </c>
      <c r="Q70" s="30" t="s">
        <v>86</v>
      </c>
      <c r="R70" s="25" t="n">
        <f aca="false">L70*M70*(1-N70)</f>
        <v>2222.05</v>
      </c>
    </row>
    <row r="71" customFormat="false" ht="15" hidden="false" customHeight="false" outlineLevel="0" collapsed="false">
      <c r="A71" s="30" t="s">
        <v>241</v>
      </c>
      <c r="B71" s="44" t="n">
        <v>45317</v>
      </c>
      <c r="C71" s="19" t="n">
        <f aca="false">YEAR(B71)</f>
        <v>2024</v>
      </c>
      <c r="D71" s="19" t="n">
        <f aca="false">MONTH(B71)</f>
        <v>1</v>
      </c>
      <c r="E71" s="30" t="str">
        <f aca="false">INDEX(Lists!$K$2:$K$13,MATCH(D71,Lists!$J$2:$J$13,0))</f>
        <v>يناير</v>
      </c>
      <c r="F71" s="19" t="str">
        <f aca="false">"Q"&amp;ROUNDUP(D71/3,0)</f>
        <v>Q1</v>
      </c>
      <c r="G71" s="30" t="str">
        <f aca="false">INDEX(Lists!$N$2:$N$8,MATCH(WEEKDAY(B71,2),Lists!$M$2:$M$8,0))</f>
        <v>الجمعة</v>
      </c>
      <c r="H71" s="30" t="s">
        <v>54</v>
      </c>
      <c r="I71" s="19" t="str">
        <f aca="false">INDEX(Lists!$B$2:$B$6,MATCH(H71,Lists!$A$2:$A$6,0))</f>
        <v>المنطقة الشرقية</v>
      </c>
      <c r="J71" s="30" t="s">
        <v>109</v>
      </c>
      <c r="K71" s="30" t="s">
        <v>93</v>
      </c>
      <c r="L71" s="31" t="n">
        <v>69</v>
      </c>
      <c r="M71" s="19" t="n">
        <v>1</v>
      </c>
      <c r="N71" s="32" t="n">
        <v>0</v>
      </c>
      <c r="O71" s="30" t="s">
        <v>48</v>
      </c>
      <c r="P71" s="30" t="s">
        <v>47</v>
      </c>
      <c r="Q71" s="30" t="s">
        <v>99</v>
      </c>
      <c r="R71" s="25" t="n">
        <f aca="false">L71*M71*(1-N71)</f>
        <v>69</v>
      </c>
    </row>
    <row r="72" customFormat="false" ht="15" hidden="false" customHeight="false" outlineLevel="0" collapsed="false">
      <c r="A72" s="30" t="s">
        <v>242</v>
      </c>
      <c r="B72" s="44" t="n">
        <v>45318</v>
      </c>
      <c r="C72" s="19" t="n">
        <f aca="false">YEAR(B72)</f>
        <v>2024</v>
      </c>
      <c r="D72" s="19" t="n">
        <f aca="false">MONTH(B72)</f>
        <v>1</v>
      </c>
      <c r="E72" s="30" t="str">
        <f aca="false">INDEX(Lists!$K$2:$K$13,MATCH(D72,Lists!$J$2:$J$13,0))</f>
        <v>يناير</v>
      </c>
      <c r="F72" s="19" t="str">
        <f aca="false">"Q"&amp;ROUNDUP(D72/3,0)</f>
        <v>Q1</v>
      </c>
      <c r="G72" s="30" t="str">
        <f aca="false">INDEX(Lists!$N$2:$N$8,MATCH(WEEKDAY(B72,2),Lists!$M$2:$M$8,0))</f>
        <v>السبت</v>
      </c>
      <c r="H72" s="30" t="s">
        <v>54</v>
      </c>
      <c r="I72" s="19" t="str">
        <f aca="false">INDEX(Lists!$B$2:$B$6,MATCH(H72,Lists!$A$2:$A$6,0))</f>
        <v>المنطقة الشرقية</v>
      </c>
      <c r="J72" s="30" t="s">
        <v>105</v>
      </c>
      <c r="K72" s="30" t="s">
        <v>85</v>
      </c>
      <c r="L72" s="31" t="n">
        <v>2309</v>
      </c>
      <c r="M72" s="19" t="n">
        <v>1</v>
      </c>
      <c r="N72" s="32" t="n">
        <v>0.1</v>
      </c>
      <c r="O72" s="30" t="s">
        <v>48</v>
      </c>
      <c r="P72" s="30" t="s">
        <v>47</v>
      </c>
      <c r="Q72" s="30" t="s">
        <v>92</v>
      </c>
      <c r="R72" s="25" t="n">
        <f aca="false">L72*M72*(1-N72)</f>
        <v>2078.1</v>
      </c>
    </row>
    <row r="73" customFormat="false" ht="15" hidden="false" customHeight="false" outlineLevel="0" collapsed="false">
      <c r="A73" s="30" t="s">
        <v>243</v>
      </c>
      <c r="B73" s="44" t="n">
        <v>45320</v>
      </c>
      <c r="C73" s="19" t="n">
        <f aca="false">YEAR(B73)</f>
        <v>2024</v>
      </c>
      <c r="D73" s="19" t="n">
        <f aca="false">MONTH(B73)</f>
        <v>1</v>
      </c>
      <c r="E73" s="30" t="str">
        <f aca="false">INDEX(Lists!$K$2:$K$13,MATCH(D73,Lists!$J$2:$J$13,0))</f>
        <v>يناير</v>
      </c>
      <c r="F73" s="19" t="str">
        <f aca="false">"Q"&amp;ROUNDUP(D73/3,0)</f>
        <v>Q1</v>
      </c>
      <c r="G73" s="30" t="str">
        <f aca="false">INDEX(Lists!$N$2:$N$8,MATCH(WEEKDAY(B73,2),Lists!$M$2:$M$8,0))</f>
        <v>الإثنين</v>
      </c>
      <c r="H73" s="30" t="s">
        <v>57</v>
      </c>
      <c r="I73" s="19" t="str">
        <f aca="false">INDEX(Lists!$B$2:$B$6,MATCH(H73,Lists!$A$2:$A$6,0))</f>
        <v>المنطقة الغربية</v>
      </c>
      <c r="J73" s="30" t="s">
        <v>109</v>
      </c>
      <c r="K73" s="30" t="s">
        <v>192</v>
      </c>
      <c r="L73" s="31" t="n">
        <v>239</v>
      </c>
      <c r="M73" s="19" t="n">
        <v>1</v>
      </c>
      <c r="N73" s="32" t="n">
        <v>0.2</v>
      </c>
      <c r="O73" s="30" t="s">
        <v>58</v>
      </c>
      <c r="P73" s="30" t="s">
        <v>47</v>
      </c>
      <c r="Q73" s="30" t="s">
        <v>99</v>
      </c>
      <c r="R73" s="25" t="n">
        <f aca="false">L73*M73*(1-N73)</f>
        <v>191.2</v>
      </c>
    </row>
    <row r="74" customFormat="false" ht="15" hidden="false" customHeight="false" outlineLevel="0" collapsed="false">
      <c r="A74" s="30" t="s">
        <v>244</v>
      </c>
      <c r="B74" s="44" t="n">
        <v>45320</v>
      </c>
      <c r="C74" s="19" t="n">
        <f aca="false">YEAR(B74)</f>
        <v>2024</v>
      </c>
      <c r="D74" s="19" t="n">
        <f aca="false">MONTH(B74)</f>
        <v>1</v>
      </c>
      <c r="E74" s="30" t="str">
        <f aca="false">INDEX(Lists!$K$2:$K$13,MATCH(D74,Lists!$J$2:$J$13,0))</f>
        <v>يناير</v>
      </c>
      <c r="F74" s="19" t="str">
        <f aca="false">"Q"&amp;ROUNDUP(D74/3,0)</f>
        <v>Q1</v>
      </c>
      <c r="G74" s="30" t="str">
        <f aca="false">INDEX(Lists!$N$2:$N$8,MATCH(WEEKDAY(B74,2),Lists!$M$2:$M$8,0))</f>
        <v>الإثنين</v>
      </c>
      <c r="H74" s="30" t="s">
        <v>57</v>
      </c>
      <c r="I74" s="19" t="str">
        <f aca="false">INDEX(Lists!$B$2:$B$6,MATCH(H74,Lists!$A$2:$A$6,0))</f>
        <v>المنطقة الغربية</v>
      </c>
      <c r="J74" s="30" t="s">
        <v>109</v>
      </c>
      <c r="K74" s="30" t="s">
        <v>171</v>
      </c>
      <c r="L74" s="31" t="n">
        <v>279</v>
      </c>
      <c r="M74" s="19" t="n">
        <v>2</v>
      </c>
      <c r="N74" s="32" t="n">
        <v>0.05</v>
      </c>
      <c r="O74" s="30" t="s">
        <v>48</v>
      </c>
      <c r="P74" s="30" t="s">
        <v>47</v>
      </c>
      <c r="Q74" s="30" t="s">
        <v>89</v>
      </c>
      <c r="R74" s="25" t="n">
        <f aca="false">L74*M74*(1-N74)</f>
        <v>530.1</v>
      </c>
    </row>
    <row r="75" customFormat="false" ht="15" hidden="false" customHeight="false" outlineLevel="0" collapsed="false">
      <c r="A75" s="30" t="s">
        <v>245</v>
      </c>
      <c r="B75" s="44" t="n">
        <v>45320</v>
      </c>
      <c r="C75" s="19" t="n">
        <f aca="false">YEAR(B75)</f>
        <v>2024</v>
      </c>
      <c r="D75" s="19" t="n">
        <f aca="false">MONTH(B75)</f>
        <v>1</v>
      </c>
      <c r="E75" s="30" t="str">
        <f aca="false">INDEX(Lists!$K$2:$K$13,MATCH(D75,Lists!$J$2:$J$13,0))</f>
        <v>يناير</v>
      </c>
      <c r="F75" s="19" t="str">
        <f aca="false">"Q"&amp;ROUNDUP(D75/3,0)</f>
        <v>Q1</v>
      </c>
      <c r="G75" s="30" t="str">
        <f aca="false">INDEX(Lists!$N$2:$N$8,MATCH(WEEKDAY(B75,2),Lists!$M$2:$M$8,0))</f>
        <v>الإثنين</v>
      </c>
      <c r="H75" s="30" t="s">
        <v>46</v>
      </c>
      <c r="I75" s="19" t="str">
        <f aca="false">INDEX(Lists!$B$2:$B$6,MATCH(H75,Lists!$A$2:$A$6,0))</f>
        <v>المنطقة الوسطى</v>
      </c>
      <c r="J75" s="30" t="s">
        <v>107</v>
      </c>
      <c r="K75" s="30" t="s">
        <v>115</v>
      </c>
      <c r="L75" s="31" t="n">
        <v>7139</v>
      </c>
      <c r="M75" s="19" t="n">
        <v>1</v>
      </c>
      <c r="N75" s="32" t="n">
        <v>0</v>
      </c>
      <c r="O75" s="30" t="s">
        <v>48</v>
      </c>
      <c r="P75" s="30" t="s">
        <v>47</v>
      </c>
      <c r="Q75" s="30" t="s">
        <v>86</v>
      </c>
      <c r="R75" s="25" t="n">
        <f aca="false">L75*M75*(1-N75)</f>
        <v>7139</v>
      </c>
    </row>
    <row r="76" customFormat="false" ht="15" hidden="false" customHeight="false" outlineLevel="0" collapsed="false">
      <c r="A76" s="30" t="s">
        <v>246</v>
      </c>
      <c r="B76" s="44" t="n">
        <v>45321</v>
      </c>
      <c r="C76" s="19" t="n">
        <f aca="false">YEAR(B76)</f>
        <v>2024</v>
      </c>
      <c r="D76" s="19" t="n">
        <f aca="false">MONTH(B76)</f>
        <v>1</v>
      </c>
      <c r="E76" s="30" t="str">
        <f aca="false">INDEX(Lists!$K$2:$K$13,MATCH(D76,Lists!$J$2:$J$13,0))</f>
        <v>يناير</v>
      </c>
      <c r="F76" s="19" t="str">
        <f aca="false">"Q"&amp;ROUNDUP(D76/3,0)</f>
        <v>Q1</v>
      </c>
      <c r="G76" s="30" t="str">
        <f aca="false">INDEX(Lists!$N$2:$N$8,MATCH(WEEKDAY(B76,2),Lists!$M$2:$M$8,0))</f>
        <v>الثلاثاء</v>
      </c>
      <c r="H76" s="30" t="s">
        <v>46</v>
      </c>
      <c r="I76" s="19" t="str">
        <f aca="false">INDEX(Lists!$B$2:$B$6,MATCH(H76,Lists!$A$2:$A$6,0))</f>
        <v>المنطقة الوسطى</v>
      </c>
      <c r="J76" s="30" t="s">
        <v>105</v>
      </c>
      <c r="K76" s="30" t="s">
        <v>179</v>
      </c>
      <c r="L76" s="31" t="n">
        <v>1149</v>
      </c>
      <c r="M76" s="19" t="n">
        <v>1</v>
      </c>
      <c r="N76" s="32" t="n">
        <v>0</v>
      </c>
      <c r="O76" s="30" t="s">
        <v>55</v>
      </c>
      <c r="P76" s="30" t="s">
        <v>47</v>
      </c>
      <c r="Q76" s="30" t="s">
        <v>86</v>
      </c>
      <c r="R76" s="25" t="n">
        <f aca="false">L76*M76*(1-N76)</f>
        <v>1149</v>
      </c>
    </row>
    <row r="77" customFormat="false" ht="15" hidden="false" customHeight="false" outlineLevel="0" collapsed="false">
      <c r="A77" s="30" t="s">
        <v>247</v>
      </c>
      <c r="B77" s="44" t="n">
        <v>45321</v>
      </c>
      <c r="C77" s="19" t="n">
        <f aca="false">YEAR(B77)</f>
        <v>2024</v>
      </c>
      <c r="D77" s="19" t="n">
        <f aca="false">MONTH(B77)</f>
        <v>1</v>
      </c>
      <c r="E77" s="30" t="str">
        <f aca="false">INDEX(Lists!$K$2:$K$13,MATCH(D77,Lists!$J$2:$J$13,0))</f>
        <v>يناير</v>
      </c>
      <c r="F77" s="19" t="str">
        <f aca="false">"Q"&amp;ROUNDUP(D77/3,0)</f>
        <v>Q1</v>
      </c>
      <c r="G77" s="30" t="str">
        <f aca="false">INDEX(Lists!$N$2:$N$8,MATCH(WEEKDAY(B77,2),Lists!$M$2:$M$8,0))</f>
        <v>الثلاثاء</v>
      </c>
      <c r="H77" s="30" t="s">
        <v>50</v>
      </c>
      <c r="I77" s="19" t="str">
        <f aca="false">INDEX(Lists!$B$2:$B$6,MATCH(H77,Lists!$A$2:$A$6,0))</f>
        <v>المنطقة الغربية</v>
      </c>
      <c r="J77" s="30" t="s">
        <v>107</v>
      </c>
      <c r="K77" s="30" t="s">
        <v>184</v>
      </c>
      <c r="L77" s="31" t="n">
        <v>6799</v>
      </c>
      <c r="M77" s="19" t="n">
        <v>2</v>
      </c>
      <c r="N77" s="32" t="n">
        <v>0.05</v>
      </c>
      <c r="O77" s="30" t="s">
        <v>48</v>
      </c>
      <c r="P77" s="30" t="s">
        <v>47</v>
      </c>
      <c r="Q77" s="30" t="s">
        <v>81</v>
      </c>
      <c r="R77" s="25" t="n">
        <f aca="false">L77*M77*(1-N77)</f>
        <v>12918.1</v>
      </c>
    </row>
    <row r="78" customFormat="false" ht="15" hidden="false" customHeight="false" outlineLevel="0" collapsed="false">
      <c r="A78" s="30" t="s">
        <v>248</v>
      </c>
      <c r="B78" s="44" t="n">
        <v>45322</v>
      </c>
      <c r="C78" s="19" t="n">
        <f aca="false">YEAR(B78)</f>
        <v>2024</v>
      </c>
      <c r="D78" s="19" t="n">
        <f aca="false">MONTH(B78)</f>
        <v>1</v>
      </c>
      <c r="E78" s="30" t="str">
        <f aca="false">INDEX(Lists!$K$2:$K$13,MATCH(D78,Lists!$J$2:$J$13,0))</f>
        <v>يناير</v>
      </c>
      <c r="F78" s="19" t="str">
        <f aca="false">"Q"&amp;ROUNDUP(D78/3,0)</f>
        <v>Q1</v>
      </c>
      <c r="G78" s="30" t="str">
        <f aca="false">INDEX(Lists!$N$2:$N$8,MATCH(WEEKDAY(B78,2),Lists!$M$2:$M$8,0))</f>
        <v>الأربعاء</v>
      </c>
      <c r="H78" s="30" t="s">
        <v>46</v>
      </c>
      <c r="I78" s="19" t="str">
        <f aca="false">INDEX(Lists!$B$2:$B$6,MATCH(H78,Lists!$A$2:$A$6,0))</f>
        <v>المنطقة الوسطى</v>
      </c>
      <c r="J78" s="30" t="s">
        <v>113</v>
      </c>
      <c r="K78" s="30" t="s">
        <v>95</v>
      </c>
      <c r="L78" s="31" t="n">
        <v>819</v>
      </c>
      <c r="M78" s="19" t="n">
        <v>1</v>
      </c>
      <c r="N78" s="32" t="n">
        <v>0</v>
      </c>
      <c r="O78" s="30" t="s">
        <v>52</v>
      </c>
      <c r="P78" s="30" t="s">
        <v>51</v>
      </c>
      <c r="Q78" s="30" t="s">
        <v>94</v>
      </c>
      <c r="R78" s="25" t="n">
        <f aca="false">L78*M78*(1-N78)</f>
        <v>819</v>
      </c>
    </row>
    <row r="79" customFormat="false" ht="15" hidden="false" customHeight="false" outlineLevel="0" collapsed="false">
      <c r="A79" s="30" t="s">
        <v>249</v>
      </c>
      <c r="B79" s="44" t="n">
        <v>45322</v>
      </c>
      <c r="C79" s="19" t="n">
        <f aca="false">YEAR(B79)</f>
        <v>2024</v>
      </c>
      <c r="D79" s="19" t="n">
        <f aca="false">MONTH(B79)</f>
        <v>1</v>
      </c>
      <c r="E79" s="30" t="str">
        <f aca="false">INDEX(Lists!$K$2:$K$13,MATCH(D79,Lists!$J$2:$J$13,0))</f>
        <v>يناير</v>
      </c>
      <c r="F79" s="19" t="str">
        <f aca="false">"Q"&amp;ROUNDUP(D79/3,0)</f>
        <v>Q1</v>
      </c>
      <c r="G79" s="30" t="str">
        <f aca="false">INDEX(Lists!$N$2:$N$8,MATCH(WEEKDAY(B79,2),Lists!$M$2:$M$8,0))</f>
        <v>الأربعاء</v>
      </c>
      <c r="H79" s="30" t="s">
        <v>46</v>
      </c>
      <c r="I79" s="19" t="str">
        <f aca="false">INDEX(Lists!$B$2:$B$6,MATCH(H79,Lists!$A$2:$A$6,0))</f>
        <v>المنطقة الوسطى</v>
      </c>
      <c r="J79" s="30" t="s">
        <v>105</v>
      </c>
      <c r="K79" s="30" t="s">
        <v>82</v>
      </c>
      <c r="L79" s="31" t="n">
        <v>3799</v>
      </c>
      <c r="M79" s="19" t="n">
        <v>2</v>
      </c>
      <c r="N79" s="32" t="n">
        <v>0</v>
      </c>
      <c r="O79" s="30" t="s">
        <v>52</v>
      </c>
      <c r="P79" s="30" t="s">
        <v>47</v>
      </c>
      <c r="Q79" s="30" t="s">
        <v>78</v>
      </c>
      <c r="R79" s="25" t="n">
        <f aca="false">L79*M79*(1-N79)</f>
        <v>7598</v>
      </c>
    </row>
    <row r="80" customFormat="false" ht="15" hidden="false" customHeight="false" outlineLevel="0" collapsed="false">
      <c r="A80" s="30" t="s">
        <v>250</v>
      </c>
      <c r="B80" s="44" t="n">
        <v>45322</v>
      </c>
      <c r="C80" s="19" t="n">
        <f aca="false">YEAR(B80)</f>
        <v>2024</v>
      </c>
      <c r="D80" s="19" t="n">
        <f aca="false">MONTH(B80)</f>
        <v>1</v>
      </c>
      <c r="E80" s="30" t="str">
        <f aca="false">INDEX(Lists!$K$2:$K$13,MATCH(D80,Lists!$J$2:$J$13,0))</f>
        <v>يناير</v>
      </c>
      <c r="F80" s="19" t="str">
        <f aca="false">"Q"&amp;ROUNDUP(D80/3,0)</f>
        <v>Q1</v>
      </c>
      <c r="G80" s="30" t="str">
        <f aca="false">INDEX(Lists!$N$2:$N$8,MATCH(WEEKDAY(B80,2),Lists!$M$2:$M$8,0))</f>
        <v>الأربعاء</v>
      </c>
      <c r="H80" s="30" t="s">
        <v>50</v>
      </c>
      <c r="I80" s="19" t="str">
        <f aca="false">INDEX(Lists!$B$2:$B$6,MATCH(H80,Lists!$A$2:$A$6,0))</f>
        <v>المنطقة الغربية</v>
      </c>
      <c r="J80" s="30" t="s">
        <v>111</v>
      </c>
      <c r="K80" s="30" t="s">
        <v>122</v>
      </c>
      <c r="L80" s="31" t="n">
        <v>289</v>
      </c>
      <c r="M80" s="19" t="n">
        <v>1</v>
      </c>
      <c r="N80" s="32" t="n">
        <v>0.15</v>
      </c>
      <c r="O80" s="30" t="s">
        <v>48</v>
      </c>
      <c r="P80" s="30" t="s">
        <v>47</v>
      </c>
      <c r="Q80" s="30" t="s">
        <v>99</v>
      </c>
      <c r="R80" s="25" t="n">
        <f aca="false">L80*M80*(1-N80)</f>
        <v>245.65</v>
      </c>
    </row>
    <row r="81" customFormat="false" ht="15" hidden="false" customHeight="false" outlineLevel="0" collapsed="false">
      <c r="A81" s="30" t="s">
        <v>251</v>
      </c>
      <c r="B81" s="44" t="n">
        <v>45322</v>
      </c>
      <c r="C81" s="19" t="n">
        <f aca="false">YEAR(B81)</f>
        <v>2024</v>
      </c>
      <c r="D81" s="19" t="n">
        <f aca="false">MONTH(B81)</f>
        <v>1</v>
      </c>
      <c r="E81" s="30" t="str">
        <f aca="false">INDEX(Lists!$K$2:$K$13,MATCH(D81,Lists!$J$2:$J$13,0))</f>
        <v>يناير</v>
      </c>
      <c r="F81" s="19" t="str">
        <f aca="false">"Q"&amp;ROUNDUP(D81/3,0)</f>
        <v>Q1</v>
      </c>
      <c r="G81" s="30" t="str">
        <f aca="false">INDEX(Lists!$N$2:$N$8,MATCH(WEEKDAY(B81,2),Lists!$M$2:$M$8,0))</f>
        <v>الأربعاء</v>
      </c>
      <c r="H81" s="30" t="s">
        <v>46</v>
      </c>
      <c r="I81" s="19" t="str">
        <f aca="false">INDEX(Lists!$B$2:$B$6,MATCH(H81,Lists!$A$2:$A$6,0))</f>
        <v>المنطقة الوسطى</v>
      </c>
      <c r="J81" s="30" t="s">
        <v>105</v>
      </c>
      <c r="K81" s="30" t="s">
        <v>90</v>
      </c>
      <c r="L81" s="31" t="n">
        <v>2949</v>
      </c>
      <c r="M81" s="19" t="n">
        <v>3</v>
      </c>
      <c r="N81" s="32" t="n">
        <v>0.1</v>
      </c>
      <c r="O81" s="30" t="s">
        <v>52</v>
      </c>
      <c r="P81" s="30" t="s">
        <v>51</v>
      </c>
      <c r="Q81" s="30" t="s">
        <v>89</v>
      </c>
      <c r="R81" s="25" t="n">
        <f aca="false">L81*M81*(1-N81)</f>
        <v>7962.3</v>
      </c>
    </row>
    <row r="82" customFormat="false" ht="15" hidden="false" customHeight="false" outlineLevel="0" collapsed="false">
      <c r="A82" s="30" t="s">
        <v>252</v>
      </c>
      <c r="B82" s="44" t="n">
        <v>45322</v>
      </c>
      <c r="C82" s="19" t="n">
        <f aca="false">YEAR(B82)</f>
        <v>2024</v>
      </c>
      <c r="D82" s="19" t="n">
        <f aca="false">MONTH(B82)</f>
        <v>1</v>
      </c>
      <c r="E82" s="30" t="str">
        <f aca="false">INDEX(Lists!$K$2:$K$13,MATCH(D82,Lists!$J$2:$J$13,0))</f>
        <v>يناير</v>
      </c>
      <c r="F82" s="19" t="str">
        <f aca="false">"Q"&amp;ROUNDUP(D82/3,0)</f>
        <v>Q1</v>
      </c>
      <c r="G82" s="30" t="str">
        <f aca="false">INDEX(Lists!$N$2:$N$8,MATCH(WEEKDAY(B82,2),Lists!$M$2:$M$8,0))</f>
        <v>الأربعاء</v>
      </c>
      <c r="H82" s="30" t="s">
        <v>54</v>
      </c>
      <c r="I82" s="19" t="str">
        <f aca="false">INDEX(Lists!$B$2:$B$6,MATCH(H82,Lists!$A$2:$A$6,0))</f>
        <v>المنطقة الشرقية</v>
      </c>
      <c r="J82" s="30" t="s">
        <v>109</v>
      </c>
      <c r="K82" s="30" t="s">
        <v>93</v>
      </c>
      <c r="L82" s="31" t="n">
        <v>269</v>
      </c>
      <c r="M82" s="19" t="n">
        <v>1</v>
      </c>
      <c r="N82" s="32" t="n">
        <v>0.05</v>
      </c>
      <c r="O82" s="30" t="s">
        <v>48</v>
      </c>
      <c r="P82" s="30" t="s">
        <v>47</v>
      </c>
      <c r="Q82" s="30" t="s">
        <v>76</v>
      </c>
      <c r="R82" s="25" t="n">
        <f aca="false">L82*M82*(1-N82)</f>
        <v>255.55</v>
      </c>
    </row>
    <row r="83" customFormat="false" ht="15" hidden="false" customHeight="false" outlineLevel="0" collapsed="false">
      <c r="A83" s="30" t="s">
        <v>253</v>
      </c>
      <c r="B83" s="44" t="n">
        <v>45323</v>
      </c>
      <c r="C83" s="19" t="n">
        <f aca="false">YEAR(B83)</f>
        <v>2024</v>
      </c>
      <c r="D83" s="19" t="n">
        <f aca="false">MONTH(B83)</f>
        <v>2</v>
      </c>
      <c r="E83" s="30" t="str">
        <f aca="false">INDEX(Lists!$K$2:$K$13,MATCH(D83,Lists!$J$2:$J$13,0))</f>
        <v>فبراير</v>
      </c>
      <c r="F83" s="19" t="str">
        <f aca="false">"Q"&amp;ROUNDUP(D83/3,0)</f>
        <v>Q1</v>
      </c>
      <c r="G83" s="30" t="str">
        <f aca="false">INDEX(Lists!$N$2:$N$8,MATCH(WEEKDAY(B83,2),Lists!$M$2:$M$8,0))</f>
        <v>الخميس</v>
      </c>
      <c r="H83" s="30" t="s">
        <v>46</v>
      </c>
      <c r="I83" s="19" t="str">
        <f aca="false">INDEX(Lists!$B$2:$B$6,MATCH(H83,Lists!$A$2:$A$6,0))</f>
        <v>المنطقة الوسطى</v>
      </c>
      <c r="J83" s="30" t="s">
        <v>113</v>
      </c>
      <c r="K83" s="30" t="s">
        <v>97</v>
      </c>
      <c r="L83" s="31" t="n">
        <v>559</v>
      </c>
      <c r="M83" s="19" t="n">
        <v>1</v>
      </c>
      <c r="N83" s="32" t="n">
        <v>0.05</v>
      </c>
      <c r="O83" s="30" t="s">
        <v>48</v>
      </c>
      <c r="P83" s="30" t="s">
        <v>47</v>
      </c>
      <c r="Q83" s="30" t="s">
        <v>78</v>
      </c>
      <c r="R83" s="25" t="n">
        <f aca="false">L83*M83*(1-N83)</f>
        <v>531.05</v>
      </c>
    </row>
    <row r="84" customFormat="false" ht="15" hidden="false" customHeight="false" outlineLevel="0" collapsed="false">
      <c r="A84" s="30" t="s">
        <v>254</v>
      </c>
      <c r="B84" s="44" t="n">
        <v>45324</v>
      </c>
      <c r="C84" s="19" t="n">
        <f aca="false">YEAR(B84)</f>
        <v>2024</v>
      </c>
      <c r="D84" s="19" t="n">
        <f aca="false">MONTH(B84)</f>
        <v>2</v>
      </c>
      <c r="E84" s="30" t="str">
        <f aca="false">INDEX(Lists!$K$2:$K$13,MATCH(D84,Lists!$J$2:$J$13,0))</f>
        <v>فبراير</v>
      </c>
      <c r="F84" s="19" t="str">
        <f aca="false">"Q"&amp;ROUNDUP(D84/3,0)</f>
        <v>Q1</v>
      </c>
      <c r="G84" s="30" t="str">
        <f aca="false">INDEX(Lists!$N$2:$N$8,MATCH(WEEKDAY(B84,2),Lists!$M$2:$M$8,0))</f>
        <v>الجمعة</v>
      </c>
      <c r="H84" s="30" t="s">
        <v>50</v>
      </c>
      <c r="I84" s="19" t="str">
        <f aca="false">INDEX(Lists!$B$2:$B$6,MATCH(H84,Lists!$A$2:$A$6,0))</f>
        <v>المنطقة الغربية</v>
      </c>
      <c r="J84" s="30" t="s">
        <v>111</v>
      </c>
      <c r="K84" s="30" t="s">
        <v>120</v>
      </c>
      <c r="L84" s="31" t="n">
        <v>549</v>
      </c>
      <c r="M84" s="19" t="n">
        <v>1</v>
      </c>
      <c r="N84" s="32" t="n">
        <v>0</v>
      </c>
      <c r="O84" s="30" t="s">
        <v>48</v>
      </c>
      <c r="P84" s="30" t="s">
        <v>47</v>
      </c>
      <c r="Q84" s="30" t="s">
        <v>78</v>
      </c>
      <c r="R84" s="25" t="n">
        <f aca="false">L84*M84*(1-N84)</f>
        <v>549</v>
      </c>
    </row>
    <row r="85" customFormat="false" ht="15" hidden="false" customHeight="false" outlineLevel="0" collapsed="false">
      <c r="A85" s="30" t="s">
        <v>255</v>
      </c>
      <c r="B85" s="44" t="n">
        <v>45324</v>
      </c>
      <c r="C85" s="19" t="n">
        <f aca="false">YEAR(B85)</f>
        <v>2024</v>
      </c>
      <c r="D85" s="19" t="n">
        <f aca="false">MONTH(B85)</f>
        <v>2</v>
      </c>
      <c r="E85" s="30" t="str">
        <f aca="false">INDEX(Lists!$K$2:$K$13,MATCH(D85,Lists!$J$2:$J$13,0))</f>
        <v>فبراير</v>
      </c>
      <c r="F85" s="19" t="str">
        <f aca="false">"Q"&amp;ROUNDUP(D85/3,0)</f>
        <v>Q1</v>
      </c>
      <c r="G85" s="30" t="str">
        <f aca="false">INDEX(Lists!$N$2:$N$8,MATCH(WEEKDAY(B85,2),Lists!$M$2:$M$8,0))</f>
        <v>الجمعة</v>
      </c>
      <c r="H85" s="30" t="s">
        <v>46</v>
      </c>
      <c r="I85" s="19" t="str">
        <f aca="false">INDEX(Lists!$B$2:$B$6,MATCH(H85,Lists!$A$2:$A$6,0))</f>
        <v>المنطقة الوسطى</v>
      </c>
      <c r="J85" s="30" t="s">
        <v>109</v>
      </c>
      <c r="K85" s="30" t="s">
        <v>175</v>
      </c>
      <c r="L85" s="31" t="n">
        <v>309</v>
      </c>
      <c r="M85" s="19" t="n">
        <v>1</v>
      </c>
      <c r="N85" s="32" t="n">
        <v>0</v>
      </c>
      <c r="O85" s="30" t="s">
        <v>55</v>
      </c>
      <c r="P85" s="30" t="s">
        <v>47</v>
      </c>
      <c r="Q85" s="30" t="s">
        <v>81</v>
      </c>
      <c r="R85" s="25" t="n">
        <f aca="false">L85*M85*(1-N85)</f>
        <v>309</v>
      </c>
    </row>
    <row r="86" customFormat="false" ht="15" hidden="false" customHeight="false" outlineLevel="0" collapsed="false">
      <c r="A86" s="30" t="s">
        <v>256</v>
      </c>
      <c r="B86" s="44" t="n">
        <v>45325</v>
      </c>
      <c r="C86" s="19" t="n">
        <f aca="false">YEAR(B86)</f>
        <v>2024</v>
      </c>
      <c r="D86" s="19" t="n">
        <f aca="false">MONTH(B86)</f>
        <v>2</v>
      </c>
      <c r="E86" s="30" t="str">
        <f aca="false">INDEX(Lists!$K$2:$K$13,MATCH(D86,Lists!$J$2:$J$13,0))</f>
        <v>فبراير</v>
      </c>
      <c r="F86" s="19" t="str">
        <f aca="false">"Q"&amp;ROUNDUP(D86/3,0)</f>
        <v>Q1</v>
      </c>
      <c r="G86" s="30" t="str">
        <f aca="false">INDEX(Lists!$N$2:$N$8,MATCH(WEEKDAY(B86,2),Lists!$M$2:$M$8,0))</f>
        <v>السبت</v>
      </c>
      <c r="H86" s="30" t="s">
        <v>60</v>
      </c>
      <c r="I86" s="19" t="str">
        <f aca="false">INDEX(Lists!$B$2:$B$6,MATCH(H86,Lists!$A$2:$A$6,0))</f>
        <v>المنطقة الغربية</v>
      </c>
      <c r="J86" s="30" t="s">
        <v>105</v>
      </c>
      <c r="K86" s="30" t="s">
        <v>179</v>
      </c>
      <c r="L86" s="31" t="n">
        <v>3979</v>
      </c>
      <c r="M86" s="19" t="n">
        <v>2</v>
      </c>
      <c r="N86" s="32" t="n">
        <v>0</v>
      </c>
      <c r="O86" s="30" t="s">
        <v>52</v>
      </c>
      <c r="P86" s="30" t="s">
        <v>47</v>
      </c>
      <c r="Q86" s="30" t="s">
        <v>92</v>
      </c>
      <c r="R86" s="25" t="n">
        <f aca="false">L86*M86*(1-N86)</f>
        <v>7958</v>
      </c>
    </row>
    <row r="87" customFormat="false" ht="15" hidden="false" customHeight="false" outlineLevel="0" collapsed="false">
      <c r="A87" s="30" t="s">
        <v>257</v>
      </c>
      <c r="B87" s="44" t="n">
        <v>45325</v>
      </c>
      <c r="C87" s="19" t="n">
        <f aca="false">YEAR(B87)</f>
        <v>2024</v>
      </c>
      <c r="D87" s="19" t="n">
        <f aca="false">MONTH(B87)</f>
        <v>2</v>
      </c>
      <c r="E87" s="30" t="str">
        <f aca="false">INDEX(Lists!$K$2:$K$13,MATCH(D87,Lists!$J$2:$J$13,0))</f>
        <v>فبراير</v>
      </c>
      <c r="F87" s="19" t="str">
        <f aca="false">"Q"&amp;ROUNDUP(D87/3,0)</f>
        <v>Q1</v>
      </c>
      <c r="G87" s="30" t="str">
        <f aca="false">INDEX(Lists!$N$2:$N$8,MATCH(WEEKDAY(B87,2),Lists!$M$2:$M$8,0))</f>
        <v>السبت</v>
      </c>
      <c r="H87" s="30" t="s">
        <v>46</v>
      </c>
      <c r="I87" s="19" t="str">
        <f aca="false">INDEX(Lists!$B$2:$B$6,MATCH(H87,Lists!$A$2:$A$6,0))</f>
        <v>المنطقة الوسطى</v>
      </c>
      <c r="J87" s="30" t="s">
        <v>109</v>
      </c>
      <c r="K87" s="30" t="s">
        <v>93</v>
      </c>
      <c r="L87" s="31" t="n">
        <v>229</v>
      </c>
      <c r="M87" s="19" t="n">
        <v>1</v>
      </c>
      <c r="N87" s="32" t="n">
        <v>0</v>
      </c>
      <c r="O87" s="30" t="s">
        <v>48</v>
      </c>
      <c r="P87" s="30" t="s">
        <v>47</v>
      </c>
      <c r="Q87" s="30" t="s">
        <v>94</v>
      </c>
      <c r="R87" s="25" t="n">
        <f aca="false">L87*M87*(1-N87)</f>
        <v>229</v>
      </c>
    </row>
    <row r="88" customFormat="false" ht="15" hidden="false" customHeight="false" outlineLevel="0" collapsed="false">
      <c r="A88" s="30" t="s">
        <v>258</v>
      </c>
      <c r="B88" s="44" t="n">
        <v>45326</v>
      </c>
      <c r="C88" s="19" t="n">
        <f aca="false">YEAR(B88)</f>
        <v>2024</v>
      </c>
      <c r="D88" s="19" t="n">
        <f aca="false">MONTH(B88)</f>
        <v>2</v>
      </c>
      <c r="E88" s="30" t="str">
        <f aca="false">INDEX(Lists!$K$2:$K$13,MATCH(D88,Lists!$J$2:$J$13,0))</f>
        <v>فبراير</v>
      </c>
      <c r="F88" s="19" t="str">
        <f aca="false">"Q"&amp;ROUNDUP(D88/3,0)</f>
        <v>Q1</v>
      </c>
      <c r="G88" s="30" t="str">
        <f aca="false">INDEX(Lists!$N$2:$N$8,MATCH(WEEKDAY(B88,2),Lists!$M$2:$M$8,0))</f>
        <v>الأحد</v>
      </c>
      <c r="H88" s="30" t="s">
        <v>50</v>
      </c>
      <c r="I88" s="19" t="str">
        <f aca="false">INDEX(Lists!$B$2:$B$6,MATCH(H88,Lists!$A$2:$A$6,0))</f>
        <v>المنطقة الغربية</v>
      </c>
      <c r="J88" s="30" t="s">
        <v>109</v>
      </c>
      <c r="K88" s="30" t="s">
        <v>192</v>
      </c>
      <c r="L88" s="31" t="n">
        <v>129</v>
      </c>
      <c r="M88" s="19" t="n">
        <v>1</v>
      </c>
      <c r="N88" s="32" t="n">
        <v>0</v>
      </c>
      <c r="O88" s="30" t="s">
        <v>55</v>
      </c>
      <c r="P88" s="30" t="s">
        <v>47</v>
      </c>
      <c r="Q88" s="30" t="s">
        <v>96</v>
      </c>
      <c r="R88" s="25" t="n">
        <f aca="false">L88*M88*(1-N88)</f>
        <v>129</v>
      </c>
    </row>
    <row r="89" customFormat="false" ht="15" hidden="false" customHeight="false" outlineLevel="0" collapsed="false">
      <c r="A89" s="30" t="s">
        <v>259</v>
      </c>
      <c r="B89" s="44" t="n">
        <v>45326</v>
      </c>
      <c r="C89" s="19" t="n">
        <f aca="false">YEAR(B89)</f>
        <v>2024</v>
      </c>
      <c r="D89" s="19" t="n">
        <f aca="false">MONTH(B89)</f>
        <v>2</v>
      </c>
      <c r="E89" s="30" t="str">
        <f aca="false">INDEX(Lists!$K$2:$K$13,MATCH(D89,Lists!$J$2:$J$13,0))</f>
        <v>فبراير</v>
      </c>
      <c r="F89" s="19" t="str">
        <f aca="false">"Q"&amp;ROUNDUP(D89/3,0)</f>
        <v>Q1</v>
      </c>
      <c r="G89" s="30" t="str">
        <f aca="false">INDEX(Lists!$N$2:$N$8,MATCH(WEEKDAY(B89,2),Lists!$M$2:$M$8,0))</f>
        <v>الأحد</v>
      </c>
      <c r="H89" s="30" t="s">
        <v>50</v>
      </c>
      <c r="I89" s="19" t="str">
        <f aca="false">INDEX(Lists!$B$2:$B$6,MATCH(H89,Lists!$A$2:$A$6,0))</f>
        <v>المنطقة الغربية</v>
      </c>
      <c r="J89" s="30" t="s">
        <v>105</v>
      </c>
      <c r="K89" s="30" t="s">
        <v>90</v>
      </c>
      <c r="L89" s="31" t="n">
        <v>2069</v>
      </c>
      <c r="M89" s="19" t="n">
        <v>8</v>
      </c>
      <c r="N89" s="32" t="n">
        <v>0</v>
      </c>
      <c r="O89" s="30" t="s">
        <v>48</v>
      </c>
      <c r="P89" s="30" t="s">
        <v>51</v>
      </c>
      <c r="Q89" s="30" t="s">
        <v>81</v>
      </c>
      <c r="R89" s="25" t="n">
        <f aca="false">L89*M89*(1-N89)</f>
        <v>16552</v>
      </c>
    </row>
    <row r="90" customFormat="false" ht="15" hidden="false" customHeight="false" outlineLevel="0" collapsed="false">
      <c r="A90" s="30" t="s">
        <v>260</v>
      </c>
      <c r="B90" s="44" t="n">
        <v>45326</v>
      </c>
      <c r="C90" s="19" t="n">
        <f aca="false">YEAR(B90)</f>
        <v>2024</v>
      </c>
      <c r="D90" s="19" t="n">
        <f aca="false">MONTH(B90)</f>
        <v>2</v>
      </c>
      <c r="E90" s="30" t="str">
        <f aca="false">INDEX(Lists!$K$2:$K$13,MATCH(D90,Lists!$J$2:$J$13,0))</f>
        <v>فبراير</v>
      </c>
      <c r="F90" s="19" t="str">
        <f aca="false">"Q"&amp;ROUNDUP(D90/3,0)</f>
        <v>Q1</v>
      </c>
      <c r="G90" s="30" t="str">
        <f aca="false">INDEX(Lists!$N$2:$N$8,MATCH(WEEKDAY(B90,2),Lists!$M$2:$M$8,0))</f>
        <v>الأحد</v>
      </c>
      <c r="H90" s="30" t="s">
        <v>50</v>
      </c>
      <c r="I90" s="19" t="str">
        <f aca="false">INDEX(Lists!$B$2:$B$6,MATCH(H90,Lists!$A$2:$A$6,0))</f>
        <v>المنطقة الغربية</v>
      </c>
      <c r="J90" s="30" t="s">
        <v>113</v>
      </c>
      <c r="K90" s="30" t="s">
        <v>121</v>
      </c>
      <c r="L90" s="31" t="n">
        <v>669</v>
      </c>
      <c r="M90" s="19" t="n">
        <v>2</v>
      </c>
      <c r="N90" s="32" t="n">
        <v>0.1</v>
      </c>
      <c r="O90" s="30" t="s">
        <v>52</v>
      </c>
      <c r="P90" s="30" t="s">
        <v>47</v>
      </c>
      <c r="Q90" s="30" t="s">
        <v>92</v>
      </c>
      <c r="R90" s="25" t="n">
        <f aca="false">L90*M90*(1-N90)</f>
        <v>1204.2</v>
      </c>
    </row>
    <row r="91" customFormat="false" ht="15" hidden="false" customHeight="false" outlineLevel="0" collapsed="false">
      <c r="A91" s="30" t="s">
        <v>261</v>
      </c>
      <c r="B91" s="44" t="n">
        <v>45327</v>
      </c>
      <c r="C91" s="19" t="n">
        <f aca="false">YEAR(B91)</f>
        <v>2024</v>
      </c>
      <c r="D91" s="19" t="n">
        <f aca="false">MONTH(B91)</f>
        <v>2</v>
      </c>
      <c r="E91" s="30" t="str">
        <f aca="false">INDEX(Lists!$K$2:$K$13,MATCH(D91,Lists!$J$2:$J$13,0))</f>
        <v>فبراير</v>
      </c>
      <c r="F91" s="19" t="str">
        <f aca="false">"Q"&amp;ROUNDUP(D91/3,0)</f>
        <v>Q1</v>
      </c>
      <c r="G91" s="30" t="str">
        <f aca="false">INDEX(Lists!$N$2:$N$8,MATCH(WEEKDAY(B91,2),Lists!$M$2:$M$8,0))</f>
        <v>الإثنين</v>
      </c>
      <c r="H91" s="30" t="s">
        <v>50</v>
      </c>
      <c r="I91" s="19" t="str">
        <f aca="false">INDEX(Lists!$B$2:$B$6,MATCH(H91,Lists!$A$2:$A$6,0))</f>
        <v>المنطقة الغربية</v>
      </c>
      <c r="J91" s="30" t="s">
        <v>107</v>
      </c>
      <c r="K91" s="30" t="s">
        <v>114</v>
      </c>
      <c r="L91" s="31" t="n">
        <v>5009</v>
      </c>
      <c r="M91" s="19" t="n">
        <v>1</v>
      </c>
      <c r="N91" s="32" t="n">
        <v>0.05</v>
      </c>
      <c r="O91" s="30" t="s">
        <v>52</v>
      </c>
      <c r="P91" s="30" t="s">
        <v>51</v>
      </c>
      <c r="Q91" s="30" t="s">
        <v>84</v>
      </c>
      <c r="R91" s="25" t="n">
        <f aca="false">L91*M91*(1-N91)</f>
        <v>4758.55</v>
      </c>
    </row>
    <row r="92" customFormat="false" ht="15" hidden="false" customHeight="false" outlineLevel="0" collapsed="false">
      <c r="A92" s="30" t="s">
        <v>262</v>
      </c>
      <c r="B92" s="44" t="n">
        <v>45327</v>
      </c>
      <c r="C92" s="19" t="n">
        <f aca="false">YEAR(B92)</f>
        <v>2024</v>
      </c>
      <c r="D92" s="19" t="n">
        <f aca="false">MONTH(B92)</f>
        <v>2</v>
      </c>
      <c r="E92" s="30" t="str">
        <f aca="false">INDEX(Lists!$K$2:$K$13,MATCH(D92,Lists!$J$2:$J$13,0))</f>
        <v>فبراير</v>
      </c>
      <c r="F92" s="19" t="str">
        <f aca="false">"Q"&amp;ROUNDUP(D92/3,0)</f>
        <v>Q1</v>
      </c>
      <c r="G92" s="30" t="str">
        <f aca="false">INDEX(Lists!$N$2:$N$8,MATCH(WEEKDAY(B92,2),Lists!$M$2:$M$8,0))</f>
        <v>الإثنين</v>
      </c>
      <c r="H92" s="30" t="s">
        <v>60</v>
      </c>
      <c r="I92" s="19" t="str">
        <f aca="false">INDEX(Lists!$B$2:$B$6,MATCH(H92,Lists!$A$2:$A$6,0))</f>
        <v>المنطقة الغربية</v>
      </c>
      <c r="J92" s="30" t="s">
        <v>105</v>
      </c>
      <c r="K92" s="30" t="s">
        <v>79</v>
      </c>
      <c r="L92" s="31" t="n">
        <v>4459</v>
      </c>
      <c r="M92" s="19" t="n">
        <v>6</v>
      </c>
      <c r="N92" s="32" t="n">
        <v>0.05</v>
      </c>
      <c r="O92" s="30" t="s">
        <v>52</v>
      </c>
      <c r="P92" s="30" t="s">
        <v>51</v>
      </c>
      <c r="Q92" s="30" t="s">
        <v>76</v>
      </c>
      <c r="R92" s="25" t="n">
        <f aca="false">L92*M92*(1-N92)</f>
        <v>25416.3</v>
      </c>
    </row>
    <row r="93" customFormat="false" ht="15" hidden="false" customHeight="false" outlineLevel="0" collapsed="false">
      <c r="A93" s="30" t="s">
        <v>263</v>
      </c>
      <c r="B93" s="44" t="n">
        <v>45328</v>
      </c>
      <c r="C93" s="19" t="n">
        <f aca="false">YEAR(B93)</f>
        <v>2024</v>
      </c>
      <c r="D93" s="19" t="n">
        <f aca="false">MONTH(B93)</f>
        <v>2</v>
      </c>
      <c r="E93" s="30" t="str">
        <f aca="false">INDEX(Lists!$K$2:$K$13,MATCH(D93,Lists!$J$2:$J$13,0))</f>
        <v>فبراير</v>
      </c>
      <c r="F93" s="19" t="str">
        <f aca="false">"Q"&amp;ROUNDUP(D93/3,0)</f>
        <v>Q1</v>
      </c>
      <c r="G93" s="30" t="str">
        <f aca="false">INDEX(Lists!$N$2:$N$8,MATCH(WEEKDAY(B93,2),Lists!$M$2:$M$8,0))</f>
        <v>الثلاثاء</v>
      </c>
      <c r="H93" s="30" t="s">
        <v>60</v>
      </c>
      <c r="I93" s="19" t="str">
        <f aca="false">INDEX(Lists!$B$2:$B$6,MATCH(H93,Lists!$A$2:$A$6,0))</f>
        <v>المنطقة الغربية</v>
      </c>
      <c r="J93" s="30" t="s">
        <v>109</v>
      </c>
      <c r="K93" s="30" t="s">
        <v>192</v>
      </c>
      <c r="L93" s="31" t="n">
        <v>239</v>
      </c>
      <c r="M93" s="19" t="n">
        <v>2</v>
      </c>
      <c r="N93" s="32" t="n">
        <v>0</v>
      </c>
      <c r="O93" s="30" t="s">
        <v>48</v>
      </c>
      <c r="P93" s="30" t="s">
        <v>51</v>
      </c>
      <c r="Q93" s="30" t="s">
        <v>84</v>
      </c>
      <c r="R93" s="25" t="n">
        <f aca="false">L93*M93*(1-N93)</f>
        <v>478</v>
      </c>
    </row>
    <row r="94" customFormat="false" ht="15" hidden="false" customHeight="false" outlineLevel="0" collapsed="false">
      <c r="A94" s="30" t="s">
        <v>264</v>
      </c>
      <c r="B94" s="44" t="n">
        <v>45328</v>
      </c>
      <c r="C94" s="19" t="n">
        <f aca="false">YEAR(B94)</f>
        <v>2024</v>
      </c>
      <c r="D94" s="19" t="n">
        <f aca="false">MONTH(B94)</f>
        <v>2</v>
      </c>
      <c r="E94" s="30" t="str">
        <f aca="false">INDEX(Lists!$K$2:$K$13,MATCH(D94,Lists!$J$2:$J$13,0))</f>
        <v>فبراير</v>
      </c>
      <c r="F94" s="19" t="str">
        <f aca="false">"Q"&amp;ROUNDUP(D94/3,0)</f>
        <v>Q1</v>
      </c>
      <c r="G94" s="30" t="str">
        <f aca="false">INDEX(Lists!$N$2:$N$8,MATCH(WEEKDAY(B94,2),Lists!$M$2:$M$8,0))</f>
        <v>الثلاثاء</v>
      </c>
      <c r="H94" s="30" t="s">
        <v>57</v>
      </c>
      <c r="I94" s="19" t="str">
        <f aca="false">INDEX(Lists!$B$2:$B$6,MATCH(H94,Lists!$A$2:$A$6,0))</f>
        <v>المنطقة الغربية</v>
      </c>
      <c r="J94" s="30" t="s">
        <v>109</v>
      </c>
      <c r="K94" s="30" t="s">
        <v>171</v>
      </c>
      <c r="L94" s="31" t="n">
        <v>259</v>
      </c>
      <c r="M94" s="19" t="n">
        <v>2</v>
      </c>
      <c r="N94" s="32" t="n">
        <v>0.05</v>
      </c>
      <c r="O94" s="30" t="s">
        <v>55</v>
      </c>
      <c r="P94" s="30" t="s">
        <v>47</v>
      </c>
      <c r="Q94" s="30" t="s">
        <v>86</v>
      </c>
      <c r="R94" s="25" t="n">
        <f aca="false">L94*M94*(1-N94)</f>
        <v>492.1</v>
      </c>
    </row>
    <row r="95" customFormat="false" ht="15" hidden="false" customHeight="false" outlineLevel="0" collapsed="false">
      <c r="A95" s="30" t="s">
        <v>265</v>
      </c>
      <c r="B95" s="44" t="n">
        <v>45328</v>
      </c>
      <c r="C95" s="19" t="n">
        <f aca="false">YEAR(B95)</f>
        <v>2024</v>
      </c>
      <c r="D95" s="19" t="n">
        <f aca="false">MONTH(B95)</f>
        <v>2</v>
      </c>
      <c r="E95" s="30" t="str">
        <f aca="false">INDEX(Lists!$K$2:$K$13,MATCH(D95,Lists!$J$2:$J$13,0))</f>
        <v>فبراير</v>
      </c>
      <c r="F95" s="19" t="str">
        <f aca="false">"Q"&amp;ROUNDUP(D95/3,0)</f>
        <v>Q1</v>
      </c>
      <c r="G95" s="30" t="str">
        <f aca="false">INDEX(Lists!$N$2:$N$8,MATCH(WEEKDAY(B95,2),Lists!$M$2:$M$8,0))</f>
        <v>الثلاثاء</v>
      </c>
      <c r="H95" s="30" t="s">
        <v>60</v>
      </c>
      <c r="I95" s="19" t="str">
        <f aca="false">INDEX(Lists!$B$2:$B$6,MATCH(H95,Lists!$A$2:$A$6,0))</f>
        <v>المنطقة الغربية</v>
      </c>
      <c r="J95" s="30" t="s">
        <v>109</v>
      </c>
      <c r="K95" s="30" t="s">
        <v>93</v>
      </c>
      <c r="L95" s="31" t="n">
        <v>219</v>
      </c>
      <c r="M95" s="19" t="n">
        <v>2</v>
      </c>
      <c r="N95" s="32" t="n">
        <v>0</v>
      </c>
      <c r="O95" s="30" t="s">
        <v>55</v>
      </c>
      <c r="P95" s="30" t="s">
        <v>47</v>
      </c>
      <c r="Q95" s="30" t="s">
        <v>84</v>
      </c>
      <c r="R95" s="25" t="n">
        <f aca="false">L95*M95*(1-N95)</f>
        <v>438</v>
      </c>
    </row>
    <row r="96" customFormat="false" ht="15" hidden="false" customHeight="false" outlineLevel="0" collapsed="false">
      <c r="A96" s="30" t="s">
        <v>266</v>
      </c>
      <c r="B96" s="44" t="n">
        <v>45328</v>
      </c>
      <c r="C96" s="19" t="n">
        <f aca="false">YEAR(B96)</f>
        <v>2024</v>
      </c>
      <c r="D96" s="19" t="n">
        <f aca="false">MONTH(B96)</f>
        <v>2</v>
      </c>
      <c r="E96" s="30" t="str">
        <f aca="false">INDEX(Lists!$K$2:$K$13,MATCH(D96,Lists!$J$2:$J$13,0))</f>
        <v>فبراير</v>
      </c>
      <c r="F96" s="19" t="str">
        <f aca="false">"Q"&amp;ROUNDUP(D96/3,0)</f>
        <v>Q1</v>
      </c>
      <c r="G96" s="30" t="str">
        <f aca="false">INDEX(Lists!$N$2:$N$8,MATCH(WEEKDAY(B96,2),Lists!$M$2:$M$8,0))</f>
        <v>الثلاثاء</v>
      </c>
      <c r="H96" s="30" t="s">
        <v>60</v>
      </c>
      <c r="I96" s="19" t="str">
        <f aca="false">INDEX(Lists!$B$2:$B$6,MATCH(H96,Lists!$A$2:$A$6,0))</f>
        <v>المنطقة الغربية</v>
      </c>
      <c r="J96" s="30" t="s">
        <v>105</v>
      </c>
      <c r="K96" s="30" t="s">
        <v>90</v>
      </c>
      <c r="L96" s="31" t="n">
        <v>1069</v>
      </c>
      <c r="M96" s="19" t="n">
        <v>2</v>
      </c>
      <c r="N96" s="32" t="n">
        <v>0.05</v>
      </c>
      <c r="O96" s="30" t="s">
        <v>48</v>
      </c>
      <c r="P96" s="30" t="s">
        <v>51</v>
      </c>
      <c r="Q96" s="30" t="s">
        <v>99</v>
      </c>
      <c r="R96" s="25" t="n">
        <f aca="false">L96*M96*(1-N96)</f>
        <v>2031.1</v>
      </c>
    </row>
    <row r="97" customFormat="false" ht="15" hidden="false" customHeight="false" outlineLevel="0" collapsed="false">
      <c r="A97" s="30" t="s">
        <v>267</v>
      </c>
      <c r="B97" s="44" t="n">
        <v>45328</v>
      </c>
      <c r="C97" s="19" t="n">
        <f aca="false">YEAR(B97)</f>
        <v>2024</v>
      </c>
      <c r="D97" s="19" t="n">
        <f aca="false">MONTH(B97)</f>
        <v>2</v>
      </c>
      <c r="E97" s="30" t="str">
        <f aca="false">INDEX(Lists!$K$2:$K$13,MATCH(D97,Lists!$J$2:$J$13,0))</f>
        <v>فبراير</v>
      </c>
      <c r="F97" s="19" t="str">
        <f aca="false">"Q"&amp;ROUNDUP(D97/3,0)</f>
        <v>Q1</v>
      </c>
      <c r="G97" s="30" t="str">
        <f aca="false">INDEX(Lists!$N$2:$N$8,MATCH(WEEKDAY(B97,2),Lists!$M$2:$M$8,0))</f>
        <v>الثلاثاء</v>
      </c>
      <c r="H97" s="30" t="s">
        <v>46</v>
      </c>
      <c r="I97" s="19" t="str">
        <f aca="false">INDEX(Lists!$B$2:$B$6,MATCH(H97,Lists!$A$2:$A$6,0))</f>
        <v>المنطقة الوسطى</v>
      </c>
      <c r="J97" s="30" t="s">
        <v>105</v>
      </c>
      <c r="K97" s="30" t="s">
        <v>90</v>
      </c>
      <c r="L97" s="31" t="n">
        <v>4099</v>
      </c>
      <c r="M97" s="19" t="n">
        <v>1</v>
      </c>
      <c r="N97" s="32" t="n">
        <v>0</v>
      </c>
      <c r="O97" s="30" t="s">
        <v>48</v>
      </c>
      <c r="P97" s="30" t="s">
        <v>47</v>
      </c>
      <c r="Q97" s="30" t="s">
        <v>78</v>
      </c>
      <c r="R97" s="25" t="n">
        <f aca="false">L97*M97*(1-N97)</f>
        <v>4099</v>
      </c>
    </row>
    <row r="98" customFormat="false" ht="15" hidden="false" customHeight="false" outlineLevel="0" collapsed="false">
      <c r="A98" s="30" t="s">
        <v>268</v>
      </c>
      <c r="B98" s="44" t="n">
        <v>45328</v>
      </c>
      <c r="C98" s="19" t="n">
        <f aca="false">YEAR(B98)</f>
        <v>2024</v>
      </c>
      <c r="D98" s="19" t="n">
        <f aca="false">MONTH(B98)</f>
        <v>2</v>
      </c>
      <c r="E98" s="30" t="str">
        <f aca="false">INDEX(Lists!$K$2:$K$13,MATCH(D98,Lists!$J$2:$J$13,0))</f>
        <v>فبراير</v>
      </c>
      <c r="F98" s="19" t="str">
        <f aca="false">"Q"&amp;ROUNDUP(D98/3,0)</f>
        <v>Q1</v>
      </c>
      <c r="G98" s="30" t="str">
        <f aca="false">INDEX(Lists!$N$2:$N$8,MATCH(WEEKDAY(B98,2),Lists!$M$2:$M$8,0))</f>
        <v>الثلاثاء</v>
      </c>
      <c r="H98" s="30" t="s">
        <v>50</v>
      </c>
      <c r="I98" s="19" t="str">
        <f aca="false">INDEX(Lists!$B$2:$B$6,MATCH(H98,Lists!$A$2:$A$6,0))</f>
        <v>المنطقة الغربية</v>
      </c>
      <c r="J98" s="30" t="s">
        <v>105</v>
      </c>
      <c r="K98" s="30" t="s">
        <v>85</v>
      </c>
      <c r="L98" s="31" t="n">
        <v>859</v>
      </c>
      <c r="M98" s="19" t="n">
        <v>1</v>
      </c>
      <c r="N98" s="32" t="n">
        <v>0</v>
      </c>
      <c r="O98" s="30" t="s">
        <v>48</v>
      </c>
      <c r="P98" s="30" t="s">
        <v>47</v>
      </c>
      <c r="Q98" s="30" t="s">
        <v>86</v>
      </c>
      <c r="R98" s="25" t="n">
        <f aca="false">L98*M98*(1-N98)</f>
        <v>859</v>
      </c>
    </row>
    <row r="99" customFormat="false" ht="15" hidden="false" customHeight="false" outlineLevel="0" collapsed="false">
      <c r="A99" s="30" t="s">
        <v>269</v>
      </c>
      <c r="B99" s="44" t="n">
        <v>45328</v>
      </c>
      <c r="C99" s="19" t="n">
        <f aca="false">YEAR(B99)</f>
        <v>2024</v>
      </c>
      <c r="D99" s="19" t="n">
        <f aca="false">MONTH(B99)</f>
        <v>2</v>
      </c>
      <c r="E99" s="30" t="str">
        <f aca="false">INDEX(Lists!$K$2:$K$13,MATCH(D99,Lists!$J$2:$J$13,0))</f>
        <v>فبراير</v>
      </c>
      <c r="F99" s="19" t="str">
        <f aca="false">"Q"&amp;ROUNDUP(D99/3,0)</f>
        <v>Q1</v>
      </c>
      <c r="G99" s="30" t="str">
        <f aca="false">INDEX(Lists!$N$2:$N$8,MATCH(WEEKDAY(B99,2),Lists!$M$2:$M$8,0))</f>
        <v>الثلاثاء</v>
      </c>
      <c r="H99" s="30" t="s">
        <v>50</v>
      </c>
      <c r="I99" s="19" t="str">
        <f aca="false">INDEX(Lists!$B$2:$B$6,MATCH(H99,Lists!$A$2:$A$6,0))</f>
        <v>المنطقة الغربية</v>
      </c>
      <c r="J99" s="30" t="s">
        <v>109</v>
      </c>
      <c r="K99" s="30" t="s">
        <v>171</v>
      </c>
      <c r="L99" s="31" t="n">
        <v>299</v>
      </c>
      <c r="M99" s="19" t="n">
        <v>1</v>
      </c>
      <c r="N99" s="32" t="n">
        <v>0.1</v>
      </c>
      <c r="O99" s="30" t="s">
        <v>55</v>
      </c>
      <c r="P99" s="30" t="s">
        <v>47</v>
      </c>
      <c r="Q99" s="30" t="s">
        <v>99</v>
      </c>
      <c r="R99" s="25" t="n">
        <f aca="false">L99*M99*(1-N99)</f>
        <v>269.1</v>
      </c>
    </row>
    <row r="100" customFormat="false" ht="15" hidden="false" customHeight="false" outlineLevel="0" collapsed="false">
      <c r="A100" s="30" t="s">
        <v>270</v>
      </c>
      <c r="B100" s="44" t="n">
        <v>45329</v>
      </c>
      <c r="C100" s="19" t="n">
        <f aca="false">YEAR(B100)</f>
        <v>2024</v>
      </c>
      <c r="D100" s="19" t="n">
        <f aca="false">MONTH(B100)</f>
        <v>2</v>
      </c>
      <c r="E100" s="30" t="str">
        <f aca="false">INDEX(Lists!$K$2:$K$13,MATCH(D100,Lists!$J$2:$J$13,0))</f>
        <v>فبراير</v>
      </c>
      <c r="F100" s="19" t="str">
        <f aca="false">"Q"&amp;ROUNDUP(D100/3,0)</f>
        <v>Q1</v>
      </c>
      <c r="G100" s="30" t="str">
        <f aca="false">INDEX(Lists!$N$2:$N$8,MATCH(WEEKDAY(B100,2),Lists!$M$2:$M$8,0))</f>
        <v>الأربعاء</v>
      </c>
      <c r="H100" s="30" t="s">
        <v>60</v>
      </c>
      <c r="I100" s="19" t="str">
        <f aca="false">INDEX(Lists!$B$2:$B$6,MATCH(H100,Lists!$A$2:$A$6,0))</f>
        <v>المنطقة الغربية</v>
      </c>
      <c r="J100" s="30" t="s">
        <v>111</v>
      </c>
      <c r="K100" s="30" t="s">
        <v>108</v>
      </c>
      <c r="L100" s="31" t="n">
        <v>489</v>
      </c>
      <c r="M100" s="19" t="n">
        <v>2</v>
      </c>
      <c r="N100" s="32" t="n">
        <v>0.15</v>
      </c>
      <c r="O100" s="30" t="s">
        <v>48</v>
      </c>
      <c r="P100" s="30" t="s">
        <v>47</v>
      </c>
      <c r="Q100" s="30" t="s">
        <v>81</v>
      </c>
      <c r="R100" s="25" t="n">
        <f aca="false">L100*M100*(1-N100)</f>
        <v>831.3</v>
      </c>
    </row>
    <row r="101" customFormat="false" ht="15" hidden="false" customHeight="false" outlineLevel="0" collapsed="false">
      <c r="A101" s="30" t="s">
        <v>271</v>
      </c>
      <c r="B101" s="44" t="n">
        <v>45330</v>
      </c>
      <c r="C101" s="19" t="n">
        <f aca="false">YEAR(B101)</f>
        <v>2024</v>
      </c>
      <c r="D101" s="19" t="n">
        <f aca="false">MONTH(B101)</f>
        <v>2</v>
      </c>
      <c r="E101" s="30" t="str">
        <f aca="false">INDEX(Lists!$K$2:$K$13,MATCH(D101,Lists!$J$2:$J$13,0))</f>
        <v>فبراير</v>
      </c>
      <c r="F101" s="19" t="str">
        <f aca="false">"Q"&amp;ROUNDUP(D101/3,0)</f>
        <v>Q1</v>
      </c>
      <c r="G101" s="30" t="str">
        <f aca="false">INDEX(Lists!$N$2:$N$8,MATCH(WEEKDAY(B101,2),Lists!$M$2:$M$8,0))</f>
        <v>الخميس</v>
      </c>
      <c r="H101" s="30" t="s">
        <v>46</v>
      </c>
      <c r="I101" s="19" t="str">
        <f aca="false">INDEX(Lists!$B$2:$B$6,MATCH(H101,Lists!$A$2:$A$6,0))</f>
        <v>المنطقة الوسطى</v>
      </c>
      <c r="J101" s="30" t="s">
        <v>107</v>
      </c>
      <c r="K101" s="30" t="s">
        <v>272</v>
      </c>
      <c r="L101" s="31" t="n">
        <v>2979</v>
      </c>
      <c r="M101" s="19" t="n">
        <v>1</v>
      </c>
      <c r="N101" s="32" t="n">
        <v>0.05</v>
      </c>
      <c r="O101" s="30" t="s">
        <v>48</v>
      </c>
      <c r="P101" s="30" t="s">
        <v>47</v>
      </c>
      <c r="Q101" s="30" t="s">
        <v>92</v>
      </c>
      <c r="R101" s="25" t="n">
        <f aca="false">L101*M101*(1-N101)</f>
        <v>2830.05</v>
      </c>
    </row>
    <row r="102" customFormat="false" ht="15" hidden="false" customHeight="false" outlineLevel="0" collapsed="false">
      <c r="A102" s="30" t="s">
        <v>273</v>
      </c>
      <c r="B102" s="44" t="n">
        <v>45330</v>
      </c>
      <c r="C102" s="19" t="n">
        <f aca="false">YEAR(B102)</f>
        <v>2024</v>
      </c>
      <c r="D102" s="19" t="n">
        <f aca="false">MONTH(B102)</f>
        <v>2</v>
      </c>
      <c r="E102" s="30" t="str">
        <f aca="false">INDEX(Lists!$K$2:$K$13,MATCH(D102,Lists!$J$2:$J$13,0))</f>
        <v>فبراير</v>
      </c>
      <c r="F102" s="19" t="str">
        <f aca="false">"Q"&amp;ROUNDUP(D102/3,0)</f>
        <v>Q1</v>
      </c>
      <c r="G102" s="30" t="str">
        <f aca="false">INDEX(Lists!$N$2:$N$8,MATCH(WEEKDAY(B102,2),Lists!$M$2:$M$8,0))</f>
        <v>الخميس</v>
      </c>
      <c r="H102" s="30" t="s">
        <v>54</v>
      </c>
      <c r="I102" s="19" t="str">
        <f aca="false">INDEX(Lists!$B$2:$B$6,MATCH(H102,Lists!$A$2:$A$6,0))</f>
        <v>المنطقة الشرقية</v>
      </c>
      <c r="J102" s="30" t="s">
        <v>105</v>
      </c>
      <c r="K102" s="30" t="s">
        <v>90</v>
      </c>
      <c r="L102" s="31" t="n">
        <v>3709</v>
      </c>
      <c r="M102" s="19" t="n">
        <v>1</v>
      </c>
      <c r="N102" s="32" t="n">
        <v>0</v>
      </c>
      <c r="O102" s="30" t="s">
        <v>55</v>
      </c>
      <c r="P102" s="30" t="s">
        <v>47</v>
      </c>
      <c r="Q102" s="30" t="s">
        <v>86</v>
      </c>
      <c r="R102" s="25" t="n">
        <f aca="false">L102*M102*(1-N102)</f>
        <v>3709</v>
      </c>
    </row>
    <row r="103" customFormat="false" ht="15" hidden="false" customHeight="false" outlineLevel="0" collapsed="false">
      <c r="A103" s="30" t="s">
        <v>274</v>
      </c>
      <c r="B103" s="44" t="n">
        <v>45330</v>
      </c>
      <c r="C103" s="19" t="n">
        <f aca="false">YEAR(B103)</f>
        <v>2024</v>
      </c>
      <c r="D103" s="19" t="n">
        <f aca="false">MONTH(B103)</f>
        <v>2</v>
      </c>
      <c r="E103" s="30" t="str">
        <f aca="false">INDEX(Lists!$K$2:$K$13,MATCH(D103,Lists!$J$2:$J$13,0))</f>
        <v>فبراير</v>
      </c>
      <c r="F103" s="19" t="str">
        <f aca="false">"Q"&amp;ROUNDUP(D103/3,0)</f>
        <v>Q1</v>
      </c>
      <c r="G103" s="30" t="str">
        <f aca="false">INDEX(Lists!$N$2:$N$8,MATCH(WEEKDAY(B103,2),Lists!$M$2:$M$8,0))</f>
        <v>الخميس</v>
      </c>
      <c r="H103" s="30" t="s">
        <v>50</v>
      </c>
      <c r="I103" s="19" t="str">
        <f aca="false">INDEX(Lists!$B$2:$B$6,MATCH(H103,Lists!$A$2:$A$6,0))</f>
        <v>المنطقة الغربية</v>
      </c>
      <c r="J103" s="30" t="s">
        <v>113</v>
      </c>
      <c r="K103" s="30" t="s">
        <v>121</v>
      </c>
      <c r="L103" s="31" t="n">
        <v>589</v>
      </c>
      <c r="M103" s="19" t="n">
        <v>1</v>
      </c>
      <c r="N103" s="32" t="n">
        <v>0.2</v>
      </c>
      <c r="O103" s="30" t="s">
        <v>55</v>
      </c>
      <c r="P103" s="30" t="s">
        <v>47</v>
      </c>
      <c r="Q103" s="30" t="s">
        <v>94</v>
      </c>
      <c r="R103" s="25" t="n">
        <f aca="false">L103*M103*(1-N103)</f>
        <v>471.2</v>
      </c>
    </row>
    <row r="104" customFormat="false" ht="15" hidden="false" customHeight="false" outlineLevel="0" collapsed="false">
      <c r="A104" s="30" t="s">
        <v>275</v>
      </c>
      <c r="B104" s="44" t="n">
        <v>45330</v>
      </c>
      <c r="C104" s="19" t="n">
        <f aca="false">YEAR(B104)</f>
        <v>2024</v>
      </c>
      <c r="D104" s="19" t="n">
        <f aca="false">MONTH(B104)</f>
        <v>2</v>
      </c>
      <c r="E104" s="30" t="str">
        <f aca="false">INDEX(Lists!$K$2:$K$13,MATCH(D104,Lists!$J$2:$J$13,0))</f>
        <v>فبراير</v>
      </c>
      <c r="F104" s="19" t="str">
        <f aca="false">"Q"&amp;ROUNDUP(D104/3,0)</f>
        <v>Q1</v>
      </c>
      <c r="G104" s="30" t="str">
        <f aca="false">INDEX(Lists!$N$2:$N$8,MATCH(WEEKDAY(B104,2),Lists!$M$2:$M$8,0))</f>
        <v>الخميس</v>
      </c>
      <c r="H104" s="30" t="s">
        <v>50</v>
      </c>
      <c r="I104" s="19" t="str">
        <f aca="false">INDEX(Lists!$B$2:$B$6,MATCH(H104,Lists!$A$2:$A$6,0))</f>
        <v>المنطقة الغربية</v>
      </c>
      <c r="J104" s="30" t="s">
        <v>111</v>
      </c>
      <c r="K104" s="30" t="s">
        <v>108</v>
      </c>
      <c r="L104" s="31" t="n">
        <v>439</v>
      </c>
      <c r="M104" s="19" t="n">
        <v>2</v>
      </c>
      <c r="N104" s="32" t="n">
        <v>0</v>
      </c>
      <c r="O104" s="30" t="s">
        <v>48</v>
      </c>
      <c r="P104" s="30" t="s">
        <v>51</v>
      </c>
      <c r="Q104" s="30" t="s">
        <v>99</v>
      </c>
      <c r="R104" s="25" t="n">
        <f aca="false">L104*M104*(1-N104)</f>
        <v>878</v>
      </c>
    </row>
    <row r="105" customFormat="false" ht="15" hidden="false" customHeight="false" outlineLevel="0" collapsed="false">
      <c r="A105" s="30" t="s">
        <v>276</v>
      </c>
      <c r="B105" s="44" t="n">
        <v>45330</v>
      </c>
      <c r="C105" s="19" t="n">
        <f aca="false">YEAR(B105)</f>
        <v>2024</v>
      </c>
      <c r="D105" s="19" t="n">
        <f aca="false">MONTH(B105)</f>
        <v>2</v>
      </c>
      <c r="E105" s="30" t="str">
        <f aca="false">INDEX(Lists!$K$2:$K$13,MATCH(D105,Lists!$J$2:$J$13,0))</f>
        <v>فبراير</v>
      </c>
      <c r="F105" s="19" t="str">
        <f aca="false">"Q"&amp;ROUNDUP(D105/3,0)</f>
        <v>Q1</v>
      </c>
      <c r="G105" s="30" t="str">
        <f aca="false">INDEX(Lists!$N$2:$N$8,MATCH(WEEKDAY(B105,2),Lists!$M$2:$M$8,0))</f>
        <v>الخميس</v>
      </c>
      <c r="H105" s="30" t="s">
        <v>50</v>
      </c>
      <c r="I105" s="19" t="str">
        <f aca="false">INDEX(Lists!$B$2:$B$6,MATCH(H105,Lists!$A$2:$A$6,0))</f>
        <v>المنطقة الغربية</v>
      </c>
      <c r="J105" s="30" t="s">
        <v>113</v>
      </c>
      <c r="K105" s="30" t="s">
        <v>100</v>
      </c>
      <c r="L105" s="31" t="n">
        <v>819</v>
      </c>
      <c r="M105" s="19" t="n">
        <v>1</v>
      </c>
      <c r="N105" s="32" t="n">
        <v>0.05</v>
      </c>
      <c r="O105" s="30" t="s">
        <v>48</v>
      </c>
      <c r="P105" s="30" t="s">
        <v>47</v>
      </c>
      <c r="Q105" s="30" t="s">
        <v>81</v>
      </c>
      <c r="R105" s="25" t="n">
        <f aca="false">L105*M105*(1-N105)</f>
        <v>778.05</v>
      </c>
    </row>
    <row r="106" customFormat="false" ht="15" hidden="false" customHeight="false" outlineLevel="0" collapsed="false">
      <c r="A106" s="30" t="s">
        <v>277</v>
      </c>
      <c r="B106" s="44" t="n">
        <v>45331</v>
      </c>
      <c r="C106" s="19" t="n">
        <f aca="false">YEAR(B106)</f>
        <v>2024</v>
      </c>
      <c r="D106" s="19" t="n">
        <f aca="false">MONTH(B106)</f>
        <v>2</v>
      </c>
      <c r="E106" s="30" t="str">
        <f aca="false">INDEX(Lists!$K$2:$K$13,MATCH(D106,Lists!$J$2:$J$13,0))</f>
        <v>فبراير</v>
      </c>
      <c r="F106" s="19" t="str">
        <f aca="false">"Q"&amp;ROUNDUP(D106/3,0)</f>
        <v>Q1</v>
      </c>
      <c r="G106" s="30" t="str">
        <f aca="false">INDEX(Lists!$N$2:$N$8,MATCH(WEEKDAY(B106,2),Lists!$M$2:$M$8,0))</f>
        <v>الجمعة</v>
      </c>
      <c r="H106" s="30" t="s">
        <v>57</v>
      </c>
      <c r="I106" s="19" t="str">
        <f aca="false">INDEX(Lists!$B$2:$B$6,MATCH(H106,Lists!$A$2:$A$6,0))</f>
        <v>المنطقة الغربية</v>
      </c>
      <c r="J106" s="30" t="s">
        <v>105</v>
      </c>
      <c r="K106" s="30" t="s">
        <v>79</v>
      </c>
      <c r="L106" s="31" t="n">
        <v>1279</v>
      </c>
      <c r="M106" s="19" t="n">
        <v>10</v>
      </c>
      <c r="N106" s="32" t="n">
        <v>0.15</v>
      </c>
      <c r="O106" s="30" t="s">
        <v>55</v>
      </c>
      <c r="P106" s="30" t="s">
        <v>51</v>
      </c>
      <c r="Q106" s="30" t="s">
        <v>96</v>
      </c>
      <c r="R106" s="25" t="n">
        <f aca="false">L106*M106*(1-N106)</f>
        <v>10871.5</v>
      </c>
    </row>
    <row r="107" customFormat="false" ht="15" hidden="false" customHeight="false" outlineLevel="0" collapsed="false">
      <c r="A107" s="30" t="s">
        <v>278</v>
      </c>
      <c r="B107" s="44" t="n">
        <v>45331</v>
      </c>
      <c r="C107" s="19" t="n">
        <f aca="false">YEAR(B107)</f>
        <v>2024</v>
      </c>
      <c r="D107" s="19" t="n">
        <f aca="false">MONTH(B107)</f>
        <v>2</v>
      </c>
      <c r="E107" s="30" t="str">
        <f aca="false">INDEX(Lists!$K$2:$K$13,MATCH(D107,Lists!$J$2:$J$13,0))</f>
        <v>فبراير</v>
      </c>
      <c r="F107" s="19" t="str">
        <f aca="false">"Q"&amp;ROUNDUP(D107/3,0)</f>
        <v>Q1</v>
      </c>
      <c r="G107" s="30" t="str">
        <f aca="false">INDEX(Lists!$N$2:$N$8,MATCH(WEEKDAY(B107,2),Lists!$M$2:$M$8,0))</f>
        <v>الجمعة</v>
      </c>
      <c r="H107" s="30" t="s">
        <v>54</v>
      </c>
      <c r="I107" s="19" t="str">
        <f aca="false">INDEX(Lists!$B$2:$B$6,MATCH(H107,Lists!$A$2:$A$6,0))</f>
        <v>المنطقة الشرقية</v>
      </c>
      <c r="J107" s="30" t="s">
        <v>107</v>
      </c>
      <c r="K107" s="30" t="s">
        <v>272</v>
      </c>
      <c r="L107" s="31" t="n">
        <v>7029</v>
      </c>
      <c r="M107" s="19" t="n">
        <v>1</v>
      </c>
      <c r="N107" s="32" t="n">
        <v>0.1</v>
      </c>
      <c r="O107" s="30" t="s">
        <v>48</v>
      </c>
      <c r="P107" s="30" t="s">
        <v>47</v>
      </c>
      <c r="Q107" s="30" t="s">
        <v>78</v>
      </c>
      <c r="R107" s="25" t="n">
        <f aca="false">L107*M107*(1-N107)</f>
        <v>6326.1</v>
      </c>
    </row>
    <row r="108" customFormat="false" ht="15" hidden="false" customHeight="false" outlineLevel="0" collapsed="false">
      <c r="A108" s="30" t="s">
        <v>279</v>
      </c>
      <c r="B108" s="44" t="n">
        <v>45332</v>
      </c>
      <c r="C108" s="19" t="n">
        <f aca="false">YEAR(B108)</f>
        <v>2024</v>
      </c>
      <c r="D108" s="19" t="n">
        <f aca="false">MONTH(B108)</f>
        <v>2</v>
      </c>
      <c r="E108" s="30" t="str">
        <f aca="false">INDEX(Lists!$K$2:$K$13,MATCH(D108,Lists!$J$2:$J$13,0))</f>
        <v>فبراير</v>
      </c>
      <c r="F108" s="19" t="str">
        <f aca="false">"Q"&amp;ROUNDUP(D108/3,0)</f>
        <v>Q1</v>
      </c>
      <c r="G108" s="30" t="str">
        <f aca="false">INDEX(Lists!$N$2:$N$8,MATCH(WEEKDAY(B108,2),Lists!$M$2:$M$8,0))</f>
        <v>السبت</v>
      </c>
      <c r="H108" s="30" t="s">
        <v>60</v>
      </c>
      <c r="I108" s="19" t="str">
        <f aca="false">INDEX(Lists!$B$2:$B$6,MATCH(H108,Lists!$A$2:$A$6,0))</f>
        <v>المنطقة الغربية</v>
      </c>
      <c r="J108" s="30" t="s">
        <v>109</v>
      </c>
      <c r="K108" s="30" t="s">
        <v>171</v>
      </c>
      <c r="L108" s="31" t="n">
        <v>289</v>
      </c>
      <c r="M108" s="19" t="n">
        <v>4</v>
      </c>
      <c r="N108" s="32" t="n">
        <v>0.05</v>
      </c>
      <c r="O108" s="30" t="s">
        <v>52</v>
      </c>
      <c r="P108" s="30" t="s">
        <v>51</v>
      </c>
      <c r="Q108" s="30" t="s">
        <v>94</v>
      </c>
      <c r="R108" s="25" t="n">
        <f aca="false">L108*M108*(1-N108)</f>
        <v>1098.2</v>
      </c>
    </row>
    <row r="109" customFormat="false" ht="15" hidden="false" customHeight="false" outlineLevel="0" collapsed="false">
      <c r="A109" s="30" t="s">
        <v>280</v>
      </c>
      <c r="B109" s="44" t="n">
        <v>45333</v>
      </c>
      <c r="C109" s="19" t="n">
        <f aca="false">YEAR(B109)</f>
        <v>2024</v>
      </c>
      <c r="D109" s="19" t="n">
        <f aca="false">MONTH(B109)</f>
        <v>2</v>
      </c>
      <c r="E109" s="30" t="str">
        <f aca="false">INDEX(Lists!$K$2:$K$13,MATCH(D109,Lists!$J$2:$J$13,0))</f>
        <v>فبراير</v>
      </c>
      <c r="F109" s="19" t="str">
        <f aca="false">"Q"&amp;ROUNDUP(D109/3,0)</f>
        <v>Q1</v>
      </c>
      <c r="G109" s="30" t="str">
        <f aca="false">INDEX(Lists!$N$2:$N$8,MATCH(WEEKDAY(B109,2),Lists!$M$2:$M$8,0))</f>
        <v>الأحد</v>
      </c>
      <c r="H109" s="30" t="s">
        <v>46</v>
      </c>
      <c r="I109" s="19" t="str">
        <f aca="false">INDEX(Lists!$B$2:$B$6,MATCH(H109,Lists!$A$2:$A$6,0))</f>
        <v>المنطقة الوسطى</v>
      </c>
      <c r="J109" s="30" t="s">
        <v>109</v>
      </c>
      <c r="K109" s="30" t="s">
        <v>171</v>
      </c>
      <c r="L109" s="31" t="n">
        <v>219</v>
      </c>
      <c r="M109" s="19" t="n">
        <v>1</v>
      </c>
      <c r="N109" s="32" t="n">
        <v>0</v>
      </c>
      <c r="O109" s="30" t="s">
        <v>52</v>
      </c>
      <c r="P109" s="30" t="s">
        <v>47</v>
      </c>
      <c r="Q109" s="30" t="s">
        <v>78</v>
      </c>
      <c r="R109" s="25" t="n">
        <f aca="false">L109*M109*(1-N109)</f>
        <v>219</v>
      </c>
    </row>
    <row r="110" customFormat="false" ht="15" hidden="false" customHeight="false" outlineLevel="0" collapsed="false">
      <c r="A110" s="30" t="s">
        <v>281</v>
      </c>
      <c r="B110" s="44" t="n">
        <v>45333</v>
      </c>
      <c r="C110" s="19" t="n">
        <f aca="false">YEAR(B110)</f>
        <v>2024</v>
      </c>
      <c r="D110" s="19" t="n">
        <f aca="false">MONTH(B110)</f>
        <v>2</v>
      </c>
      <c r="E110" s="30" t="str">
        <f aca="false">INDEX(Lists!$K$2:$K$13,MATCH(D110,Lists!$J$2:$J$13,0))</f>
        <v>فبراير</v>
      </c>
      <c r="F110" s="19" t="str">
        <f aca="false">"Q"&amp;ROUNDUP(D110/3,0)</f>
        <v>Q1</v>
      </c>
      <c r="G110" s="30" t="str">
        <f aca="false">INDEX(Lists!$N$2:$N$8,MATCH(WEEKDAY(B110,2),Lists!$M$2:$M$8,0))</f>
        <v>الأحد</v>
      </c>
      <c r="H110" s="30" t="s">
        <v>46</v>
      </c>
      <c r="I110" s="19" t="str">
        <f aca="false">INDEX(Lists!$B$2:$B$6,MATCH(H110,Lists!$A$2:$A$6,0))</f>
        <v>المنطقة الوسطى</v>
      </c>
      <c r="J110" s="30" t="s">
        <v>105</v>
      </c>
      <c r="K110" s="30" t="s">
        <v>179</v>
      </c>
      <c r="L110" s="31" t="n">
        <v>1449</v>
      </c>
      <c r="M110" s="19" t="n">
        <v>3</v>
      </c>
      <c r="N110" s="32" t="n">
        <v>0.05</v>
      </c>
      <c r="O110" s="30" t="s">
        <v>55</v>
      </c>
      <c r="P110" s="30" t="s">
        <v>51</v>
      </c>
      <c r="Q110" s="30" t="s">
        <v>81</v>
      </c>
      <c r="R110" s="25" t="n">
        <f aca="false">L110*M110*(1-N110)</f>
        <v>4129.65</v>
      </c>
    </row>
    <row r="111" customFormat="false" ht="15" hidden="false" customHeight="false" outlineLevel="0" collapsed="false">
      <c r="A111" s="30" t="s">
        <v>282</v>
      </c>
      <c r="B111" s="44" t="n">
        <v>45334</v>
      </c>
      <c r="C111" s="19" t="n">
        <f aca="false">YEAR(B111)</f>
        <v>2024</v>
      </c>
      <c r="D111" s="19" t="n">
        <f aca="false">MONTH(B111)</f>
        <v>2</v>
      </c>
      <c r="E111" s="30" t="str">
        <f aca="false">INDEX(Lists!$K$2:$K$13,MATCH(D111,Lists!$J$2:$J$13,0))</f>
        <v>فبراير</v>
      </c>
      <c r="F111" s="19" t="str">
        <f aca="false">"Q"&amp;ROUNDUP(D111/3,0)</f>
        <v>Q1</v>
      </c>
      <c r="G111" s="30" t="str">
        <f aca="false">INDEX(Lists!$N$2:$N$8,MATCH(WEEKDAY(B111,2),Lists!$M$2:$M$8,0))</f>
        <v>الإثنين</v>
      </c>
      <c r="H111" s="30" t="s">
        <v>54</v>
      </c>
      <c r="I111" s="19" t="str">
        <f aca="false">INDEX(Lists!$B$2:$B$6,MATCH(H111,Lists!$A$2:$A$6,0))</f>
        <v>المنطقة الشرقية</v>
      </c>
      <c r="J111" s="30" t="s">
        <v>105</v>
      </c>
      <c r="K111" s="30" t="s">
        <v>90</v>
      </c>
      <c r="L111" s="31" t="n">
        <v>2729</v>
      </c>
      <c r="M111" s="19" t="n">
        <v>1</v>
      </c>
      <c r="N111" s="32" t="n">
        <v>0.05</v>
      </c>
      <c r="O111" s="30" t="s">
        <v>52</v>
      </c>
      <c r="P111" s="30" t="s">
        <v>47</v>
      </c>
      <c r="Q111" s="30" t="s">
        <v>81</v>
      </c>
      <c r="R111" s="25" t="n">
        <f aca="false">L111*M111*(1-N111)</f>
        <v>2592.55</v>
      </c>
    </row>
    <row r="112" customFormat="false" ht="15" hidden="false" customHeight="false" outlineLevel="0" collapsed="false">
      <c r="A112" s="30" t="s">
        <v>283</v>
      </c>
      <c r="B112" s="44" t="n">
        <v>45334</v>
      </c>
      <c r="C112" s="19" t="n">
        <f aca="false">YEAR(B112)</f>
        <v>2024</v>
      </c>
      <c r="D112" s="19" t="n">
        <f aca="false">MONTH(B112)</f>
        <v>2</v>
      </c>
      <c r="E112" s="30" t="str">
        <f aca="false">INDEX(Lists!$K$2:$K$13,MATCH(D112,Lists!$J$2:$J$13,0))</f>
        <v>فبراير</v>
      </c>
      <c r="F112" s="19" t="str">
        <f aca="false">"Q"&amp;ROUNDUP(D112/3,0)</f>
        <v>Q1</v>
      </c>
      <c r="G112" s="30" t="str">
        <f aca="false">INDEX(Lists!$N$2:$N$8,MATCH(WEEKDAY(B112,2),Lists!$M$2:$M$8,0))</f>
        <v>الإثنين</v>
      </c>
      <c r="H112" s="30" t="s">
        <v>54</v>
      </c>
      <c r="I112" s="19" t="str">
        <f aca="false">INDEX(Lists!$B$2:$B$6,MATCH(H112,Lists!$A$2:$A$6,0))</f>
        <v>المنطقة الشرقية</v>
      </c>
      <c r="J112" s="30" t="s">
        <v>111</v>
      </c>
      <c r="K112" s="30" t="s">
        <v>108</v>
      </c>
      <c r="L112" s="31" t="n">
        <v>219</v>
      </c>
      <c r="M112" s="19" t="n">
        <v>1</v>
      </c>
      <c r="N112" s="32" t="n">
        <v>0.2</v>
      </c>
      <c r="O112" s="30" t="s">
        <v>48</v>
      </c>
      <c r="P112" s="30" t="s">
        <v>47</v>
      </c>
      <c r="Q112" s="30" t="s">
        <v>92</v>
      </c>
      <c r="R112" s="25" t="n">
        <f aca="false">L112*M112*(1-N112)</f>
        <v>175.2</v>
      </c>
    </row>
    <row r="113" customFormat="false" ht="15" hidden="false" customHeight="false" outlineLevel="0" collapsed="false">
      <c r="A113" s="30" t="s">
        <v>284</v>
      </c>
      <c r="B113" s="44" t="n">
        <v>45335</v>
      </c>
      <c r="C113" s="19" t="n">
        <f aca="false">YEAR(B113)</f>
        <v>2024</v>
      </c>
      <c r="D113" s="19" t="n">
        <f aca="false">MONTH(B113)</f>
        <v>2</v>
      </c>
      <c r="E113" s="30" t="str">
        <f aca="false">INDEX(Lists!$K$2:$K$13,MATCH(D113,Lists!$J$2:$J$13,0))</f>
        <v>فبراير</v>
      </c>
      <c r="F113" s="19" t="str">
        <f aca="false">"Q"&amp;ROUNDUP(D113/3,0)</f>
        <v>Q1</v>
      </c>
      <c r="G113" s="30" t="str">
        <f aca="false">INDEX(Lists!$N$2:$N$8,MATCH(WEEKDAY(B113,2),Lists!$M$2:$M$8,0))</f>
        <v>الثلاثاء</v>
      </c>
      <c r="H113" s="30" t="s">
        <v>57</v>
      </c>
      <c r="I113" s="19" t="str">
        <f aca="false">INDEX(Lists!$B$2:$B$6,MATCH(H113,Lists!$A$2:$A$6,0))</f>
        <v>المنطقة الغربية</v>
      </c>
      <c r="J113" s="30" t="s">
        <v>107</v>
      </c>
      <c r="K113" s="30" t="s">
        <v>114</v>
      </c>
      <c r="L113" s="31" t="n">
        <v>5499</v>
      </c>
      <c r="M113" s="19" t="n">
        <v>1</v>
      </c>
      <c r="N113" s="32" t="n">
        <v>0</v>
      </c>
      <c r="O113" s="30" t="s">
        <v>52</v>
      </c>
      <c r="P113" s="30" t="s">
        <v>47</v>
      </c>
      <c r="Q113" s="30" t="s">
        <v>99</v>
      </c>
      <c r="R113" s="25" t="n">
        <f aca="false">L113*M113*(1-N113)</f>
        <v>5499</v>
      </c>
    </row>
    <row r="114" customFormat="false" ht="15" hidden="false" customHeight="false" outlineLevel="0" collapsed="false">
      <c r="A114" s="30" t="s">
        <v>285</v>
      </c>
      <c r="B114" s="44" t="n">
        <v>45335</v>
      </c>
      <c r="C114" s="19" t="n">
        <f aca="false">YEAR(B114)</f>
        <v>2024</v>
      </c>
      <c r="D114" s="19" t="n">
        <f aca="false">MONTH(B114)</f>
        <v>2</v>
      </c>
      <c r="E114" s="30" t="str">
        <f aca="false">INDEX(Lists!$K$2:$K$13,MATCH(D114,Lists!$J$2:$J$13,0))</f>
        <v>فبراير</v>
      </c>
      <c r="F114" s="19" t="str">
        <f aca="false">"Q"&amp;ROUNDUP(D114/3,0)</f>
        <v>Q1</v>
      </c>
      <c r="G114" s="30" t="str">
        <f aca="false">INDEX(Lists!$N$2:$N$8,MATCH(WEEKDAY(B114,2),Lists!$M$2:$M$8,0))</f>
        <v>الثلاثاء</v>
      </c>
      <c r="H114" s="30" t="s">
        <v>50</v>
      </c>
      <c r="I114" s="19" t="str">
        <f aca="false">INDEX(Lists!$B$2:$B$6,MATCH(H114,Lists!$A$2:$A$6,0))</f>
        <v>المنطقة الغربية</v>
      </c>
      <c r="J114" s="30" t="s">
        <v>111</v>
      </c>
      <c r="K114" s="30" t="s">
        <v>118</v>
      </c>
      <c r="L114" s="31" t="n">
        <v>189</v>
      </c>
      <c r="M114" s="19" t="n">
        <v>2</v>
      </c>
      <c r="N114" s="32" t="n">
        <v>0.05</v>
      </c>
      <c r="O114" s="30" t="s">
        <v>48</v>
      </c>
      <c r="P114" s="30" t="s">
        <v>47</v>
      </c>
      <c r="Q114" s="30" t="s">
        <v>94</v>
      </c>
      <c r="R114" s="25" t="n">
        <f aca="false">L114*M114*(1-N114)</f>
        <v>359.1</v>
      </c>
    </row>
    <row r="115" customFormat="false" ht="15" hidden="false" customHeight="false" outlineLevel="0" collapsed="false">
      <c r="A115" s="30" t="s">
        <v>286</v>
      </c>
      <c r="B115" s="44" t="n">
        <v>45335</v>
      </c>
      <c r="C115" s="19" t="n">
        <f aca="false">YEAR(B115)</f>
        <v>2024</v>
      </c>
      <c r="D115" s="19" t="n">
        <f aca="false">MONTH(B115)</f>
        <v>2</v>
      </c>
      <c r="E115" s="30" t="str">
        <f aca="false">INDEX(Lists!$K$2:$K$13,MATCH(D115,Lists!$J$2:$J$13,0))</f>
        <v>فبراير</v>
      </c>
      <c r="F115" s="19" t="str">
        <f aca="false">"Q"&amp;ROUNDUP(D115/3,0)</f>
        <v>Q1</v>
      </c>
      <c r="G115" s="30" t="str">
        <f aca="false">INDEX(Lists!$N$2:$N$8,MATCH(WEEKDAY(B115,2),Lists!$M$2:$M$8,0))</f>
        <v>الثلاثاء</v>
      </c>
      <c r="H115" s="30" t="s">
        <v>54</v>
      </c>
      <c r="I115" s="19" t="str">
        <f aca="false">INDEX(Lists!$B$2:$B$6,MATCH(H115,Lists!$A$2:$A$6,0))</f>
        <v>المنطقة الشرقية</v>
      </c>
      <c r="J115" s="30" t="s">
        <v>107</v>
      </c>
      <c r="K115" s="30" t="s">
        <v>272</v>
      </c>
      <c r="L115" s="31" t="n">
        <v>6229</v>
      </c>
      <c r="M115" s="19" t="n">
        <v>1</v>
      </c>
      <c r="N115" s="32" t="n">
        <v>0</v>
      </c>
      <c r="O115" s="30" t="s">
        <v>58</v>
      </c>
      <c r="P115" s="30" t="s">
        <v>47</v>
      </c>
      <c r="Q115" s="30" t="s">
        <v>89</v>
      </c>
      <c r="R115" s="25" t="n">
        <f aca="false">L115*M115*(1-N115)</f>
        <v>6229</v>
      </c>
    </row>
    <row r="116" customFormat="false" ht="15" hidden="false" customHeight="false" outlineLevel="0" collapsed="false">
      <c r="A116" s="30" t="s">
        <v>287</v>
      </c>
      <c r="B116" s="44" t="n">
        <v>45336</v>
      </c>
      <c r="C116" s="19" t="n">
        <f aca="false">YEAR(B116)</f>
        <v>2024</v>
      </c>
      <c r="D116" s="19" t="n">
        <f aca="false">MONTH(B116)</f>
        <v>2</v>
      </c>
      <c r="E116" s="30" t="str">
        <f aca="false">INDEX(Lists!$K$2:$K$13,MATCH(D116,Lists!$J$2:$J$13,0))</f>
        <v>فبراير</v>
      </c>
      <c r="F116" s="19" t="str">
        <f aca="false">"Q"&amp;ROUNDUP(D116/3,0)</f>
        <v>Q1</v>
      </c>
      <c r="G116" s="30" t="str">
        <f aca="false">INDEX(Lists!$N$2:$N$8,MATCH(WEEKDAY(B116,2),Lists!$M$2:$M$8,0))</f>
        <v>الأربعاء</v>
      </c>
      <c r="H116" s="30" t="s">
        <v>46</v>
      </c>
      <c r="I116" s="19" t="str">
        <f aca="false">INDEX(Lists!$B$2:$B$6,MATCH(H116,Lists!$A$2:$A$6,0))</f>
        <v>المنطقة الوسطى</v>
      </c>
      <c r="J116" s="30" t="s">
        <v>105</v>
      </c>
      <c r="K116" s="30" t="s">
        <v>90</v>
      </c>
      <c r="L116" s="31" t="n">
        <v>2399</v>
      </c>
      <c r="M116" s="19" t="n">
        <v>1</v>
      </c>
      <c r="N116" s="32" t="n">
        <v>0.05</v>
      </c>
      <c r="O116" s="30" t="s">
        <v>48</v>
      </c>
      <c r="P116" s="30" t="s">
        <v>51</v>
      </c>
      <c r="Q116" s="30" t="s">
        <v>81</v>
      </c>
      <c r="R116" s="25" t="n">
        <f aca="false">L116*M116*(1-N116)</f>
        <v>2279.05</v>
      </c>
    </row>
    <row r="117" customFormat="false" ht="15" hidden="false" customHeight="false" outlineLevel="0" collapsed="false">
      <c r="A117" s="30" t="s">
        <v>288</v>
      </c>
      <c r="B117" s="44" t="n">
        <v>45336</v>
      </c>
      <c r="C117" s="19" t="n">
        <f aca="false">YEAR(B117)</f>
        <v>2024</v>
      </c>
      <c r="D117" s="19" t="n">
        <f aca="false">MONTH(B117)</f>
        <v>2</v>
      </c>
      <c r="E117" s="30" t="str">
        <f aca="false">INDEX(Lists!$K$2:$K$13,MATCH(D117,Lists!$J$2:$J$13,0))</f>
        <v>فبراير</v>
      </c>
      <c r="F117" s="19" t="str">
        <f aca="false">"Q"&amp;ROUNDUP(D117/3,0)</f>
        <v>Q1</v>
      </c>
      <c r="G117" s="30" t="str">
        <f aca="false">INDEX(Lists!$N$2:$N$8,MATCH(WEEKDAY(B117,2),Lists!$M$2:$M$8,0))</f>
        <v>الأربعاء</v>
      </c>
      <c r="H117" s="30" t="s">
        <v>54</v>
      </c>
      <c r="I117" s="19" t="str">
        <f aca="false">INDEX(Lists!$B$2:$B$6,MATCH(H117,Lists!$A$2:$A$6,0))</f>
        <v>المنطقة الشرقية</v>
      </c>
      <c r="J117" s="30" t="s">
        <v>105</v>
      </c>
      <c r="K117" s="30" t="s">
        <v>82</v>
      </c>
      <c r="L117" s="31" t="n">
        <v>3589</v>
      </c>
      <c r="M117" s="19" t="n">
        <v>1</v>
      </c>
      <c r="N117" s="32" t="n">
        <v>0.15</v>
      </c>
      <c r="O117" s="30" t="s">
        <v>55</v>
      </c>
      <c r="P117" s="30" t="s">
        <v>47</v>
      </c>
      <c r="Q117" s="30" t="s">
        <v>86</v>
      </c>
      <c r="R117" s="25" t="n">
        <f aca="false">L117*M117*(1-N117)</f>
        <v>3050.65</v>
      </c>
    </row>
    <row r="118" customFormat="false" ht="15" hidden="false" customHeight="false" outlineLevel="0" collapsed="false">
      <c r="A118" s="30" t="s">
        <v>289</v>
      </c>
      <c r="B118" s="44" t="n">
        <v>45337</v>
      </c>
      <c r="C118" s="19" t="n">
        <f aca="false">YEAR(B118)</f>
        <v>2024</v>
      </c>
      <c r="D118" s="19" t="n">
        <f aca="false">MONTH(B118)</f>
        <v>2</v>
      </c>
      <c r="E118" s="30" t="str">
        <f aca="false">INDEX(Lists!$K$2:$K$13,MATCH(D118,Lists!$J$2:$J$13,0))</f>
        <v>فبراير</v>
      </c>
      <c r="F118" s="19" t="str">
        <f aca="false">"Q"&amp;ROUNDUP(D118/3,0)</f>
        <v>Q1</v>
      </c>
      <c r="G118" s="30" t="str">
        <f aca="false">INDEX(Lists!$N$2:$N$8,MATCH(WEEKDAY(B118,2),Lists!$M$2:$M$8,0))</f>
        <v>الخميس</v>
      </c>
      <c r="H118" s="30" t="s">
        <v>57</v>
      </c>
      <c r="I118" s="19" t="str">
        <f aca="false">INDEX(Lists!$B$2:$B$6,MATCH(H118,Lists!$A$2:$A$6,0))</f>
        <v>المنطقة الغربية</v>
      </c>
      <c r="J118" s="30" t="s">
        <v>105</v>
      </c>
      <c r="K118" s="30" t="s">
        <v>82</v>
      </c>
      <c r="L118" s="31" t="n">
        <v>2259</v>
      </c>
      <c r="M118" s="19" t="n">
        <v>1</v>
      </c>
      <c r="N118" s="32" t="n">
        <v>0</v>
      </c>
      <c r="O118" s="30" t="s">
        <v>52</v>
      </c>
      <c r="P118" s="30" t="s">
        <v>47</v>
      </c>
      <c r="Q118" s="30" t="s">
        <v>92</v>
      </c>
      <c r="R118" s="25" t="n">
        <f aca="false">L118*M118*(1-N118)</f>
        <v>2259</v>
      </c>
    </row>
    <row r="119" customFormat="false" ht="15" hidden="false" customHeight="false" outlineLevel="0" collapsed="false">
      <c r="A119" s="30" t="s">
        <v>290</v>
      </c>
      <c r="B119" s="44" t="n">
        <v>45337</v>
      </c>
      <c r="C119" s="19" t="n">
        <f aca="false">YEAR(B119)</f>
        <v>2024</v>
      </c>
      <c r="D119" s="19" t="n">
        <f aca="false">MONTH(B119)</f>
        <v>2</v>
      </c>
      <c r="E119" s="30" t="str">
        <f aca="false">INDEX(Lists!$K$2:$K$13,MATCH(D119,Lists!$J$2:$J$13,0))</f>
        <v>فبراير</v>
      </c>
      <c r="F119" s="19" t="str">
        <f aca="false">"Q"&amp;ROUNDUP(D119/3,0)</f>
        <v>Q1</v>
      </c>
      <c r="G119" s="30" t="str">
        <f aca="false">INDEX(Lists!$N$2:$N$8,MATCH(WEEKDAY(B119,2),Lists!$M$2:$M$8,0))</f>
        <v>الخميس</v>
      </c>
      <c r="H119" s="30" t="s">
        <v>50</v>
      </c>
      <c r="I119" s="19" t="str">
        <f aca="false">INDEX(Lists!$B$2:$B$6,MATCH(H119,Lists!$A$2:$A$6,0))</f>
        <v>المنطقة الغربية</v>
      </c>
      <c r="J119" s="30" t="s">
        <v>105</v>
      </c>
      <c r="K119" s="30" t="s">
        <v>90</v>
      </c>
      <c r="L119" s="31" t="n">
        <v>2709</v>
      </c>
      <c r="M119" s="19" t="n">
        <v>3</v>
      </c>
      <c r="N119" s="32" t="n">
        <v>0.15</v>
      </c>
      <c r="O119" s="30" t="s">
        <v>52</v>
      </c>
      <c r="P119" s="30" t="s">
        <v>47</v>
      </c>
      <c r="Q119" s="30" t="s">
        <v>94</v>
      </c>
      <c r="R119" s="25" t="n">
        <f aca="false">L119*M119*(1-N119)</f>
        <v>6907.95</v>
      </c>
    </row>
    <row r="120" customFormat="false" ht="15" hidden="false" customHeight="false" outlineLevel="0" collapsed="false">
      <c r="A120" s="30" t="s">
        <v>291</v>
      </c>
      <c r="B120" s="44" t="n">
        <v>45337</v>
      </c>
      <c r="C120" s="19" t="n">
        <f aca="false">YEAR(B120)</f>
        <v>2024</v>
      </c>
      <c r="D120" s="19" t="n">
        <f aca="false">MONTH(B120)</f>
        <v>2</v>
      </c>
      <c r="E120" s="30" t="str">
        <f aca="false">INDEX(Lists!$K$2:$K$13,MATCH(D120,Lists!$J$2:$J$13,0))</f>
        <v>فبراير</v>
      </c>
      <c r="F120" s="19" t="str">
        <f aca="false">"Q"&amp;ROUNDUP(D120/3,0)</f>
        <v>Q1</v>
      </c>
      <c r="G120" s="30" t="str">
        <f aca="false">INDEX(Lists!$N$2:$N$8,MATCH(WEEKDAY(B120,2),Lists!$M$2:$M$8,0))</f>
        <v>الخميس</v>
      </c>
      <c r="H120" s="30" t="s">
        <v>46</v>
      </c>
      <c r="I120" s="19" t="str">
        <f aca="false">INDEX(Lists!$B$2:$B$6,MATCH(H120,Lists!$A$2:$A$6,0))</f>
        <v>المنطقة الوسطى</v>
      </c>
      <c r="J120" s="30" t="s">
        <v>113</v>
      </c>
      <c r="K120" s="30" t="s">
        <v>95</v>
      </c>
      <c r="L120" s="31" t="n">
        <v>499</v>
      </c>
      <c r="M120" s="19" t="n">
        <v>1</v>
      </c>
      <c r="N120" s="32" t="n">
        <v>0.05</v>
      </c>
      <c r="O120" s="30" t="s">
        <v>55</v>
      </c>
      <c r="P120" s="30" t="s">
        <v>47</v>
      </c>
      <c r="Q120" s="30" t="s">
        <v>92</v>
      </c>
      <c r="R120" s="25" t="n">
        <f aca="false">L120*M120*(1-N120)</f>
        <v>474.05</v>
      </c>
    </row>
    <row r="121" customFormat="false" ht="15" hidden="false" customHeight="false" outlineLevel="0" collapsed="false">
      <c r="A121" s="30" t="s">
        <v>292</v>
      </c>
      <c r="B121" s="44" t="n">
        <v>45337</v>
      </c>
      <c r="C121" s="19" t="n">
        <f aca="false">YEAR(B121)</f>
        <v>2024</v>
      </c>
      <c r="D121" s="19" t="n">
        <f aca="false">MONTH(B121)</f>
        <v>2</v>
      </c>
      <c r="E121" s="30" t="str">
        <f aca="false">INDEX(Lists!$K$2:$K$13,MATCH(D121,Lists!$J$2:$J$13,0))</f>
        <v>فبراير</v>
      </c>
      <c r="F121" s="19" t="str">
        <f aca="false">"Q"&amp;ROUNDUP(D121/3,0)</f>
        <v>Q1</v>
      </c>
      <c r="G121" s="30" t="str">
        <f aca="false">INDEX(Lists!$N$2:$N$8,MATCH(WEEKDAY(B121,2),Lists!$M$2:$M$8,0))</f>
        <v>الخميس</v>
      </c>
      <c r="H121" s="30" t="s">
        <v>54</v>
      </c>
      <c r="I121" s="19" t="str">
        <f aca="false">INDEX(Lists!$B$2:$B$6,MATCH(H121,Lists!$A$2:$A$6,0))</f>
        <v>المنطقة الشرقية</v>
      </c>
      <c r="J121" s="30" t="s">
        <v>109</v>
      </c>
      <c r="K121" s="30" t="s">
        <v>93</v>
      </c>
      <c r="L121" s="31" t="n">
        <v>119</v>
      </c>
      <c r="M121" s="19" t="n">
        <v>1</v>
      </c>
      <c r="N121" s="32" t="n">
        <v>0.15</v>
      </c>
      <c r="O121" s="30" t="s">
        <v>48</v>
      </c>
      <c r="P121" s="30" t="s">
        <v>47</v>
      </c>
      <c r="Q121" s="30" t="s">
        <v>94</v>
      </c>
      <c r="R121" s="25" t="n">
        <f aca="false">L121*M121*(1-N121)</f>
        <v>101.15</v>
      </c>
    </row>
    <row r="122" customFormat="false" ht="15" hidden="false" customHeight="false" outlineLevel="0" collapsed="false">
      <c r="A122" s="30" t="s">
        <v>293</v>
      </c>
      <c r="B122" s="44" t="n">
        <v>45337</v>
      </c>
      <c r="C122" s="19" t="n">
        <f aca="false">YEAR(B122)</f>
        <v>2024</v>
      </c>
      <c r="D122" s="19" t="n">
        <f aca="false">MONTH(B122)</f>
        <v>2</v>
      </c>
      <c r="E122" s="30" t="str">
        <f aca="false">INDEX(Lists!$K$2:$K$13,MATCH(D122,Lists!$J$2:$J$13,0))</f>
        <v>فبراير</v>
      </c>
      <c r="F122" s="19" t="str">
        <f aca="false">"Q"&amp;ROUNDUP(D122/3,0)</f>
        <v>Q1</v>
      </c>
      <c r="G122" s="30" t="str">
        <f aca="false">INDEX(Lists!$N$2:$N$8,MATCH(WEEKDAY(B122,2),Lists!$M$2:$M$8,0))</f>
        <v>الخميس</v>
      </c>
      <c r="H122" s="30" t="s">
        <v>46</v>
      </c>
      <c r="I122" s="19" t="str">
        <f aca="false">INDEX(Lists!$B$2:$B$6,MATCH(H122,Lists!$A$2:$A$6,0))</f>
        <v>المنطقة الوسطى</v>
      </c>
      <c r="J122" s="30" t="s">
        <v>107</v>
      </c>
      <c r="K122" s="30" t="s">
        <v>184</v>
      </c>
      <c r="L122" s="31" t="n">
        <v>4509</v>
      </c>
      <c r="M122" s="19" t="n">
        <v>3</v>
      </c>
      <c r="N122" s="32" t="n">
        <v>0.1</v>
      </c>
      <c r="O122" s="30" t="s">
        <v>48</v>
      </c>
      <c r="P122" s="30" t="s">
        <v>47</v>
      </c>
      <c r="Q122" s="30" t="s">
        <v>94</v>
      </c>
      <c r="R122" s="25" t="n">
        <f aca="false">L122*M122*(1-N122)</f>
        <v>12174.3</v>
      </c>
    </row>
    <row r="123" customFormat="false" ht="15" hidden="false" customHeight="false" outlineLevel="0" collapsed="false">
      <c r="A123" s="30" t="s">
        <v>294</v>
      </c>
      <c r="B123" s="44" t="n">
        <v>45338</v>
      </c>
      <c r="C123" s="19" t="n">
        <f aca="false">YEAR(B123)</f>
        <v>2024</v>
      </c>
      <c r="D123" s="19" t="n">
        <f aca="false">MONTH(B123)</f>
        <v>2</v>
      </c>
      <c r="E123" s="30" t="str">
        <f aca="false">INDEX(Lists!$K$2:$K$13,MATCH(D123,Lists!$J$2:$J$13,0))</f>
        <v>فبراير</v>
      </c>
      <c r="F123" s="19" t="str">
        <f aca="false">"Q"&amp;ROUNDUP(D123/3,0)</f>
        <v>Q1</v>
      </c>
      <c r="G123" s="30" t="str">
        <f aca="false">INDEX(Lists!$N$2:$N$8,MATCH(WEEKDAY(B123,2),Lists!$M$2:$M$8,0))</f>
        <v>الجمعة</v>
      </c>
      <c r="H123" s="30" t="s">
        <v>46</v>
      </c>
      <c r="I123" s="19" t="str">
        <f aca="false">INDEX(Lists!$B$2:$B$6,MATCH(H123,Lists!$A$2:$A$6,0))</f>
        <v>المنطقة الوسطى</v>
      </c>
      <c r="J123" s="30" t="s">
        <v>113</v>
      </c>
      <c r="K123" s="30" t="s">
        <v>100</v>
      </c>
      <c r="L123" s="31" t="n">
        <v>859</v>
      </c>
      <c r="M123" s="19" t="n">
        <v>1</v>
      </c>
      <c r="N123" s="32" t="n">
        <v>0</v>
      </c>
      <c r="O123" s="30" t="s">
        <v>58</v>
      </c>
      <c r="P123" s="30" t="s">
        <v>47</v>
      </c>
      <c r="Q123" s="30" t="s">
        <v>84</v>
      </c>
      <c r="R123" s="25" t="n">
        <f aca="false">L123*M123*(1-N123)</f>
        <v>859</v>
      </c>
    </row>
    <row r="124" customFormat="false" ht="15" hidden="false" customHeight="false" outlineLevel="0" collapsed="false">
      <c r="A124" s="30" t="s">
        <v>295</v>
      </c>
      <c r="B124" s="44" t="n">
        <v>45338</v>
      </c>
      <c r="C124" s="19" t="n">
        <f aca="false">YEAR(B124)</f>
        <v>2024</v>
      </c>
      <c r="D124" s="19" t="n">
        <f aca="false">MONTH(B124)</f>
        <v>2</v>
      </c>
      <c r="E124" s="30" t="str">
        <f aca="false">INDEX(Lists!$K$2:$K$13,MATCH(D124,Lists!$J$2:$J$13,0))</f>
        <v>فبراير</v>
      </c>
      <c r="F124" s="19" t="str">
        <f aca="false">"Q"&amp;ROUNDUP(D124/3,0)</f>
        <v>Q1</v>
      </c>
      <c r="G124" s="30" t="str">
        <f aca="false">INDEX(Lists!$N$2:$N$8,MATCH(WEEKDAY(B124,2),Lists!$M$2:$M$8,0))</f>
        <v>الجمعة</v>
      </c>
      <c r="H124" s="30" t="s">
        <v>57</v>
      </c>
      <c r="I124" s="19" t="str">
        <f aca="false">INDEX(Lists!$B$2:$B$6,MATCH(H124,Lists!$A$2:$A$6,0))</f>
        <v>المنطقة الغربية</v>
      </c>
      <c r="J124" s="30" t="s">
        <v>109</v>
      </c>
      <c r="K124" s="30" t="s">
        <v>192</v>
      </c>
      <c r="L124" s="31" t="n">
        <v>229</v>
      </c>
      <c r="M124" s="19" t="n">
        <v>5</v>
      </c>
      <c r="N124" s="32" t="n">
        <v>0.1</v>
      </c>
      <c r="O124" s="30" t="s">
        <v>48</v>
      </c>
      <c r="P124" s="30" t="s">
        <v>51</v>
      </c>
      <c r="Q124" s="30" t="s">
        <v>89</v>
      </c>
      <c r="R124" s="25" t="n">
        <f aca="false">L124*M124*(1-N124)</f>
        <v>1030.5</v>
      </c>
    </row>
    <row r="125" customFormat="false" ht="15" hidden="false" customHeight="false" outlineLevel="0" collapsed="false">
      <c r="A125" s="30" t="s">
        <v>296</v>
      </c>
      <c r="B125" s="44" t="n">
        <v>45338</v>
      </c>
      <c r="C125" s="19" t="n">
        <f aca="false">YEAR(B125)</f>
        <v>2024</v>
      </c>
      <c r="D125" s="19" t="n">
        <f aca="false">MONTH(B125)</f>
        <v>2</v>
      </c>
      <c r="E125" s="30" t="str">
        <f aca="false">INDEX(Lists!$K$2:$K$13,MATCH(D125,Lists!$J$2:$J$13,0))</f>
        <v>فبراير</v>
      </c>
      <c r="F125" s="19" t="str">
        <f aca="false">"Q"&amp;ROUNDUP(D125/3,0)</f>
        <v>Q1</v>
      </c>
      <c r="G125" s="30" t="str">
        <f aca="false">INDEX(Lists!$N$2:$N$8,MATCH(WEEKDAY(B125,2),Lists!$M$2:$M$8,0))</f>
        <v>الجمعة</v>
      </c>
      <c r="H125" s="30" t="s">
        <v>57</v>
      </c>
      <c r="I125" s="19" t="str">
        <f aca="false">INDEX(Lists!$B$2:$B$6,MATCH(H125,Lists!$A$2:$A$6,0))</f>
        <v>المنطقة الغربية</v>
      </c>
      <c r="J125" s="30" t="s">
        <v>111</v>
      </c>
      <c r="K125" s="30" t="s">
        <v>108</v>
      </c>
      <c r="L125" s="31" t="n">
        <v>199</v>
      </c>
      <c r="M125" s="19" t="n">
        <v>1</v>
      </c>
      <c r="N125" s="32" t="n">
        <v>0.2</v>
      </c>
      <c r="O125" s="30" t="s">
        <v>48</v>
      </c>
      <c r="P125" s="30" t="s">
        <v>47</v>
      </c>
      <c r="Q125" s="30" t="s">
        <v>99</v>
      </c>
      <c r="R125" s="25" t="n">
        <f aca="false">L125*M125*(1-N125)</f>
        <v>159.2</v>
      </c>
    </row>
    <row r="126" customFormat="false" ht="15" hidden="false" customHeight="false" outlineLevel="0" collapsed="false">
      <c r="A126" s="30" t="s">
        <v>297</v>
      </c>
      <c r="B126" s="44" t="n">
        <v>45339</v>
      </c>
      <c r="C126" s="19" t="n">
        <f aca="false">YEAR(B126)</f>
        <v>2024</v>
      </c>
      <c r="D126" s="19" t="n">
        <f aca="false">MONTH(B126)</f>
        <v>2</v>
      </c>
      <c r="E126" s="30" t="str">
        <f aca="false">INDEX(Lists!$K$2:$K$13,MATCH(D126,Lists!$J$2:$J$13,0))</f>
        <v>فبراير</v>
      </c>
      <c r="F126" s="19" t="str">
        <f aca="false">"Q"&amp;ROUNDUP(D126/3,0)</f>
        <v>Q1</v>
      </c>
      <c r="G126" s="30" t="str">
        <f aca="false">INDEX(Lists!$N$2:$N$8,MATCH(WEEKDAY(B126,2),Lists!$M$2:$M$8,0))</f>
        <v>السبت</v>
      </c>
      <c r="H126" s="30" t="s">
        <v>46</v>
      </c>
      <c r="I126" s="19" t="str">
        <f aca="false">INDEX(Lists!$B$2:$B$6,MATCH(H126,Lists!$A$2:$A$6,0))</f>
        <v>المنطقة الوسطى</v>
      </c>
      <c r="J126" s="30" t="s">
        <v>109</v>
      </c>
      <c r="K126" s="30" t="s">
        <v>192</v>
      </c>
      <c r="L126" s="31" t="n">
        <v>199</v>
      </c>
      <c r="M126" s="19" t="n">
        <v>1</v>
      </c>
      <c r="N126" s="32" t="n">
        <v>0</v>
      </c>
      <c r="O126" s="30" t="s">
        <v>48</v>
      </c>
      <c r="P126" s="30" t="s">
        <v>47</v>
      </c>
      <c r="Q126" s="30" t="s">
        <v>86</v>
      </c>
      <c r="R126" s="25" t="n">
        <f aca="false">L126*M126*(1-N126)</f>
        <v>199</v>
      </c>
    </row>
    <row r="127" customFormat="false" ht="15" hidden="false" customHeight="false" outlineLevel="0" collapsed="false">
      <c r="A127" s="30" t="s">
        <v>298</v>
      </c>
      <c r="B127" s="44" t="n">
        <v>45339</v>
      </c>
      <c r="C127" s="19" t="n">
        <f aca="false">YEAR(B127)</f>
        <v>2024</v>
      </c>
      <c r="D127" s="19" t="n">
        <f aca="false">MONTH(B127)</f>
        <v>2</v>
      </c>
      <c r="E127" s="30" t="str">
        <f aca="false">INDEX(Lists!$K$2:$K$13,MATCH(D127,Lists!$J$2:$J$13,0))</f>
        <v>فبراير</v>
      </c>
      <c r="F127" s="19" t="str">
        <f aca="false">"Q"&amp;ROUNDUP(D127/3,0)</f>
        <v>Q1</v>
      </c>
      <c r="G127" s="30" t="str">
        <f aca="false">INDEX(Lists!$N$2:$N$8,MATCH(WEEKDAY(B127,2),Lists!$M$2:$M$8,0))</f>
        <v>السبت</v>
      </c>
      <c r="H127" s="30" t="s">
        <v>46</v>
      </c>
      <c r="I127" s="19" t="str">
        <f aca="false">INDEX(Lists!$B$2:$B$6,MATCH(H127,Lists!$A$2:$A$6,0))</f>
        <v>المنطقة الوسطى</v>
      </c>
      <c r="J127" s="30" t="s">
        <v>109</v>
      </c>
      <c r="K127" s="30" t="s">
        <v>171</v>
      </c>
      <c r="L127" s="31" t="n">
        <v>129</v>
      </c>
      <c r="M127" s="19" t="n">
        <v>2</v>
      </c>
      <c r="N127" s="32" t="n">
        <v>0</v>
      </c>
      <c r="O127" s="30" t="s">
        <v>48</v>
      </c>
      <c r="P127" s="30" t="s">
        <v>47</v>
      </c>
      <c r="Q127" s="30" t="s">
        <v>92</v>
      </c>
      <c r="R127" s="25" t="n">
        <f aca="false">L127*M127*(1-N127)</f>
        <v>258</v>
      </c>
    </row>
    <row r="128" customFormat="false" ht="15" hidden="false" customHeight="false" outlineLevel="0" collapsed="false">
      <c r="A128" s="30" t="s">
        <v>299</v>
      </c>
      <c r="B128" s="44" t="n">
        <v>45340</v>
      </c>
      <c r="C128" s="19" t="n">
        <f aca="false">YEAR(B128)</f>
        <v>2024</v>
      </c>
      <c r="D128" s="19" t="n">
        <f aca="false">MONTH(B128)</f>
        <v>2</v>
      </c>
      <c r="E128" s="30" t="str">
        <f aca="false">INDEX(Lists!$K$2:$K$13,MATCH(D128,Lists!$J$2:$J$13,0))</f>
        <v>فبراير</v>
      </c>
      <c r="F128" s="19" t="str">
        <f aca="false">"Q"&amp;ROUNDUP(D128/3,0)</f>
        <v>Q1</v>
      </c>
      <c r="G128" s="30" t="str">
        <f aca="false">INDEX(Lists!$N$2:$N$8,MATCH(WEEKDAY(B128,2),Lists!$M$2:$M$8,0))</f>
        <v>الأحد</v>
      </c>
      <c r="H128" s="30" t="s">
        <v>60</v>
      </c>
      <c r="I128" s="19" t="str">
        <f aca="false">INDEX(Lists!$B$2:$B$6,MATCH(H128,Lists!$A$2:$A$6,0))</f>
        <v>المنطقة الغربية</v>
      </c>
      <c r="J128" s="30" t="s">
        <v>107</v>
      </c>
      <c r="K128" s="30" t="s">
        <v>115</v>
      </c>
      <c r="L128" s="31" t="n">
        <v>1849</v>
      </c>
      <c r="M128" s="19" t="n">
        <v>1</v>
      </c>
      <c r="N128" s="32" t="n">
        <v>0.05</v>
      </c>
      <c r="O128" s="30" t="s">
        <v>48</v>
      </c>
      <c r="P128" s="30" t="s">
        <v>47</v>
      </c>
      <c r="Q128" s="30" t="s">
        <v>78</v>
      </c>
      <c r="R128" s="25" t="n">
        <f aca="false">L128*M128*(1-N128)</f>
        <v>1756.55</v>
      </c>
    </row>
    <row r="129" customFormat="false" ht="15" hidden="false" customHeight="false" outlineLevel="0" collapsed="false">
      <c r="A129" s="30" t="s">
        <v>300</v>
      </c>
      <c r="B129" s="44" t="n">
        <v>45341</v>
      </c>
      <c r="C129" s="19" t="n">
        <f aca="false">YEAR(B129)</f>
        <v>2024</v>
      </c>
      <c r="D129" s="19" t="n">
        <f aca="false">MONTH(B129)</f>
        <v>2</v>
      </c>
      <c r="E129" s="30" t="str">
        <f aca="false">INDEX(Lists!$K$2:$K$13,MATCH(D129,Lists!$J$2:$J$13,0))</f>
        <v>فبراير</v>
      </c>
      <c r="F129" s="19" t="str">
        <f aca="false">"Q"&amp;ROUNDUP(D129/3,0)</f>
        <v>Q1</v>
      </c>
      <c r="G129" s="30" t="str">
        <f aca="false">INDEX(Lists!$N$2:$N$8,MATCH(WEEKDAY(B129,2),Lists!$M$2:$M$8,0))</f>
        <v>الإثنين</v>
      </c>
      <c r="H129" s="30" t="s">
        <v>50</v>
      </c>
      <c r="I129" s="19" t="str">
        <f aca="false">INDEX(Lists!$B$2:$B$6,MATCH(H129,Lists!$A$2:$A$6,0))</f>
        <v>المنطقة الغربية</v>
      </c>
      <c r="J129" s="30" t="s">
        <v>111</v>
      </c>
      <c r="K129" s="30" t="s">
        <v>122</v>
      </c>
      <c r="L129" s="31" t="n">
        <v>449</v>
      </c>
      <c r="M129" s="19" t="n">
        <v>1</v>
      </c>
      <c r="N129" s="32" t="n">
        <v>0</v>
      </c>
      <c r="O129" s="30" t="s">
        <v>48</v>
      </c>
      <c r="P129" s="30" t="s">
        <v>47</v>
      </c>
      <c r="Q129" s="30" t="s">
        <v>84</v>
      </c>
      <c r="R129" s="25" t="n">
        <f aca="false">L129*M129*(1-N129)</f>
        <v>449</v>
      </c>
    </row>
    <row r="130" customFormat="false" ht="15" hidden="false" customHeight="false" outlineLevel="0" collapsed="false">
      <c r="A130" s="30" t="s">
        <v>301</v>
      </c>
      <c r="B130" s="44" t="n">
        <v>45341</v>
      </c>
      <c r="C130" s="19" t="n">
        <f aca="false">YEAR(B130)</f>
        <v>2024</v>
      </c>
      <c r="D130" s="19" t="n">
        <f aca="false">MONTH(B130)</f>
        <v>2</v>
      </c>
      <c r="E130" s="30" t="str">
        <f aca="false">INDEX(Lists!$K$2:$K$13,MATCH(D130,Lists!$J$2:$J$13,0))</f>
        <v>فبراير</v>
      </c>
      <c r="F130" s="19" t="str">
        <f aca="false">"Q"&amp;ROUNDUP(D130/3,0)</f>
        <v>Q1</v>
      </c>
      <c r="G130" s="30" t="str">
        <f aca="false">INDEX(Lists!$N$2:$N$8,MATCH(WEEKDAY(B130,2),Lists!$M$2:$M$8,0))</f>
        <v>الإثنين</v>
      </c>
      <c r="H130" s="30" t="s">
        <v>57</v>
      </c>
      <c r="I130" s="19" t="str">
        <f aca="false">INDEX(Lists!$B$2:$B$6,MATCH(H130,Lists!$A$2:$A$6,0))</f>
        <v>المنطقة الغربية</v>
      </c>
      <c r="J130" s="30" t="s">
        <v>105</v>
      </c>
      <c r="K130" s="30" t="s">
        <v>82</v>
      </c>
      <c r="L130" s="31" t="n">
        <v>3679</v>
      </c>
      <c r="M130" s="19" t="n">
        <v>5</v>
      </c>
      <c r="N130" s="32" t="n">
        <v>0.05</v>
      </c>
      <c r="O130" s="30" t="s">
        <v>52</v>
      </c>
      <c r="P130" s="30" t="s">
        <v>51</v>
      </c>
      <c r="Q130" s="30" t="s">
        <v>94</v>
      </c>
      <c r="R130" s="25" t="n">
        <f aca="false">L130*M130*(1-N130)</f>
        <v>17475.25</v>
      </c>
    </row>
    <row r="131" customFormat="false" ht="15" hidden="false" customHeight="false" outlineLevel="0" collapsed="false">
      <c r="A131" s="30" t="s">
        <v>302</v>
      </c>
      <c r="B131" s="44" t="n">
        <v>45341</v>
      </c>
      <c r="C131" s="19" t="n">
        <f aca="false">YEAR(B131)</f>
        <v>2024</v>
      </c>
      <c r="D131" s="19" t="n">
        <f aca="false">MONTH(B131)</f>
        <v>2</v>
      </c>
      <c r="E131" s="30" t="str">
        <f aca="false">INDEX(Lists!$K$2:$K$13,MATCH(D131,Lists!$J$2:$J$13,0))</f>
        <v>فبراير</v>
      </c>
      <c r="F131" s="19" t="str">
        <f aca="false">"Q"&amp;ROUNDUP(D131/3,0)</f>
        <v>Q1</v>
      </c>
      <c r="G131" s="30" t="str">
        <f aca="false">INDEX(Lists!$N$2:$N$8,MATCH(WEEKDAY(B131,2),Lists!$M$2:$M$8,0))</f>
        <v>الإثنين</v>
      </c>
      <c r="H131" s="30" t="s">
        <v>50</v>
      </c>
      <c r="I131" s="19" t="str">
        <f aca="false">INDEX(Lists!$B$2:$B$6,MATCH(H131,Lists!$A$2:$A$6,0))</f>
        <v>المنطقة الغربية</v>
      </c>
      <c r="J131" s="30" t="s">
        <v>113</v>
      </c>
      <c r="K131" s="30" t="s">
        <v>95</v>
      </c>
      <c r="L131" s="31" t="n">
        <v>459</v>
      </c>
      <c r="M131" s="19" t="n">
        <v>5</v>
      </c>
      <c r="N131" s="32" t="n">
        <v>0</v>
      </c>
      <c r="O131" s="30" t="s">
        <v>58</v>
      </c>
      <c r="P131" s="30" t="s">
        <v>51</v>
      </c>
      <c r="Q131" s="30" t="s">
        <v>99</v>
      </c>
      <c r="R131" s="25" t="n">
        <f aca="false">L131*M131*(1-N131)</f>
        <v>2295</v>
      </c>
    </row>
    <row r="132" customFormat="false" ht="15" hidden="false" customHeight="false" outlineLevel="0" collapsed="false">
      <c r="A132" s="30" t="s">
        <v>303</v>
      </c>
      <c r="B132" s="44" t="n">
        <v>45342</v>
      </c>
      <c r="C132" s="19" t="n">
        <f aca="false">YEAR(B132)</f>
        <v>2024</v>
      </c>
      <c r="D132" s="19" t="n">
        <f aca="false">MONTH(B132)</f>
        <v>2</v>
      </c>
      <c r="E132" s="30" t="str">
        <f aca="false">INDEX(Lists!$K$2:$K$13,MATCH(D132,Lists!$J$2:$J$13,0))</f>
        <v>فبراير</v>
      </c>
      <c r="F132" s="19" t="str">
        <f aca="false">"Q"&amp;ROUNDUP(D132/3,0)</f>
        <v>Q1</v>
      </c>
      <c r="G132" s="30" t="str">
        <f aca="false">INDEX(Lists!$N$2:$N$8,MATCH(WEEKDAY(B132,2),Lists!$M$2:$M$8,0))</f>
        <v>الثلاثاء</v>
      </c>
      <c r="H132" s="30" t="s">
        <v>57</v>
      </c>
      <c r="I132" s="19" t="str">
        <f aca="false">INDEX(Lists!$B$2:$B$6,MATCH(H132,Lists!$A$2:$A$6,0))</f>
        <v>المنطقة الغربية</v>
      </c>
      <c r="J132" s="30" t="s">
        <v>111</v>
      </c>
      <c r="K132" s="30" t="s">
        <v>118</v>
      </c>
      <c r="L132" s="31" t="n">
        <v>119</v>
      </c>
      <c r="M132" s="19" t="n">
        <v>1</v>
      </c>
      <c r="N132" s="32" t="n">
        <v>0</v>
      </c>
      <c r="O132" s="30" t="s">
        <v>52</v>
      </c>
      <c r="P132" s="30" t="s">
        <v>47</v>
      </c>
      <c r="Q132" s="30" t="s">
        <v>78</v>
      </c>
      <c r="R132" s="25" t="n">
        <f aca="false">L132*M132*(1-N132)</f>
        <v>119</v>
      </c>
    </row>
    <row r="133" customFormat="false" ht="15" hidden="false" customHeight="false" outlineLevel="0" collapsed="false">
      <c r="A133" s="30" t="s">
        <v>304</v>
      </c>
      <c r="B133" s="44" t="n">
        <v>45342</v>
      </c>
      <c r="C133" s="19" t="n">
        <f aca="false">YEAR(B133)</f>
        <v>2024</v>
      </c>
      <c r="D133" s="19" t="n">
        <f aca="false">MONTH(B133)</f>
        <v>2</v>
      </c>
      <c r="E133" s="30" t="str">
        <f aca="false">INDEX(Lists!$K$2:$K$13,MATCH(D133,Lists!$J$2:$J$13,0))</f>
        <v>فبراير</v>
      </c>
      <c r="F133" s="19" t="str">
        <f aca="false">"Q"&amp;ROUNDUP(D133/3,0)</f>
        <v>Q1</v>
      </c>
      <c r="G133" s="30" t="str">
        <f aca="false">INDEX(Lists!$N$2:$N$8,MATCH(WEEKDAY(B133,2),Lists!$M$2:$M$8,0))</f>
        <v>الثلاثاء</v>
      </c>
      <c r="H133" s="30" t="s">
        <v>46</v>
      </c>
      <c r="I133" s="19" t="str">
        <f aca="false">INDEX(Lists!$B$2:$B$6,MATCH(H133,Lists!$A$2:$A$6,0))</f>
        <v>المنطقة الوسطى</v>
      </c>
      <c r="J133" s="30" t="s">
        <v>105</v>
      </c>
      <c r="K133" s="30" t="s">
        <v>179</v>
      </c>
      <c r="L133" s="31" t="n">
        <v>3959</v>
      </c>
      <c r="M133" s="19" t="n">
        <v>1</v>
      </c>
      <c r="N133" s="32" t="n">
        <v>0</v>
      </c>
      <c r="O133" s="30" t="s">
        <v>52</v>
      </c>
      <c r="P133" s="30" t="s">
        <v>47</v>
      </c>
      <c r="Q133" s="30" t="s">
        <v>78</v>
      </c>
      <c r="R133" s="25" t="n">
        <f aca="false">L133*M133*(1-N133)</f>
        <v>3959</v>
      </c>
    </row>
    <row r="134" customFormat="false" ht="15" hidden="false" customHeight="false" outlineLevel="0" collapsed="false">
      <c r="A134" s="30" t="s">
        <v>305</v>
      </c>
      <c r="B134" s="44" t="n">
        <v>45342</v>
      </c>
      <c r="C134" s="19" t="n">
        <f aca="false">YEAR(B134)</f>
        <v>2024</v>
      </c>
      <c r="D134" s="19" t="n">
        <f aca="false">MONTH(B134)</f>
        <v>2</v>
      </c>
      <c r="E134" s="30" t="str">
        <f aca="false">INDEX(Lists!$K$2:$K$13,MATCH(D134,Lists!$J$2:$J$13,0))</f>
        <v>فبراير</v>
      </c>
      <c r="F134" s="19" t="str">
        <f aca="false">"Q"&amp;ROUNDUP(D134/3,0)</f>
        <v>Q1</v>
      </c>
      <c r="G134" s="30" t="str">
        <f aca="false">INDEX(Lists!$N$2:$N$8,MATCH(WEEKDAY(B134,2),Lists!$M$2:$M$8,0))</f>
        <v>الثلاثاء</v>
      </c>
      <c r="H134" s="30" t="s">
        <v>54</v>
      </c>
      <c r="I134" s="19" t="str">
        <f aca="false">INDEX(Lists!$B$2:$B$6,MATCH(H134,Lists!$A$2:$A$6,0))</f>
        <v>المنطقة الشرقية</v>
      </c>
      <c r="J134" s="30" t="s">
        <v>107</v>
      </c>
      <c r="K134" s="30" t="s">
        <v>272</v>
      </c>
      <c r="L134" s="31" t="n">
        <v>7189</v>
      </c>
      <c r="M134" s="19" t="n">
        <v>1</v>
      </c>
      <c r="N134" s="32" t="n">
        <v>0</v>
      </c>
      <c r="O134" s="30" t="s">
        <v>58</v>
      </c>
      <c r="P134" s="30" t="s">
        <v>47</v>
      </c>
      <c r="Q134" s="30" t="s">
        <v>94</v>
      </c>
      <c r="R134" s="25" t="n">
        <f aca="false">L134*M134*(1-N134)</f>
        <v>7189</v>
      </c>
    </row>
    <row r="135" customFormat="false" ht="15" hidden="false" customHeight="false" outlineLevel="0" collapsed="false">
      <c r="A135" s="30" t="s">
        <v>306</v>
      </c>
      <c r="B135" s="44" t="n">
        <v>45342</v>
      </c>
      <c r="C135" s="19" t="n">
        <f aca="false">YEAR(B135)</f>
        <v>2024</v>
      </c>
      <c r="D135" s="19" t="n">
        <f aca="false">MONTH(B135)</f>
        <v>2</v>
      </c>
      <c r="E135" s="30" t="str">
        <f aca="false">INDEX(Lists!$K$2:$K$13,MATCH(D135,Lists!$J$2:$J$13,0))</f>
        <v>فبراير</v>
      </c>
      <c r="F135" s="19" t="str">
        <f aca="false">"Q"&amp;ROUNDUP(D135/3,0)</f>
        <v>Q1</v>
      </c>
      <c r="G135" s="30" t="str">
        <f aca="false">INDEX(Lists!$N$2:$N$8,MATCH(WEEKDAY(B135,2),Lists!$M$2:$M$8,0))</f>
        <v>الثلاثاء</v>
      </c>
      <c r="H135" s="30" t="s">
        <v>60</v>
      </c>
      <c r="I135" s="19" t="str">
        <f aca="false">INDEX(Lists!$B$2:$B$6,MATCH(H135,Lists!$A$2:$A$6,0))</f>
        <v>المنطقة الغربية</v>
      </c>
      <c r="J135" s="30" t="s">
        <v>107</v>
      </c>
      <c r="K135" s="30" t="s">
        <v>115</v>
      </c>
      <c r="L135" s="31" t="n">
        <v>3779</v>
      </c>
      <c r="M135" s="19" t="n">
        <v>1</v>
      </c>
      <c r="N135" s="32" t="n">
        <v>0.1</v>
      </c>
      <c r="O135" s="30" t="s">
        <v>52</v>
      </c>
      <c r="P135" s="30" t="s">
        <v>47</v>
      </c>
      <c r="Q135" s="30" t="s">
        <v>89</v>
      </c>
      <c r="R135" s="25" t="n">
        <f aca="false">L135*M135*(1-N135)</f>
        <v>3401.1</v>
      </c>
    </row>
    <row r="136" customFormat="false" ht="15" hidden="false" customHeight="false" outlineLevel="0" collapsed="false">
      <c r="A136" s="30" t="s">
        <v>307</v>
      </c>
      <c r="B136" s="44" t="n">
        <v>45343</v>
      </c>
      <c r="C136" s="19" t="n">
        <f aca="false">YEAR(B136)</f>
        <v>2024</v>
      </c>
      <c r="D136" s="19" t="n">
        <f aca="false">MONTH(B136)</f>
        <v>2</v>
      </c>
      <c r="E136" s="30" t="str">
        <f aca="false">INDEX(Lists!$K$2:$K$13,MATCH(D136,Lists!$J$2:$J$13,0))</f>
        <v>فبراير</v>
      </c>
      <c r="F136" s="19" t="str">
        <f aca="false">"Q"&amp;ROUNDUP(D136/3,0)</f>
        <v>Q1</v>
      </c>
      <c r="G136" s="30" t="str">
        <f aca="false">INDEX(Lists!$N$2:$N$8,MATCH(WEEKDAY(B136,2),Lists!$M$2:$M$8,0))</f>
        <v>الأربعاء</v>
      </c>
      <c r="H136" s="30" t="s">
        <v>46</v>
      </c>
      <c r="I136" s="19" t="str">
        <f aca="false">INDEX(Lists!$B$2:$B$6,MATCH(H136,Lists!$A$2:$A$6,0))</f>
        <v>المنطقة الوسطى</v>
      </c>
      <c r="J136" s="30" t="s">
        <v>107</v>
      </c>
      <c r="K136" s="30" t="s">
        <v>272</v>
      </c>
      <c r="L136" s="31" t="n">
        <v>5779</v>
      </c>
      <c r="M136" s="19" t="n">
        <v>2</v>
      </c>
      <c r="N136" s="32" t="n">
        <v>0</v>
      </c>
      <c r="O136" s="30" t="s">
        <v>52</v>
      </c>
      <c r="P136" s="30" t="s">
        <v>51</v>
      </c>
      <c r="Q136" s="30" t="s">
        <v>99</v>
      </c>
      <c r="R136" s="25" t="n">
        <f aca="false">L136*M136*(1-N136)</f>
        <v>11558</v>
      </c>
    </row>
    <row r="137" customFormat="false" ht="15" hidden="false" customHeight="false" outlineLevel="0" collapsed="false">
      <c r="A137" s="30" t="s">
        <v>308</v>
      </c>
      <c r="B137" s="44" t="n">
        <v>45344</v>
      </c>
      <c r="C137" s="19" t="n">
        <f aca="false">YEAR(B137)</f>
        <v>2024</v>
      </c>
      <c r="D137" s="19" t="n">
        <f aca="false">MONTH(B137)</f>
        <v>2</v>
      </c>
      <c r="E137" s="30" t="str">
        <f aca="false">INDEX(Lists!$K$2:$K$13,MATCH(D137,Lists!$J$2:$J$13,0))</f>
        <v>فبراير</v>
      </c>
      <c r="F137" s="19" t="str">
        <f aca="false">"Q"&amp;ROUNDUP(D137/3,0)</f>
        <v>Q1</v>
      </c>
      <c r="G137" s="30" t="str">
        <f aca="false">INDEX(Lists!$N$2:$N$8,MATCH(WEEKDAY(B137,2),Lists!$M$2:$M$8,0))</f>
        <v>الخميس</v>
      </c>
      <c r="H137" s="30" t="s">
        <v>54</v>
      </c>
      <c r="I137" s="19" t="str">
        <f aca="false">INDEX(Lists!$B$2:$B$6,MATCH(H137,Lists!$A$2:$A$6,0))</f>
        <v>المنطقة الشرقية</v>
      </c>
      <c r="J137" s="30" t="s">
        <v>111</v>
      </c>
      <c r="K137" s="30" t="s">
        <v>122</v>
      </c>
      <c r="L137" s="31" t="n">
        <v>379</v>
      </c>
      <c r="M137" s="19" t="n">
        <v>1</v>
      </c>
      <c r="N137" s="32" t="n">
        <v>0.05</v>
      </c>
      <c r="O137" s="30" t="s">
        <v>52</v>
      </c>
      <c r="P137" s="30" t="s">
        <v>47</v>
      </c>
      <c r="Q137" s="30" t="s">
        <v>86</v>
      </c>
      <c r="R137" s="25" t="n">
        <f aca="false">L137*M137*(1-N137)</f>
        <v>360.05</v>
      </c>
    </row>
    <row r="138" customFormat="false" ht="15" hidden="false" customHeight="false" outlineLevel="0" collapsed="false">
      <c r="A138" s="30" t="s">
        <v>309</v>
      </c>
      <c r="B138" s="44" t="n">
        <v>45346</v>
      </c>
      <c r="C138" s="19" t="n">
        <f aca="false">YEAR(B138)</f>
        <v>2024</v>
      </c>
      <c r="D138" s="19" t="n">
        <f aca="false">MONTH(B138)</f>
        <v>2</v>
      </c>
      <c r="E138" s="30" t="str">
        <f aca="false">INDEX(Lists!$K$2:$K$13,MATCH(D138,Lists!$J$2:$J$13,0))</f>
        <v>فبراير</v>
      </c>
      <c r="F138" s="19" t="str">
        <f aca="false">"Q"&amp;ROUNDUP(D138/3,0)</f>
        <v>Q1</v>
      </c>
      <c r="G138" s="30" t="str">
        <f aca="false">INDEX(Lists!$N$2:$N$8,MATCH(WEEKDAY(B138,2),Lists!$M$2:$M$8,0))</f>
        <v>السبت</v>
      </c>
      <c r="H138" s="30" t="s">
        <v>60</v>
      </c>
      <c r="I138" s="19" t="str">
        <f aca="false">INDEX(Lists!$B$2:$B$6,MATCH(H138,Lists!$A$2:$A$6,0))</f>
        <v>المنطقة الغربية</v>
      </c>
      <c r="J138" s="30" t="s">
        <v>107</v>
      </c>
      <c r="K138" s="30" t="s">
        <v>184</v>
      </c>
      <c r="L138" s="31" t="n">
        <v>3099</v>
      </c>
      <c r="M138" s="19" t="n">
        <v>1</v>
      </c>
      <c r="N138" s="32" t="n">
        <v>0.05</v>
      </c>
      <c r="O138" s="30" t="s">
        <v>52</v>
      </c>
      <c r="P138" s="30" t="s">
        <v>47</v>
      </c>
      <c r="Q138" s="30" t="s">
        <v>86</v>
      </c>
      <c r="R138" s="25" t="n">
        <f aca="false">L138*M138*(1-N138)</f>
        <v>2944.05</v>
      </c>
    </row>
    <row r="139" customFormat="false" ht="15" hidden="false" customHeight="false" outlineLevel="0" collapsed="false">
      <c r="A139" s="30" t="s">
        <v>310</v>
      </c>
      <c r="B139" s="44" t="n">
        <v>45346</v>
      </c>
      <c r="C139" s="19" t="n">
        <f aca="false">YEAR(B139)</f>
        <v>2024</v>
      </c>
      <c r="D139" s="19" t="n">
        <f aca="false">MONTH(B139)</f>
        <v>2</v>
      </c>
      <c r="E139" s="30" t="str">
        <f aca="false">INDEX(Lists!$K$2:$K$13,MATCH(D139,Lists!$J$2:$J$13,0))</f>
        <v>فبراير</v>
      </c>
      <c r="F139" s="19" t="str">
        <f aca="false">"Q"&amp;ROUNDUP(D139/3,0)</f>
        <v>Q1</v>
      </c>
      <c r="G139" s="30" t="str">
        <f aca="false">INDEX(Lists!$N$2:$N$8,MATCH(WEEKDAY(B139,2),Lists!$M$2:$M$8,0))</f>
        <v>السبت</v>
      </c>
      <c r="H139" s="30" t="s">
        <v>46</v>
      </c>
      <c r="I139" s="19" t="str">
        <f aca="false">INDEX(Lists!$B$2:$B$6,MATCH(H139,Lists!$A$2:$A$6,0))</f>
        <v>المنطقة الوسطى</v>
      </c>
      <c r="J139" s="30" t="s">
        <v>109</v>
      </c>
      <c r="K139" s="30" t="s">
        <v>171</v>
      </c>
      <c r="L139" s="31" t="n">
        <v>89</v>
      </c>
      <c r="M139" s="19" t="n">
        <v>1</v>
      </c>
      <c r="N139" s="32" t="n">
        <v>0.2</v>
      </c>
      <c r="O139" s="30" t="s">
        <v>55</v>
      </c>
      <c r="P139" s="30" t="s">
        <v>47</v>
      </c>
      <c r="Q139" s="30" t="s">
        <v>84</v>
      </c>
      <c r="R139" s="25" t="n">
        <f aca="false">L139*M139*(1-N139)</f>
        <v>71.2</v>
      </c>
    </row>
    <row r="140" customFormat="false" ht="15" hidden="false" customHeight="false" outlineLevel="0" collapsed="false">
      <c r="A140" s="30" t="s">
        <v>311</v>
      </c>
      <c r="B140" s="44" t="n">
        <v>45347</v>
      </c>
      <c r="C140" s="19" t="n">
        <f aca="false">YEAR(B140)</f>
        <v>2024</v>
      </c>
      <c r="D140" s="19" t="n">
        <f aca="false">MONTH(B140)</f>
        <v>2</v>
      </c>
      <c r="E140" s="30" t="str">
        <f aca="false">INDEX(Lists!$K$2:$K$13,MATCH(D140,Lists!$J$2:$J$13,0))</f>
        <v>فبراير</v>
      </c>
      <c r="F140" s="19" t="str">
        <f aca="false">"Q"&amp;ROUNDUP(D140/3,0)</f>
        <v>Q1</v>
      </c>
      <c r="G140" s="30" t="str">
        <f aca="false">INDEX(Lists!$N$2:$N$8,MATCH(WEEKDAY(B140,2),Lists!$M$2:$M$8,0))</f>
        <v>الأحد</v>
      </c>
      <c r="H140" s="30" t="s">
        <v>57</v>
      </c>
      <c r="I140" s="19" t="str">
        <f aca="false">INDEX(Lists!$B$2:$B$6,MATCH(H140,Lists!$A$2:$A$6,0))</f>
        <v>المنطقة الغربية</v>
      </c>
      <c r="J140" s="30" t="s">
        <v>105</v>
      </c>
      <c r="K140" s="30" t="s">
        <v>79</v>
      </c>
      <c r="L140" s="31" t="n">
        <v>3309</v>
      </c>
      <c r="M140" s="19" t="n">
        <v>3</v>
      </c>
      <c r="N140" s="32" t="n">
        <v>0</v>
      </c>
      <c r="O140" s="30" t="s">
        <v>48</v>
      </c>
      <c r="P140" s="30" t="s">
        <v>47</v>
      </c>
      <c r="Q140" s="30" t="s">
        <v>86</v>
      </c>
      <c r="R140" s="25" t="n">
        <f aca="false">L140*M140*(1-N140)</f>
        <v>9927</v>
      </c>
    </row>
    <row r="141" customFormat="false" ht="15" hidden="false" customHeight="false" outlineLevel="0" collapsed="false">
      <c r="A141" s="30" t="s">
        <v>312</v>
      </c>
      <c r="B141" s="44" t="n">
        <v>45347</v>
      </c>
      <c r="C141" s="19" t="n">
        <f aca="false">YEAR(B141)</f>
        <v>2024</v>
      </c>
      <c r="D141" s="19" t="n">
        <f aca="false">MONTH(B141)</f>
        <v>2</v>
      </c>
      <c r="E141" s="30" t="str">
        <f aca="false">INDEX(Lists!$K$2:$K$13,MATCH(D141,Lists!$J$2:$J$13,0))</f>
        <v>فبراير</v>
      </c>
      <c r="F141" s="19" t="str">
        <f aca="false">"Q"&amp;ROUNDUP(D141/3,0)</f>
        <v>Q1</v>
      </c>
      <c r="G141" s="30" t="str">
        <f aca="false">INDEX(Lists!$N$2:$N$8,MATCH(WEEKDAY(B141,2),Lists!$M$2:$M$8,0))</f>
        <v>الأحد</v>
      </c>
      <c r="H141" s="30" t="s">
        <v>46</v>
      </c>
      <c r="I141" s="19" t="str">
        <f aca="false">INDEX(Lists!$B$2:$B$6,MATCH(H141,Lists!$A$2:$A$6,0))</f>
        <v>المنطقة الوسطى</v>
      </c>
      <c r="J141" s="30" t="s">
        <v>111</v>
      </c>
      <c r="K141" s="30" t="s">
        <v>120</v>
      </c>
      <c r="L141" s="31" t="n">
        <v>329</v>
      </c>
      <c r="M141" s="19" t="n">
        <v>5</v>
      </c>
      <c r="N141" s="32" t="n">
        <v>0.05</v>
      </c>
      <c r="O141" s="30" t="s">
        <v>52</v>
      </c>
      <c r="P141" s="30" t="s">
        <v>51</v>
      </c>
      <c r="Q141" s="30" t="s">
        <v>86</v>
      </c>
      <c r="R141" s="25" t="n">
        <f aca="false">L141*M141*(1-N141)</f>
        <v>1562.75</v>
      </c>
    </row>
    <row r="142" customFormat="false" ht="15" hidden="false" customHeight="false" outlineLevel="0" collapsed="false">
      <c r="A142" s="30" t="s">
        <v>313</v>
      </c>
      <c r="B142" s="44" t="n">
        <v>45347</v>
      </c>
      <c r="C142" s="19" t="n">
        <f aca="false">YEAR(B142)</f>
        <v>2024</v>
      </c>
      <c r="D142" s="19" t="n">
        <f aca="false">MONTH(B142)</f>
        <v>2</v>
      </c>
      <c r="E142" s="30" t="str">
        <f aca="false">INDEX(Lists!$K$2:$K$13,MATCH(D142,Lists!$J$2:$J$13,0))</f>
        <v>فبراير</v>
      </c>
      <c r="F142" s="19" t="str">
        <f aca="false">"Q"&amp;ROUNDUP(D142/3,0)</f>
        <v>Q1</v>
      </c>
      <c r="G142" s="30" t="str">
        <f aca="false">INDEX(Lists!$N$2:$N$8,MATCH(WEEKDAY(B142,2),Lists!$M$2:$M$8,0))</f>
        <v>الأحد</v>
      </c>
      <c r="H142" s="30" t="s">
        <v>60</v>
      </c>
      <c r="I142" s="19" t="str">
        <f aca="false">INDEX(Lists!$B$2:$B$6,MATCH(H142,Lists!$A$2:$A$6,0))</f>
        <v>المنطقة الغربية</v>
      </c>
      <c r="J142" s="30" t="s">
        <v>105</v>
      </c>
      <c r="K142" s="30" t="s">
        <v>179</v>
      </c>
      <c r="L142" s="31" t="n">
        <v>3659</v>
      </c>
      <c r="M142" s="19" t="n">
        <v>1</v>
      </c>
      <c r="N142" s="32" t="n">
        <v>0.15</v>
      </c>
      <c r="O142" s="30" t="s">
        <v>48</v>
      </c>
      <c r="P142" s="30" t="s">
        <v>47</v>
      </c>
      <c r="Q142" s="30" t="s">
        <v>96</v>
      </c>
      <c r="R142" s="25" t="n">
        <f aca="false">L142*M142*(1-N142)</f>
        <v>3110.15</v>
      </c>
    </row>
    <row r="143" customFormat="false" ht="15" hidden="false" customHeight="false" outlineLevel="0" collapsed="false">
      <c r="A143" s="30" t="s">
        <v>314</v>
      </c>
      <c r="B143" s="44" t="n">
        <v>45348</v>
      </c>
      <c r="C143" s="19" t="n">
        <f aca="false">YEAR(B143)</f>
        <v>2024</v>
      </c>
      <c r="D143" s="19" t="n">
        <f aca="false">MONTH(B143)</f>
        <v>2</v>
      </c>
      <c r="E143" s="30" t="str">
        <f aca="false">INDEX(Lists!$K$2:$K$13,MATCH(D143,Lists!$J$2:$J$13,0))</f>
        <v>فبراير</v>
      </c>
      <c r="F143" s="19" t="str">
        <f aca="false">"Q"&amp;ROUNDUP(D143/3,0)</f>
        <v>Q1</v>
      </c>
      <c r="G143" s="30" t="str">
        <f aca="false">INDEX(Lists!$N$2:$N$8,MATCH(WEEKDAY(B143,2),Lists!$M$2:$M$8,0))</f>
        <v>الإثنين</v>
      </c>
      <c r="H143" s="30" t="s">
        <v>50</v>
      </c>
      <c r="I143" s="19" t="str">
        <f aca="false">INDEX(Lists!$B$2:$B$6,MATCH(H143,Lists!$A$2:$A$6,0))</f>
        <v>المنطقة الغربية</v>
      </c>
      <c r="J143" s="30" t="s">
        <v>113</v>
      </c>
      <c r="K143" s="30" t="s">
        <v>121</v>
      </c>
      <c r="L143" s="31" t="n">
        <v>319</v>
      </c>
      <c r="M143" s="19" t="n">
        <v>5</v>
      </c>
      <c r="N143" s="32" t="n">
        <v>0</v>
      </c>
      <c r="O143" s="30" t="s">
        <v>48</v>
      </c>
      <c r="P143" s="30" t="s">
        <v>51</v>
      </c>
      <c r="Q143" s="30" t="s">
        <v>86</v>
      </c>
      <c r="R143" s="25" t="n">
        <f aca="false">L143*M143*(1-N143)</f>
        <v>1595</v>
      </c>
    </row>
    <row r="144" customFormat="false" ht="15" hidden="false" customHeight="false" outlineLevel="0" collapsed="false">
      <c r="A144" s="30" t="s">
        <v>315</v>
      </c>
      <c r="B144" s="44" t="n">
        <v>45348</v>
      </c>
      <c r="C144" s="19" t="n">
        <f aca="false">YEAR(B144)</f>
        <v>2024</v>
      </c>
      <c r="D144" s="19" t="n">
        <f aca="false">MONTH(B144)</f>
        <v>2</v>
      </c>
      <c r="E144" s="30" t="str">
        <f aca="false">INDEX(Lists!$K$2:$K$13,MATCH(D144,Lists!$J$2:$J$13,0))</f>
        <v>فبراير</v>
      </c>
      <c r="F144" s="19" t="str">
        <f aca="false">"Q"&amp;ROUNDUP(D144/3,0)</f>
        <v>Q1</v>
      </c>
      <c r="G144" s="30" t="str">
        <f aca="false">INDEX(Lists!$N$2:$N$8,MATCH(WEEKDAY(B144,2),Lists!$M$2:$M$8,0))</f>
        <v>الإثنين</v>
      </c>
      <c r="H144" s="30" t="s">
        <v>50</v>
      </c>
      <c r="I144" s="19" t="str">
        <f aca="false">INDEX(Lists!$B$2:$B$6,MATCH(H144,Lists!$A$2:$A$6,0))</f>
        <v>المنطقة الغربية</v>
      </c>
      <c r="J144" s="30" t="s">
        <v>111</v>
      </c>
      <c r="K144" s="30" t="s">
        <v>120</v>
      </c>
      <c r="L144" s="31" t="n">
        <v>169</v>
      </c>
      <c r="M144" s="19" t="n">
        <v>6</v>
      </c>
      <c r="N144" s="32" t="n">
        <v>0.05</v>
      </c>
      <c r="O144" s="30" t="s">
        <v>48</v>
      </c>
      <c r="P144" s="30" t="s">
        <v>51</v>
      </c>
      <c r="Q144" s="30" t="s">
        <v>94</v>
      </c>
      <c r="R144" s="25" t="n">
        <f aca="false">L144*M144*(1-N144)</f>
        <v>963.3</v>
      </c>
    </row>
    <row r="145" customFormat="false" ht="15" hidden="false" customHeight="false" outlineLevel="0" collapsed="false">
      <c r="A145" s="30" t="s">
        <v>316</v>
      </c>
      <c r="B145" s="44" t="n">
        <v>45348</v>
      </c>
      <c r="C145" s="19" t="n">
        <f aca="false">YEAR(B145)</f>
        <v>2024</v>
      </c>
      <c r="D145" s="19" t="n">
        <f aca="false">MONTH(B145)</f>
        <v>2</v>
      </c>
      <c r="E145" s="30" t="str">
        <f aca="false">INDEX(Lists!$K$2:$K$13,MATCH(D145,Lists!$J$2:$J$13,0))</f>
        <v>فبراير</v>
      </c>
      <c r="F145" s="19" t="str">
        <f aca="false">"Q"&amp;ROUNDUP(D145/3,0)</f>
        <v>Q1</v>
      </c>
      <c r="G145" s="30" t="str">
        <f aca="false">INDEX(Lists!$N$2:$N$8,MATCH(WEEKDAY(B145,2),Lists!$M$2:$M$8,0))</f>
        <v>الإثنين</v>
      </c>
      <c r="H145" s="30" t="s">
        <v>50</v>
      </c>
      <c r="I145" s="19" t="str">
        <f aca="false">INDEX(Lists!$B$2:$B$6,MATCH(H145,Lists!$A$2:$A$6,0))</f>
        <v>المنطقة الغربية</v>
      </c>
      <c r="J145" s="30" t="s">
        <v>113</v>
      </c>
      <c r="K145" s="30" t="s">
        <v>100</v>
      </c>
      <c r="L145" s="31" t="n">
        <v>249</v>
      </c>
      <c r="M145" s="19" t="n">
        <v>1</v>
      </c>
      <c r="N145" s="32" t="n">
        <v>0</v>
      </c>
      <c r="O145" s="30" t="s">
        <v>52</v>
      </c>
      <c r="P145" s="30" t="s">
        <v>47</v>
      </c>
      <c r="Q145" s="30" t="s">
        <v>81</v>
      </c>
      <c r="R145" s="25" t="n">
        <f aca="false">L145*M145*(1-N145)</f>
        <v>249</v>
      </c>
    </row>
    <row r="146" customFormat="false" ht="15" hidden="false" customHeight="false" outlineLevel="0" collapsed="false">
      <c r="A146" s="30" t="s">
        <v>317</v>
      </c>
      <c r="B146" s="44" t="n">
        <v>45349</v>
      </c>
      <c r="C146" s="19" t="n">
        <f aca="false">YEAR(B146)</f>
        <v>2024</v>
      </c>
      <c r="D146" s="19" t="n">
        <f aca="false">MONTH(B146)</f>
        <v>2</v>
      </c>
      <c r="E146" s="30" t="str">
        <f aca="false">INDEX(Lists!$K$2:$K$13,MATCH(D146,Lists!$J$2:$J$13,0))</f>
        <v>فبراير</v>
      </c>
      <c r="F146" s="19" t="str">
        <f aca="false">"Q"&amp;ROUNDUP(D146/3,0)</f>
        <v>Q1</v>
      </c>
      <c r="G146" s="30" t="str">
        <f aca="false">INDEX(Lists!$N$2:$N$8,MATCH(WEEKDAY(B146,2),Lists!$M$2:$M$8,0))</f>
        <v>الثلاثاء</v>
      </c>
      <c r="H146" s="30" t="s">
        <v>54</v>
      </c>
      <c r="I146" s="19" t="str">
        <f aca="false">INDEX(Lists!$B$2:$B$6,MATCH(H146,Lists!$A$2:$A$6,0))</f>
        <v>المنطقة الشرقية</v>
      </c>
      <c r="J146" s="30" t="s">
        <v>105</v>
      </c>
      <c r="K146" s="30" t="s">
        <v>79</v>
      </c>
      <c r="L146" s="31" t="n">
        <v>1159</v>
      </c>
      <c r="M146" s="19" t="n">
        <v>3</v>
      </c>
      <c r="N146" s="32" t="n">
        <v>0.1</v>
      </c>
      <c r="O146" s="30" t="s">
        <v>48</v>
      </c>
      <c r="P146" s="30" t="s">
        <v>47</v>
      </c>
      <c r="Q146" s="30" t="s">
        <v>96</v>
      </c>
      <c r="R146" s="25" t="n">
        <f aca="false">L146*M146*(1-N146)</f>
        <v>3129.3</v>
      </c>
    </row>
    <row r="147" customFormat="false" ht="15" hidden="false" customHeight="false" outlineLevel="0" collapsed="false">
      <c r="A147" s="30" t="s">
        <v>318</v>
      </c>
      <c r="B147" s="44" t="n">
        <v>45349</v>
      </c>
      <c r="C147" s="19" t="n">
        <f aca="false">YEAR(B147)</f>
        <v>2024</v>
      </c>
      <c r="D147" s="19" t="n">
        <f aca="false">MONTH(B147)</f>
        <v>2</v>
      </c>
      <c r="E147" s="30" t="str">
        <f aca="false">INDEX(Lists!$K$2:$K$13,MATCH(D147,Lists!$J$2:$J$13,0))</f>
        <v>فبراير</v>
      </c>
      <c r="F147" s="19" t="str">
        <f aca="false">"Q"&amp;ROUNDUP(D147/3,0)</f>
        <v>Q1</v>
      </c>
      <c r="G147" s="30" t="str">
        <f aca="false">INDEX(Lists!$N$2:$N$8,MATCH(WEEKDAY(B147,2),Lists!$M$2:$M$8,0))</f>
        <v>الثلاثاء</v>
      </c>
      <c r="H147" s="30" t="s">
        <v>46</v>
      </c>
      <c r="I147" s="19" t="str">
        <f aca="false">INDEX(Lists!$B$2:$B$6,MATCH(H147,Lists!$A$2:$A$6,0))</f>
        <v>المنطقة الوسطى</v>
      </c>
      <c r="J147" s="30" t="s">
        <v>105</v>
      </c>
      <c r="K147" s="30" t="s">
        <v>82</v>
      </c>
      <c r="L147" s="31" t="n">
        <v>4449</v>
      </c>
      <c r="M147" s="19" t="n">
        <v>1</v>
      </c>
      <c r="N147" s="32" t="n">
        <v>0</v>
      </c>
      <c r="O147" s="30" t="s">
        <v>52</v>
      </c>
      <c r="P147" s="30" t="s">
        <v>47</v>
      </c>
      <c r="Q147" s="30" t="s">
        <v>86</v>
      </c>
      <c r="R147" s="25" t="n">
        <f aca="false">L147*M147*(1-N147)</f>
        <v>4449</v>
      </c>
    </row>
    <row r="148" customFormat="false" ht="15" hidden="false" customHeight="false" outlineLevel="0" collapsed="false">
      <c r="A148" s="30" t="s">
        <v>319</v>
      </c>
      <c r="B148" s="44" t="n">
        <v>45349</v>
      </c>
      <c r="C148" s="19" t="n">
        <f aca="false">YEAR(B148)</f>
        <v>2024</v>
      </c>
      <c r="D148" s="19" t="n">
        <f aca="false">MONTH(B148)</f>
        <v>2</v>
      </c>
      <c r="E148" s="30" t="str">
        <f aca="false">INDEX(Lists!$K$2:$K$13,MATCH(D148,Lists!$J$2:$J$13,0))</f>
        <v>فبراير</v>
      </c>
      <c r="F148" s="19" t="str">
        <f aca="false">"Q"&amp;ROUNDUP(D148/3,0)</f>
        <v>Q1</v>
      </c>
      <c r="G148" s="30" t="str">
        <f aca="false">INDEX(Lists!$N$2:$N$8,MATCH(WEEKDAY(B148,2),Lists!$M$2:$M$8,0))</f>
        <v>الثلاثاء</v>
      </c>
      <c r="H148" s="30" t="s">
        <v>50</v>
      </c>
      <c r="I148" s="19" t="str">
        <f aca="false">INDEX(Lists!$B$2:$B$6,MATCH(H148,Lists!$A$2:$A$6,0))</f>
        <v>المنطقة الغربية</v>
      </c>
      <c r="J148" s="30" t="s">
        <v>111</v>
      </c>
      <c r="K148" s="30" t="s">
        <v>122</v>
      </c>
      <c r="L148" s="31" t="n">
        <v>209</v>
      </c>
      <c r="M148" s="19" t="n">
        <v>1</v>
      </c>
      <c r="N148" s="32" t="n">
        <v>0.15</v>
      </c>
      <c r="O148" s="30" t="s">
        <v>52</v>
      </c>
      <c r="P148" s="30" t="s">
        <v>47</v>
      </c>
      <c r="Q148" s="30" t="s">
        <v>84</v>
      </c>
      <c r="R148" s="25" t="n">
        <f aca="false">L148*M148*(1-N148)</f>
        <v>177.65</v>
      </c>
    </row>
    <row r="149" customFormat="false" ht="15" hidden="false" customHeight="false" outlineLevel="0" collapsed="false">
      <c r="A149" s="30" t="s">
        <v>320</v>
      </c>
      <c r="B149" s="44" t="n">
        <v>45349</v>
      </c>
      <c r="C149" s="19" t="n">
        <f aca="false">YEAR(B149)</f>
        <v>2024</v>
      </c>
      <c r="D149" s="19" t="n">
        <f aca="false">MONTH(B149)</f>
        <v>2</v>
      </c>
      <c r="E149" s="30" t="str">
        <f aca="false">INDEX(Lists!$K$2:$K$13,MATCH(D149,Lists!$J$2:$J$13,0))</f>
        <v>فبراير</v>
      </c>
      <c r="F149" s="19" t="str">
        <f aca="false">"Q"&amp;ROUNDUP(D149/3,0)</f>
        <v>Q1</v>
      </c>
      <c r="G149" s="30" t="str">
        <f aca="false">INDEX(Lists!$N$2:$N$8,MATCH(WEEKDAY(B149,2),Lists!$M$2:$M$8,0))</f>
        <v>الثلاثاء</v>
      </c>
      <c r="H149" s="30" t="s">
        <v>54</v>
      </c>
      <c r="I149" s="19" t="str">
        <f aca="false">INDEX(Lists!$B$2:$B$6,MATCH(H149,Lists!$A$2:$A$6,0))</f>
        <v>المنطقة الشرقية</v>
      </c>
      <c r="J149" s="30" t="s">
        <v>113</v>
      </c>
      <c r="K149" s="30" t="s">
        <v>95</v>
      </c>
      <c r="L149" s="31" t="n">
        <v>99</v>
      </c>
      <c r="M149" s="19" t="n">
        <v>1</v>
      </c>
      <c r="N149" s="32" t="n">
        <v>0</v>
      </c>
      <c r="O149" s="30" t="s">
        <v>58</v>
      </c>
      <c r="P149" s="30" t="s">
        <v>47</v>
      </c>
      <c r="Q149" s="30" t="s">
        <v>94</v>
      </c>
      <c r="R149" s="25" t="n">
        <f aca="false">L149*M149*(1-N149)</f>
        <v>99</v>
      </c>
    </row>
    <row r="150" customFormat="false" ht="15" hidden="false" customHeight="false" outlineLevel="0" collapsed="false">
      <c r="A150" s="30" t="s">
        <v>321</v>
      </c>
      <c r="B150" s="44" t="n">
        <v>45349</v>
      </c>
      <c r="C150" s="19" t="n">
        <f aca="false">YEAR(B150)</f>
        <v>2024</v>
      </c>
      <c r="D150" s="19" t="n">
        <f aca="false">MONTH(B150)</f>
        <v>2</v>
      </c>
      <c r="E150" s="30" t="str">
        <f aca="false">INDEX(Lists!$K$2:$K$13,MATCH(D150,Lists!$J$2:$J$13,0))</f>
        <v>فبراير</v>
      </c>
      <c r="F150" s="19" t="str">
        <f aca="false">"Q"&amp;ROUNDUP(D150/3,0)</f>
        <v>Q1</v>
      </c>
      <c r="G150" s="30" t="str">
        <f aca="false">INDEX(Lists!$N$2:$N$8,MATCH(WEEKDAY(B150,2),Lists!$M$2:$M$8,0))</f>
        <v>الثلاثاء</v>
      </c>
      <c r="H150" s="30" t="s">
        <v>46</v>
      </c>
      <c r="I150" s="19" t="str">
        <f aca="false">INDEX(Lists!$B$2:$B$6,MATCH(H150,Lists!$A$2:$A$6,0))</f>
        <v>المنطقة الوسطى</v>
      </c>
      <c r="J150" s="30" t="s">
        <v>107</v>
      </c>
      <c r="K150" s="30" t="s">
        <v>115</v>
      </c>
      <c r="L150" s="31" t="n">
        <v>6269</v>
      </c>
      <c r="M150" s="19" t="n">
        <v>1</v>
      </c>
      <c r="N150" s="32" t="n">
        <v>0.05</v>
      </c>
      <c r="O150" s="30" t="s">
        <v>48</v>
      </c>
      <c r="P150" s="30" t="s">
        <v>47</v>
      </c>
      <c r="Q150" s="30" t="s">
        <v>86</v>
      </c>
      <c r="R150" s="25" t="n">
        <f aca="false">L150*M150*(1-N150)</f>
        <v>5955.55</v>
      </c>
    </row>
    <row r="151" customFormat="false" ht="15" hidden="false" customHeight="false" outlineLevel="0" collapsed="false">
      <c r="A151" s="30" t="s">
        <v>322</v>
      </c>
      <c r="B151" s="44" t="n">
        <v>45350</v>
      </c>
      <c r="C151" s="19" t="n">
        <f aca="false">YEAR(B151)</f>
        <v>2024</v>
      </c>
      <c r="D151" s="19" t="n">
        <f aca="false">MONTH(B151)</f>
        <v>2</v>
      </c>
      <c r="E151" s="30" t="str">
        <f aca="false">INDEX(Lists!$K$2:$K$13,MATCH(D151,Lists!$J$2:$J$13,0))</f>
        <v>فبراير</v>
      </c>
      <c r="F151" s="19" t="str">
        <f aca="false">"Q"&amp;ROUNDUP(D151/3,0)</f>
        <v>Q1</v>
      </c>
      <c r="G151" s="30" t="str">
        <f aca="false">INDEX(Lists!$N$2:$N$8,MATCH(WEEKDAY(B151,2),Lists!$M$2:$M$8,0))</f>
        <v>الأربعاء</v>
      </c>
      <c r="H151" s="30" t="s">
        <v>46</v>
      </c>
      <c r="I151" s="19" t="str">
        <f aca="false">INDEX(Lists!$B$2:$B$6,MATCH(H151,Lists!$A$2:$A$6,0))</f>
        <v>المنطقة الوسطى</v>
      </c>
      <c r="J151" s="30" t="s">
        <v>107</v>
      </c>
      <c r="K151" s="30" t="s">
        <v>115</v>
      </c>
      <c r="L151" s="31" t="n">
        <v>4749</v>
      </c>
      <c r="M151" s="19" t="n">
        <v>1</v>
      </c>
      <c r="N151" s="32" t="n">
        <v>0.1</v>
      </c>
      <c r="O151" s="30" t="s">
        <v>52</v>
      </c>
      <c r="P151" s="30" t="s">
        <v>47</v>
      </c>
      <c r="Q151" s="30" t="s">
        <v>86</v>
      </c>
      <c r="R151" s="25" t="n">
        <f aca="false">L151*M151*(1-N151)</f>
        <v>4274.1</v>
      </c>
    </row>
    <row r="152" customFormat="false" ht="15" hidden="false" customHeight="false" outlineLevel="0" collapsed="false">
      <c r="A152" s="30" t="s">
        <v>323</v>
      </c>
      <c r="B152" s="44" t="n">
        <v>45351</v>
      </c>
      <c r="C152" s="19" t="n">
        <f aca="false">YEAR(B152)</f>
        <v>2024</v>
      </c>
      <c r="D152" s="19" t="n">
        <f aca="false">MONTH(B152)</f>
        <v>2</v>
      </c>
      <c r="E152" s="30" t="str">
        <f aca="false">INDEX(Lists!$K$2:$K$13,MATCH(D152,Lists!$J$2:$J$13,0))</f>
        <v>فبراير</v>
      </c>
      <c r="F152" s="19" t="str">
        <f aca="false">"Q"&amp;ROUNDUP(D152/3,0)</f>
        <v>Q1</v>
      </c>
      <c r="G152" s="30" t="str">
        <f aca="false">INDEX(Lists!$N$2:$N$8,MATCH(WEEKDAY(B152,2),Lists!$M$2:$M$8,0))</f>
        <v>الخميس</v>
      </c>
      <c r="H152" s="30" t="s">
        <v>60</v>
      </c>
      <c r="I152" s="19" t="str">
        <f aca="false">INDEX(Lists!$B$2:$B$6,MATCH(H152,Lists!$A$2:$A$6,0))</f>
        <v>المنطقة الغربية</v>
      </c>
      <c r="J152" s="30" t="s">
        <v>113</v>
      </c>
      <c r="K152" s="30" t="s">
        <v>121</v>
      </c>
      <c r="L152" s="31" t="n">
        <v>199</v>
      </c>
      <c r="M152" s="19" t="n">
        <v>1</v>
      </c>
      <c r="N152" s="32" t="n">
        <v>0</v>
      </c>
      <c r="O152" s="30" t="s">
        <v>55</v>
      </c>
      <c r="P152" s="30" t="s">
        <v>47</v>
      </c>
      <c r="Q152" s="30" t="s">
        <v>99</v>
      </c>
      <c r="R152" s="25" t="n">
        <f aca="false">L152*M152*(1-N152)</f>
        <v>199</v>
      </c>
    </row>
    <row r="153" customFormat="false" ht="15" hidden="false" customHeight="false" outlineLevel="0" collapsed="false">
      <c r="A153" s="30" t="s">
        <v>324</v>
      </c>
      <c r="B153" s="44" t="n">
        <v>45352</v>
      </c>
      <c r="C153" s="19" t="n">
        <f aca="false">YEAR(B153)</f>
        <v>2024</v>
      </c>
      <c r="D153" s="19" t="n">
        <f aca="false">MONTH(B153)</f>
        <v>3</v>
      </c>
      <c r="E153" s="30" t="str">
        <f aca="false">INDEX(Lists!$K$2:$K$13,MATCH(D153,Lists!$J$2:$J$13,0))</f>
        <v>مارس</v>
      </c>
      <c r="F153" s="19" t="str">
        <f aca="false">"Q"&amp;ROUNDUP(D153/3,0)</f>
        <v>Q1</v>
      </c>
      <c r="G153" s="30" t="str">
        <f aca="false">INDEX(Lists!$N$2:$N$8,MATCH(WEEKDAY(B153,2),Lists!$M$2:$M$8,0))</f>
        <v>الجمعة</v>
      </c>
      <c r="H153" s="30" t="s">
        <v>60</v>
      </c>
      <c r="I153" s="19" t="str">
        <f aca="false">INDEX(Lists!$B$2:$B$6,MATCH(H153,Lists!$A$2:$A$6,0))</f>
        <v>المنطقة الغربية</v>
      </c>
      <c r="J153" s="30" t="s">
        <v>105</v>
      </c>
      <c r="K153" s="30" t="s">
        <v>179</v>
      </c>
      <c r="L153" s="31" t="n">
        <v>1069</v>
      </c>
      <c r="M153" s="19" t="n">
        <v>1</v>
      </c>
      <c r="N153" s="32" t="n">
        <v>0</v>
      </c>
      <c r="O153" s="30" t="s">
        <v>52</v>
      </c>
      <c r="P153" s="30" t="s">
        <v>47</v>
      </c>
      <c r="Q153" s="30" t="s">
        <v>92</v>
      </c>
      <c r="R153" s="25" t="n">
        <f aca="false">L153*M153*(1-N153)</f>
        <v>1069</v>
      </c>
    </row>
    <row r="154" customFormat="false" ht="15" hidden="false" customHeight="false" outlineLevel="0" collapsed="false">
      <c r="A154" s="30" t="s">
        <v>325</v>
      </c>
      <c r="B154" s="44" t="n">
        <v>45353</v>
      </c>
      <c r="C154" s="19" t="n">
        <f aca="false">YEAR(B154)</f>
        <v>2024</v>
      </c>
      <c r="D154" s="19" t="n">
        <f aca="false">MONTH(B154)</f>
        <v>3</v>
      </c>
      <c r="E154" s="30" t="str">
        <f aca="false">INDEX(Lists!$K$2:$K$13,MATCH(D154,Lists!$J$2:$J$13,0))</f>
        <v>مارس</v>
      </c>
      <c r="F154" s="19" t="str">
        <f aca="false">"Q"&amp;ROUNDUP(D154/3,0)</f>
        <v>Q1</v>
      </c>
      <c r="G154" s="30" t="str">
        <f aca="false">INDEX(Lists!$N$2:$N$8,MATCH(WEEKDAY(B154,2),Lists!$M$2:$M$8,0))</f>
        <v>السبت</v>
      </c>
      <c r="H154" s="30" t="s">
        <v>46</v>
      </c>
      <c r="I154" s="19" t="str">
        <f aca="false">INDEX(Lists!$B$2:$B$6,MATCH(H154,Lists!$A$2:$A$6,0))</f>
        <v>المنطقة الوسطى</v>
      </c>
      <c r="J154" s="30" t="s">
        <v>111</v>
      </c>
      <c r="K154" s="30" t="s">
        <v>120</v>
      </c>
      <c r="L154" s="31" t="n">
        <v>129</v>
      </c>
      <c r="M154" s="19" t="n">
        <v>2</v>
      </c>
      <c r="N154" s="32" t="n">
        <v>0</v>
      </c>
      <c r="O154" s="30" t="s">
        <v>52</v>
      </c>
      <c r="P154" s="30" t="s">
        <v>47</v>
      </c>
      <c r="Q154" s="30" t="s">
        <v>86</v>
      </c>
      <c r="R154" s="25" t="n">
        <f aca="false">L154*M154*(1-N154)</f>
        <v>258</v>
      </c>
    </row>
    <row r="155" customFormat="false" ht="15" hidden="false" customHeight="false" outlineLevel="0" collapsed="false">
      <c r="A155" s="30" t="s">
        <v>326</v>
      </c>
      <c r="B155" s="44" t="n">
        <v>45353</v>
      </c>
      <c r="C155" s="19" t="n">
        <f aca="false">YEAR(B155)</f>
        <v>2024</v>
      </c>
      <c r="D155" s="19" t="n">
        <f aca="false">MONTH(B155)</f>
        <v>3</v>
      </c>
      <c r="E155" s="30" t="str">
        <f aca="false">INDEX(Lists!$K$2:$K$13,MATCH(D155,Lists!$J$2:$J$13,0))</f>
        <v>مارس</v>
      </c>
      <c r="F155" s="19" t="str">
        <f aca="false">"Q"&amp;ROUNDUP(D155/3,0)</f>
        <v>Q1</v>
      </c>
      <c r="G155" s="30" t="str">
        <f aca="false">INDEX(Lists!$N$2:$N$8,MATCH(WEEKDAY(B155,2),Lists!$M$2:$M$8,0))</f>
        <v>السبت</v>
      </c>
      <c r="H155" s="30" t="s">
        <v>50</v>
      </c>
      <c r="I155" s="19" t="str">
        <f aca="false">INDEX(Lists!$B$2:$B$6,MATCH(H155,Lists!$A$2:$A$6,0))</f>
        <v>المنطقة الغربية</v>
      </c>
      <c r="J155" s="30" t="s">
        <v>105</v>
      </c>
      <c r="K155" s="30" t="s">
        <v>82</v>
      </c>
      <c r="L155" s="31" t="n">
        <v>1829</v>
      </c>
      <c r="M155" s="19" t="n">
        <v>1</v>
      </c>
      <c r="N155" s="32" t="n">
        <v>0.1</v>
      </c>
      <c r="O155" s="30" t="s">
        <v>48</v>
      </c>
      <c r="P155" s="30" t="s">
        <v>47</v>
      </c>
      <c r="Q155" s="30" t="s">
        <v>81</v>
      </c>
      <c r="R155" s="25" t="n">
        <f aca="false">L155*M155*(1-N155)</f>
        <v>1646.1</v>
      </c>
    </row>
    <row r="156" customFormat="false" ht="15" hidden="false" customHeight="false" outlineLevel="0" collapsed="false">
      <c r="A156" s="30" t="s">
        <v>327</v>
      </c>
      <c r="B156" s="44" t="n">
        <v>45354</v>
      </c>
      <c r="C156" s="19" t="n">
        <f aca="false">YEAR(B156)</f>
        <v>2024</v>
      </c>
      <c r="D156" s="19" t="n">
        <f aca="false">MONTH(B156)</f>
        <v>3</v>
      </c>
      <c r="E156" s="30" t="str">
        <f aca="false">INDEX(Lists!$K$2:$K$13,MATCH(D156,Lists!$J$2:$J$13,0))</f>
        <v>مارس</v>
      </c>
      <c r="F156" s="19" t="str">
        <f aca="false">"Q"&amp;ROUNDUP(D156/3,0)</f>
        <v>Q1</v>
      </c>
      <c r="G156" s="30" t="str">
        <f aca="false">INDEX(Lists!$N$2:$N$8,MATCH(WEEKDAY(B156,2),Lists!$M$2:$M$8,0))</f>
        <v>الأحد</v>
      </c>
      <c r="H156" s="30" t="s">
        <v>50</v>
      </c>
      <c r="I156" s="19" t="str">
        <f aca="false">INDEX(Lists!$B$2:$B$6,MATCH(H156,Lists!$A$2:$A$6,0))</f>
        <v>المنطقة الغربية</v>
      </c>
      <c r="J156" s="30" t="s">
        <v>109</v>
      </c>
      <c r="K156" s="30" t="s">
        <v>175</v>
      </c>
      <c r="L156" s="31" t="n">
        <v>249</v>
      </c>
      <c r="M156" s="19" t="n">
        <v>1</v>
      </c>
      <c r="N156" s="32" t="n">
        <v>0</v>
      </c>
      <c r="O156" s="30" t="s">
        <v>52</v>
      </c>
      <c r="P156" s="30" t="s">
        <v>47</v>
      </c>
      <c r="Q156" s="30" t="s">
        <v>86</v>
      </c>
      <c r="R156" s="25" t="n">
        <f aca="false">L156*M156*(1-N156)</f>
        <v>249</v>
      </c>
    </row>
    <row r="157" customFormat="false" ht="15" hidden="false" customHeight="false" outlineLevel="0" collapsed="false">
      <c r="A157" s="30" t="s">
        <v>328</v>
      </c>
      <c r="B157" s="44" t="n">
        <v>45354</v>
      </c>
      <c r="C157" s="19" t="n">
        <f aca="false">YEAR(B157)</f>
        <v>2024</v>
      </c>
      <c r="D157" s="19" t="n">
        <f aca="false">MONTH(B157)</f>
        <v>3</v>
      </c>
      <c r="E157" s="30" t="str">
        <f aca="false">INDEX(Lists!$K$2:$K$13,MATCH(D157,Lists!$J$2:$J$13,0))</f>
        <v>مارس</v>
      </c>
      <c r="F157" s="19" t="str">
        <f aca="false">"Q"&amp;ROUNDUP(D157/3,0)</f>
        <v>Q1</v>
      </c>
      <c r="G157" s="30" t="str">
        <f aca="false">INDEX(Lists!$N$2:$N$8,MATCH(WEEKDAY(B157,2),Lists!$M$2:$M$8,0))</f>
        <v>الأحد</v>
      </c>
      <c r="H157" s="30" t="s">
        <v>54</v>
      </c>
      <c r="I157" s="19" t="str">
        <f aca="false">INDEX(Lists!$B$2:$B$6,MATCH(H157,Lists!$A$2:$A$6,0))</f>
        <v>المنطقة الشرقية</v>
      </c>
      <c r="J157" s="30" t="s">
        <v>109</v>
      </c>
      <c r="K157" s="30" t="s">
        <v>110</v>
      </c>
      <c r="L157" s="31" t="n">
        <v>79</v>
      </c>
      <c r="M157" s="19" t="n">
        <v>2</v>
      </c>
      <c r="N157" s="32" t="n">
        <v>0</v>
      </c>
      <c r="O157" s="30" t="s">
        <v>52</v>
      </c>
      <c r="P157" s="30" t="s">
        <v>47</v>
      </c>
      <c r="Q157" s="30" t="s">
        <v>94</v>
      </c>
      <c r="R157" s="25" t="n">
        <f aca="false">L157*M157*(1-N157)</f>
        <v>158</v>
      </c>
    </row>
    <row r="158" customFormat="false" ht="15" hidden="false" customHeight="false" outlineLevel="0" collapsed="false">
      <c r="A158" s="30" t="s">
        <v>329</v>
      </c>
      <c r="B158" s="44" t="n">
        <v>45354</v>
      </c>
      <c r="C158" s="19" t="n">
        <f aca="false">YEAR(B158)</f>
        <v>2024</v>
      </c>
      <c r="D158" s="19" t="n">
        <f aca="false">MONTH(B158)</f>
        <v>3</v>
      </c>
      <c r="E158" s="30" t="str">
        <f aca="false">INDEX(Lists!$K$2:$K$13,MATCH(D158,Lists!$J$2:$J$13,0))</f>
        <v>مارس</v>
      </c>
      <c r="F158" s="19" t="str">
        <f aca="false">"Q"&amp;ROUNDUP(D158/3,0)</f>
        <v>Q1</v>
      </c>
      <c r="G158" s="30" t="str">
        <f aca="false">INDEX(Lists!$N$2:$N$8,MATCH(WEEKDAY(B158,2),Lists!$M$2:$M$8,0))</f>
        <v>الأحد</v>
      </c>
      <c r="H158" s="30" t="s">
        <v>46</v>
      </c>
      <c r="I158" s="19" t="str">
        <f aca="false">INDEX(Lists!$B$2:$B$6,MATCH(H158,Lists!$A$2:$A$6,0))</f>
        <v>المنطقة الوسطى</v>
      </c>
      <c r="J158" s="30" t="s">
        <v>105</v>
      </c>
      <c r="K158" s="30" t="s">
        <v>79</v>
      </c>
      <c r="L158" s="31" t="n">
        <v>4029</v>
      </c>
      <c r="M158" s="19" t="n">
        <v>1</v>
      </c>
      <c r="N158" s="32" t="n">
        <v>0.1</v>
      </c>
      <c r="O158" s="30" t="s">
        <v>48</v>
      </c>
      <c r="P158" s="30" t="s">
        <v>47</v>
      </c>
      <c r="Q158" s="30" t="s">
        <v>78</v>
      </c>
      <c r="R158" s="25" t="n">
        <f aca="false">L158*M158*(1-N158)</f>
        <v>3626.1</v>
      </c>
    </row>
    <row r="159" customFormat="false" ht="15" hidden="false" customHeight="false" outlineLevel="0" collapsed="false">
      <c r="A159" s="30" t="s">
        <v>330</v>
      </c>
      <c r="B159" s="44" t="n">
        <v>45355</v>
      </c>
      <c r="C159" s="19" t="n">
        <f aca="false">YEAR(B159)</f>
        <v>2024</v>
      </c>
      <c r="D159" s="19" t="n">
        <f aca="false">MONTH(B159)</f>
        <v>3</v>
      </c>
      <c r="E159" s="30" t="str">
        <f aca="false">INDEX(Lists!$K$2:$K$13,MATCH(D159,Lists!$J$2:$J$13,0))</f>
        <v>مارس</v>
      </c>
      <c r="F159" s="19" t="str">
        <f aca="false">"Q"&amp;ROUNDUP(D159/3,0)</f>
        <v>Q1</v>
      </c>
      <c r="G159" s="30" t="str">
        <f aca="false">INDEX(Lists!$N$2:$N$8,MATCH(WEEKDAY(B159,2),Lists!$M$2:$M$8,0))</f>
        <v>الإثنين</v>
      </c>
      <c r="H159" s="30" t="s">
        <v>46</v>
      </c>
      <c r="I159" s="19" t="str">
        <f aca="false">INDEX(Lists!$B$2:$B$6,MATCH(H159,Lists!$A$2:$A$6,0))</f>
        <v>المنطقة الوسطى</v>
      </c>
      <c r="J159" s="30" t="s">
        <v>105</v>
      </c>
      <c r="K159" s="30" t="s">
        <v>85</v>
      </c>
      <c r="L159" s="31" t="n">
        <v>4169</v>
      </c>
      <c r="M159" s="19" t="n">
        <v>1</v>
      </c>
      <c r="N159" s="32" t="n">
        <v>0</v>
      </c>
      <c r="O159" s="30" t="s">
        <v>48</v>
      </c>
      <c r="P159" s="30" t="s">
        <v>47</v>
      </c>
      <c r="Q159" s="30" t="s">
        <v>81</v>
      </c>
      <c r="R159" s="25" t="n">
        <f aca="false">L159*M159*(1-N159)</f>
        <v>4169</v>
      </c>
    </row>
    <row r="160" customFormat="false" ht="15" hidden="false" customHeight="false" outlineLevel="0" collapsed="false">
      <c r="A160" s="30" t="s">
        <v>331</v>
      </c>
      <c r="B160" s="44" t="n">
        <v>45355</v>
      </c>
      <c r="C160" s="19" t="n">
        <f aca="false">YEAR(B160)</f>
        <v>2024</v>
      </c>
      <c r="D160" s="19" t="n">
        <f aca="false">MONTH(B160)</f>
        <v>3</v>
      </c>
      <c r="E160" s="30" t="str">
        <f aca="false">INDEX(Lists!$K$2:$K$13,MATCH(D160,Lists!$J$2:$J$13,0))</f>
        <v>مارس</v>
      </c>
      <c r="F160" s="19" t="str">
        <f aca="false">"Q"&amp;ROUNDUP(D160/3,0)</f>
        <v>Q1</v>
      </c>
      <c r="G160" s="30" t="str">
        <f aca="false">INDEX(Lists!$N$2:$N$8,MATCH(WEEKDAY(B160,2),Lists!$M$2:$M$8,0))</f>
        <v>الإثنين</v>
      </c>
      <c r="H160" s="30" t="s">
        <v>60</v>
      </c>
      <c r="I160" s="19" t="str">
        <f aca="false">INDEX(Lists!$B$2:$B$6,MATCH(H160,Lists!$A$2:$A$6,0))</f>
        <v>المنطقة الغربية</v>
      </c>
      <c r="J160" s="30" t="s">
        <v>109</v>
      </c>
      <c r="K160" s="30" t="s">
        <v>192</v>
      </c>
      <c r="L160" s="31" t="n">
        <v>109</v>
      </c>
      <c r="M160" s="19" t="n">
        <v>3</v>
      </c>
      <c r="N160" s="32" t="n">
        <v>0</v>
      </c>
      <c r="O160" s="30" t="s">
        <v>48</v>
      </c>
      <c r="P160" s="30" t="s">
        <v>47</v>
      </c>
      <c r="Q160" s="30" t="s">
        <v>96</v>
      </c>
      <c r="R160" s="25" t="n">
        <f aca="false">L160*M160*(1-N160)</f>
        <v>327</v>
      </c>
    </row>
    <row r="161" customFormat="false" ht="15" hidden="false" customHeight="false" outlineLevel="0" collapsed="false">
      <c r="A161" s="30" t="s">
        <v>332</v>
      </c>
      <c r="B161" s="44" t="n">
        <v>45355</v>
      </c>
      <c r="C161" s="19" t="n">
        <f aca="false">YEAR(B161)</f>
        <v>2024</v>
      </c>
      <c r="D161" s="19" t="n">
        <f aca="false">MONTH(B161)</f>
        <v>3</v>
      </c>
      <c r="E161" s="30" t="str">
        <f aca="false">INDEX(Lists!$K$2:$K$13,MATCH(D161,Lists!$J$2:$J$13,0))</f>
        <v>مارس</v>
      </c>
      <c r="F161" s="19" t="str">
        <f aca="false">"Q"&amp;ROUNDUP(D161/3,0)</f>
        <v>Q1</v>
      </c>
      <c r="G161" s="30" t="str">
        <f aca="false">INDEX(Lists!$N$2:$N$8,MATCH(WEEKDAY(B161,2),Lists!$M$2:$M$8,0))</f>
        <v>الإثنين</v>
      </c>
      <c r="H161" s="30" t="s">
        <v>54</v>
      </c>
      <c r="I161" s="19" t="str">
        <f aca="false">INDEX(Lists!$B$2:$B$6,MATCH(H161,Lists!$A$2:$A$6,0))</f>
        <v>المنطقة الشرقية</v>
      </c>
      <c r="J161" s="30" t="s">
        <v>105</v>
      </c>
      <c r="K161" s="30" t="s">
        <v>79</v>
      </c>
      <c r="L161" s="31" t="n">
        <v>1379</v>
      </c>
      <c r="M161" s="19" t="n">
        <v>1</v>
      </c>
      <c r="N161" s="32" t="n">
        <v>0.1</v>
      </c>
      <c r="O161" s="30" t="s">
        <v>48</v>
      </c>
      <c r="P161" s="30" t="s">
        <v>47</v>
      </c>
      <c r="Q161" s="30" t="s">
        <v>99</v>
      </c>
      <c r="R161" s="25" t="n">
        <f aca="false">L161*M161*(1-N161)</f>
        <v>1241.1</v>
      </c>
    </row>
    <row r="162" customFormat="false" ht="15" hidden="false" customHeight="false" outlineLevel="0" collapsed="false">
      <c r="A162" s="30" t="s">
        <v>333</v>
      </c>
      <c r="B162" s="44" t="n">
        <v>45357</v>
      </c>
      <c r="C162" s="19" t="n">
        <f aca="false">YEAR(B162)</f>
        <v>2024</v>
      </c>
      <c r="D162" s="19" t="n">
        <f aca="false">MONTH(B162)</f>
        <v>3</v>
      </c>
      <c r="E162" s="30" t="str">
        <f aca="false">INDEX(Lists!$K$2:$K$13,MATCH(D162,Lists!$J$2:$J$13,0))</f>
        <v>مارس</v>
      </c>
      <c r="F162" s="19" t="str">
        <f aca="false">"Q"&amp;ROUNDUP(D162/3,0)</f>
        <v>Q1</v>
      </c>
      <c r="G162" s="30" t="str">
        <f aca="false">INDEX(Lists!$N$2:$N$8,MATCH(WEEKDAY(B162,2),Lists!$M$2:$M$8,0))</f>
        <v>الأربعاء</v>
      </c>
      <c r="H162" s="30" t="s">
        <v>50</v>
      </c>
      <c r="I162" s="19" t="str">
        <f aca="false">INDEX(Lists!$B$2:$B$6,MATCH(H162,Lists!$A$2:$A$6,0))</f>
        <v>المنطقة الغربية</v>
      </c>
      <c r="J162" s="30" t="s">
        <v>109</v>
      </c>
      <c r="K162" s="30" t="s">
        <v>175</v>
      </c>
      <c r="L162" s="31" t="n">
        <v>159</v>
      </c>
      <c r="M162" s="19" t="n">
        <v>3</v>
      </c>
      <c r="N162" s="32" t="n">
        <v>0.15</v>
      </c>
      <c r="O162" s="30" t="s">
        <v>52</v>
      </c>
      <c r="P162" s="30" t="s">
        <v>47</v>
      </c>
      <c r="Q162" s="30" t="s">
        <v>86</v>
      </c>
      <c r="R162" s="25" t="n">
        <f aca="false">L162*M162*(1-N162)</f>
        <v>405.45</v>
      </c>
    </row>
    <row r="163" customFormat="false" ht="15" hidden="false" customHeight="false" outlineLevel="0" collapsed="false">
      <c r="A163" s="30" t="s">
        <v>334</v>
      </c>
      <c r="B163" s="44" t="n">
        <v>45357</v>
      </c>
      <c r="C163" s="19" t="n">
        <f aca="false">YEAR(B163)</f>
        <v>2024</v>
      </c>
      <c r="D163" s="19" t="n">
        <f aca="false">MONTH(B163)</f>
        <v>3</v>
      </c>
      <c r="E163" s="30" t="str">
        <f aca="false">INDEX(Lists!$K$2:$K$13,MATCH(D163,Lists!$J$2:$J$13,0))</f>
        <v>مارس</v>
      </c>
      <c r="F163" s="19" t="str">
        <f aca="false">"Q"&amp;ROUNDUP(D163/3,0)</f>
        <v>Q1</v>
      </c>
      <c r="G163" s="30" t="str">
        <f aca="false">INDEX(Lists!$N$2:$N$8,MATCH(WEEKDAY(B163,2),Lists!$M$2:$M$8,0))</f>
        <v>الأربعاء</v>
      </c>
      <c r="H163" s="30" t="s">
        <v>57</v>
      </c>
      <c r="I163" s="19" t="str">
        <f aca="false">INDEX(Lists!$B$2:$B$6,MATCH(H163,Lists!$A$2:$A$6,0))</f>
        <v>المنطقة الغربية</v>
      </c>
      <c r="J163" s="30" t="s">
        <v>109</v>
      </c>
      <c r="K163" s="30" t="s">
        <v>175</v>
      </c>
      <c r="L163" s="31" t="n">
        <v>89</v>
      </c>
      <c r="M163" s="19" t="n">
        <v>1</v>
      </c>
      <c r="N163" s="32" t="n">
        <v>0.05</v>
      </c>
      <c r="O163" s="30" t="s">
        <v>48</v>
      </c>
      <c r="P163" s="30" t="s">
        <v>47</v>
      </c>
      <c r="Q163" s="30" t="s">
        <v>81</v>
      </c>
      <c r="R163" s="25" t="n">
        <f aca="false">L163*M163*(1-N163)</f>
        <v>84.55</v>
      </c>
    </row>
    <row r="164" customFormat="false" ht="15" hidden="false" customHeight="false" outlineLevel="0" collapsed="false">
      <c r="A164" s="30" t="s">
        <v>335</v>
      </c>
      <c r="B164" s="44" t="n">
        <v>45357</v>
      </c>
      <c r="C164" s="19" t="n">
        <f aca="false">YEAR(B164)</f>
        <v>2024</v>
      </c>
      <c r="D164" s="19" t="n">
        <f aca="false">MONTH(B164)</f>
        <v>3</v>
      </c>
      <c r="E164" s="30" t="str">
        <f aca="false">INDEX(Lists!$K$2:$K$13,MATCH(D164,Lists!$J$2:$J$13,0))</f>
        <v>مارس</v>
      </c>
      <c r="F164" s="19" t="str">
        <f aca="false">"Q"&amp;ROUNDUP(D164/3,0)</f>
        <v>Q1</v>
      </c>
      <c r="G164" s="30" t="str">
        <f aca="false">INDEX(Lists!$N$2:$N$8,MATCH(WEEKDAY(B164,2),Lists!$M$2:$M$8,0))</f>
        <v>الأربعاء</v>
      </c>
      <c r="H164" s="30" t="s">
        <v>46</v>
      </c>
      <c r="I164" s="19" t="str">
        <f aca="false">INDEX(Lists!$B$2:$B$6,MATCH(H164,Lists!$A$2:$A$6,0))</f>
        <v>المنطقة الوسطى</v>
      </c>
      <c r="J164" s="30" t="s">
        <v>111</v>
      </c>
      <c r="K164" s="30" t="s">
        <v>122</v>
      </c>
      <c r="L164" s="31" t="n">
        <v>319</v>
      </c>
      <c r="M164" s="19" t="n">
        <v>3</v>
      </c>
      <c r="N164" s="32" t="n">
        <v>0</v>
      </c>
      <c r="O164" s="30" t="s">
        <v>52</v>
      </c>
      <c r="P164" s="30" t="s">
        <v>47</v>
      </c>
      <c r="Q164" s="30" t="s">
        <v>81</v>
      </c>
      <c r="R164" s="25" t="n">
        <f aca="false">L164*M164*(1-N164)</f>
        <v>957</v>
      </c>
    </row>
    <row r="165" customFormat="false" ht="15" hidden="false" customHeight="false" outlineLevel="0" collapsed="false">
      <c r="A165" s="30" t="s">
        <v>336</v>
      </c>
      <c r="B165" s="44" t="n">
        <v>45357</v>
      </c>
      <c r="C165" s="19" t="n">
        <f aca="false">YEAR(B165)</f>
        <v>2024</v>
      </c>
      <c r="D165" s="19" t="n">
        <f aca="false">MONTH(B165)</f>
        <v>3</v>
      </c>
      <c r="E165" s="30" t="str">
        <f aca="false">INDEX(Lists!$K$2:$K$13,MATCH(D165,Lists!$J$2:$J$13,0))</f>
        <v>مارس</v>
      </c>
      <c r="F165" s="19" t="str">
        <f aca="false">"Q"&amp;ROUNDUP(D165/3,0)</f>
        <v>Q1</v>
      </c>
      <c r="G165" s="30" t="str">
        <f aca="false">INDEX(Lists!$N$2:$N$8,MATCH(WEEKDAY(B165,2),Lists!$M$2:$M$8,0))</f>
        <v>الأربعاء</v>
      </c>
      <c r="H165" s="30" t="s">
        <v>54</v>
      </c>
      <c r="I165" s="19" t="str">
        <f aca="false">INDEX(Lists!$B$2:$B$6,MATCH(H165,Lists!$A$2:$A$6,0))</f>
        <v>المنطقة الشرقية</v>
      </c>
      <c r="J165" s="30" t="s">
        <v>105</v>
      </c>
      <c r="K165" s="30" t="s">
        <v>82</v>
      </c>
      <c r="L165" s="31" t="n">
        <v>2969</v>
      </c>
      <c r="M165" s="19" t="n">
        <v>1</v>
      </c>
      <c r="N165" s="32" t="n">
        <v>0.1</v>
      </c>
      <c r="O165" s="30" t="s">
        <v>48</v>
      </c>
      <c r="P165" s="30" t="s">
        <v>47</v>
      </c>
      <c r="Q165" s="30" t="s">
        <v>99</v>
      </c>
      <c r="R165" s="25" t="n">
        <f aca="false">L165*M165*(1-N165)</f>
        <v>2672.1</v>
      </c>
    </row>
    <row r="166" customFormat="false" ht="15" hidden="false" customHeight="false" outlineLevel="0" collapsed="false">
      <c r="A166" s="30" t="s">
        <v>337</v>
      </c>
      <c r="B166" s="44" t="n">
        <v>45357</v>
      </c>
      <c r="C166" s="19" t="n">
        <f aca="false">YEAR(B166)</f>
        <v>2024</v>
      </c>
      <c r="D166" s="19" t="n">
        <f aca="false">MONTH(B166)</f>
        <v>3</v>
      </c>
      <c r="E166" s="30" t="str">
        <f aca="false">INDEX(Lists!$K$2:$K$13,MATCH(D166,Lists!$J$2:$J$13,0))</f>
        <v>مارس</v>
      </c>
      <c r="F166" s="19" t="str">
        <f aca="false">"Q"&amp;ROUNDUP(D166/3,0)</f>
        <v>Q1</v>
      </c>
      <c r="G166" s="30" t="str">
        <f aca="false">INDEX(Lists!$N$2:$N$8,MATCH(WEEKDAY(B166,2),Lists!$M$2:$M$8,0))</f>
        <v>الأربعاء</v>
      </c>
      <c r="H166" s="30" t="s">
        <v>50</v>
      </c>
      <c r="I166" s="19" t="str">
        <f aca="false">INDEX(Lists!$B$2:$B$6,MATCH(H166,Lists!$A$2:$A$6,0))</f>
        <v>المنطقة الغربية</v>
      </c>
      <c r="J166" s="30" t="s">
        <v>109</v>
      </c>
      <c r="K166" s="30" t="s">
        <v>175</v>
      </c>
      <c r="L166" s="31" t="n">
        <v>59</v>
      </c>
      <c r="M166" s="19" t="n">
        <v>6</v>
      </c>
      <c r="N166" s="32" t="n">
        <v>0.05</v>
      </c>
      <c r="O166" s="30" t="s">
        <v>58</v>
      </c>
      <c r="P166" s="30" t="s">
        <v>51</v>
      </c>
      <c r="Q166" s="30" t="s">
        <v>99</v>
      </c>
      <c r="R166" s="25" t="n">
        <f aca="false">L166*M166*(1-N166)</f>
        <v>336.3</v>
      </c>
    </row>
    <row r="167" customFormat="false" ht="15" hidden="false" customHeight="false" outlineLevel="0" collapsed="false">
      <c r="A167" s="30" t="s">
        <v>338</v>
      </c>
      <c r="B167" s="44" t="n">
        <v>45357</v>
      </c>
      <c r="C167" s="19" t="n">
        <f aca="false">YEAR(B167)</f>
        <v>2024</v>
      </c>
      <c r="D167" s="19" t="n">
        <f aca="false">MONTH(B167)</f>
        <v>3</v>
      </c>
      <c r="E167" s="30" t="str">
        <f aca="false">INDEX(Lists!$K$2:$K$13,MATCH(D167,Lists!$J$2:$J$13,0))</f>
        <v>مارس</v>
      </c>
      <c r="F167" s="19" t="str">
        <f aca="false">"Q"&amp;ROUNDUP(D167/3,0)</f>
        <v>Q1</v>
      </c>
      <c r="G167" s="30" t="str">
        <f aca="false">INDEX(Lists!$N$2:$N$8,MATCH(WEEKDAY(B167,2),Lists!$M$2:$M$8,0))</f>
        <v>الأربعاء</v>
      </c>
      <c r="H167" s="30" t="s">
        <v>46</v>
      </c>
      <c r="I167" s="19" t="str">
        <f aca="false">INDEX(Lists!$B$2:$B$6,MATCH(H167,Lists!$A$2:$A$6,0))</f>
        <v>المنطقة الوسطى</v>
      </c>
      <c r="J167" s="30" t="s">
        <v>113</v>
      </c>
      <c r="K167" s="30" t="s">
        <v>100</v>
      </c>
      <c r="L167" s="31" t="n">
        <v>299</v>
      </c>
      <c r="M167" s="19" t="n">
        <v>1</v>
      </c>
      <c r="N167" s="32" t="n">
        <v>0.15</v>
      </c>
      <c r="O167" s="30" t="s">
        <v>52</v>
      </c>
      <c r="P167" s="30" t="s">
        <v>47</v>
      </c>
      <c r="Q167" s="30" t="s">
        <v>94</v>
      </c>
      <c r="R167" s="25" t="n">
        <f aca="false">L167*M167*(1-N167)</f>
        <v>254.15</v>
      </c>
    </row>
    <row r="168" customFormat="false" ht="15" hidden="false" customHeight="false" outlineLevel="0" collapsed="false">
      <c r="A168" s="30" t="s">
        <v>339</v>
      </c>
      <c r="B168" s="44" t="n">
        <v>45358</v>
      </c>
      <c r="C168" s="19" t="n">
        <f aca="false">YEAR(B168)</f>
        <v>2024</v>
      </c>
      <c r="D168" s="19" t="n">
        <f aca="false">MONTH(B168)</f>
        <v>3</v>
      </c>
      <c r="E168" s="30" t="str">
        <f aca="false">INDEX(Lists!$K$2:$K$13,MATCH(D168,Lists!$J$2:$J$13,0))</f>
        <v>مارس</v>
      </c>
      <c r="F168" s="19" t="str">
        <f aca="false">"Q"&amp;ROUNDUP(D168/3,0)</f>
        <v>Q1</v>
      </c>
      <c r="G168" s="30" t="str">
        <f aca="false">INDEX(Lists!$N$2:$N$8,MATCH(WEEKDAY(B168,2),Lists!$M$2:$M$8,0))</f>
        <v>الخميس</v>
      </c>
      <c r="H168" s="30" t="s">
        <v>57</v>
      </c>
      <c r="I168" s="19" t="str">
        <f aca="false">INDEX(Lists!$B$2:$B$6,MATCH(H168,Lists!$A$2:$A$6,0))</f>
        <v>المنطقة الغربية</v>
      </c>
      <c r="J168" s="30" t="s">
        <v>109</v>
      </c>
      <c r="K168" s="30" t="s">
        <v>192</v>
      </c>
      <c r="L168" s="31" t="n">
        <v>119</v>
      </c>
      <c r="M168" s="19" t="n">
        <v>1</v>
      </c>
      <c r="N168" s="32" t="n">
        <v>0.05</v>
      </c>
      <c r="O168" s="30" t="s">
        <v>55</v>
      </c>
      <c r="P168" s="30" t="s">
        <v>47</v>
      </c>
      <c r="Q168" s="30" t="s">
        <v>78</v>
      </c>
      <c r="R168" s="25" t="n">
        <f aca="false">L168*M168*(1-N168)</f>
        <v>113.05</v>
      </c>
    </row>
    <row r="169" customFormat="false" ht="15" hidden="false" customHeight="false" outlineLevel="0" collapsed="false">
      <c r="A169" s="30" t="s">
        <v>340</v>
      </c>
      <c r="B169" s="44" t="n">
        <v>45358</v>
      </c>
      <c r="C169" s="19" t="n">
        <f aca="false">YEAR(B169)</f>
        <v>2024</v>
      </c>
      <c r="D169" s="19" t="n">
        <f aca="false">MONTH(B169)</f>
        <v>3</v>
      </c>
      <c r="E169" s="30" t="str">
        <f aca="false">INDEX(Lists!$K$2:$K$13,MATCH(D169,Lists!$J$2:$J$13,0))</f>
        <v>مارس</v>
      </c>
      <c r="F169" s="19" t="str">
        <f aca="false">"Q"&amp;ROUNDUP(D169/3,0)</f>
        <v>Q1</v>
      </c>
      <c r="G169" s="30" t="str">
        <f aca="false">INDEX(Lists!$N$2:$N$8,MATCH(WEEKDAY(B169,2),Lists!$M$2:$M$8,0))</f>
        <v>الخميس</v>
      </c>
      <c r="H169" s="30" t="s">
        <v>60</v>
      </c>
      <c r="I169" s="19" t="str">
        <f aca="false">INDEX(Lists!$B$2:$B$6,MATCH(H169,Lists!$A$2:$A$6,0))</f>
        <v>المنطقة الغربية</v>
      </c>
      <c r="J169" s="30" t="s">
        <v>111</v>
      </c>
      <c r="K169" s="30" t="s">
        <v>118</v>
      </c>
      <c r="L169" s="31" t="n">
        <v>539</v>
      </c>
      <c r="M169" s="19" t="n">
        <v>1</v>
      </c>
      <c r="N169" s="32" t="n">
        <v>0.1</v>
      </c>
      <c r="O169" s="30" t="s">
        <v>52</v>
      </c>
      <c r="P169" s="30" t="s">
        <v>47</v>
      </c>
      <c r="Q169" s="30" t="s">
        <v>99</v>
      </c>
      <c r="R169" s="25" t="n">
        <f aca="false">L169*M169*(1-N169)</f>
        <v>485.1</v>
      </c>
    </row>
    <row r="170" customFormat="false" ht="15" hidden="false" customHeight="false" outlineLevel="0" collapsed="false">
      <c r="A170" s="30" t="s">
        <v>341</v>
      </c>
      <c r="B170" s="44" t="n">
        <v>45358</v>
      </c>
      <c r="C170" s="19" t="n">
        <f aca="false">YEAR(B170)</f>
        <v>2024</v>
      </c>
      <c r="D170" s="19" t="n">
        <f aca="false">MONTH(B170)</f>
        <v>3</v>
      </c>
      <c r="E170" s="30" t="str">
        <f aca="false">INDEX(Lists!$K$2:$K$13,MATCH(D170,Lists!$J$2:$J$13,0))</f>
        <v>مارس</v>
      </c>
      <c r="F170" s="19" t="str">
        <f aca="false">"Q"&amp;ROUNDUP(D170/3,0)</f>
        <v>Q1</v>
      </c>
      <c r="G170" s="30" t="str">
        <f aca="false">INDEX(Lists!$N$2:$N$8,MATCH(WEEKDAY(B170,2),Lists!$M$2:$M$8,0))</f>
        <v>الخميس</v>
      </c>
      <c r="H170" s="30" t="s">
        <v>60</v>
      </c>
      <c r="I170" s="19" t="str">
        <f aca="false">INDEX(Lists!$B$2:$B$6,MATCH(H170,Lists!$A$2:$A$6,0))</f>
        <v>المنطقة الغربية</v>
      </c>
      <c r="J170" s="30" t="s">
        <v>107</v>
      </c>
      <c r="K170" s="30" t="s">
        <v>184</v>
      </c>
      <c r="L170" s="31" t="n">
        <v>4149</v>
      </c>
      <c r="M170" s="19" t="n">
        <v>1</v>
      </c>
      <c r="N170" s="32" t="n">
        <v>0.05</v>
      </c>
      <c r="O170" s="30" t="s">
        <v>52</v>
      </c>
      <c r="P170" s="30" t="s">
        <v>47</v>
      </c>
      <c r="Q170" s="30" t="s">
        <v>89</v>
      </c>
      <c r="R170" s="25" t="n">
        <f aca="false">L170*M170*(1-N170)</f>
        <v>3941.55</v>
      </c>
    </row>
    <row r="171" customFormat="false" ht="15" hidden="false" customHeight="false" outlineLevel="0" collapsed="false">
      <c r="A171" s="30" t="s">
        <v>342</v>
      </c>
      <c r="B171" s="44" t="n">
        <v>45358</v>
      </c>
      <c r="C171" s="19" t="n">
        <f aca="false">YEAR(B171)</f>
        <v>2024</v>
      </c>
      <c r="D171" s="19" t="n">
        <f aca="false">MONTH(B171)</f>
        <v>3</v>
      </c>
      <c r="E171" s="30" t="str">
        <f aca="false">INDEX(Lists!$K$2:$K$13,MATCH(D171,Lists!$J$2:$J$13,0))</f>
        <v>مارس</v>
      </c>
      <c r="F171" s="19" t="str">
        <f aca="false">"Q"&amp;ROUNDUP(D171/3,0)</f>
        <v>Q1</v>
      </c>
      <c r="G171" s="30" t="str">
        <f aca="false">INDEX(Lists!$N$2:$N$8,MATCH(WEEKDAY(B171,2),Lists!$M$2:$M$8,0))</f>
        <v>الخميس</v>
      </c>
      <c r="H171" s="30" t="s">
        <v>50</v>
      </c>
      <c r="I171" s="19" t="str">
        <f aca="false">INDEX(Lists!$B$2:$B$6,MATCH(H171,Lists!$A$2:$A$6,0))</f>
        <v>المنطقة الغربية</v>
      </c>
      <c r="J171" s="30" t="s">
        <v>105</v>
      </c>
      <c r="K171" s="30" t="s">
        <v>179</v>
      </c>
      <c r="L171" s="31" t="n">
        <v>2199</v>
      </c>
      <c r="M171" s="19" t="n">
        <v>1</v>
      </c>
      <c r="N171" s="32" t="n">
        <v>0</v>
      </c>
      <c r="O171" s="30" t="s">
        <v>58</v>
      </c>
      <c r="P171" s="30" t="s">
        <v>47</v>
      </c>
      <c r="Q171" s="30" t="s">
        <v>81</v>
      </c>
      <c r="R171" s="25" t="n">
        <f aca="false">L171*M171*(1-N171)</f>
        <v>2199</v>
      </c>
    </row>
    <row r="172" customFormat="false" ht="15" hidden="false" customHeight="false" outlineLevel="0" collapsed="false">
      <c r="A172" s="30" t="s">
        <v>343</v>
      </c>
      <c r="B172" s="44" t="n">
        <v>45358</v>
      </c>
      <c r="C172" s="19" t="n">
        <f aca="false">YEAR(B172)</f>
        <v>2024</v>
      </c>
      <c r="D172" s="19" t="n">
        <f aca="false">MONTH(B172)</f>
        <v>3</v>
      </c>
      <c r="E172" s="30" t="str">
        <f aca="false">INDEX(Lists!$K$2:$K$13,MATCH(D172,Lists!$J$2:$J$13,0))</f>
        <v>مارس</v>
      </c>
      <c r="F172" s="19" t="str">
        <f aca="false">"Q"&amp;ROUNDUP(D172/3,0)</f>
        <v>Q1</v>
      </c>
      <c r="G172" s="30" t="str">
        <f aca="false">INDEX(Lists!$N$2:$N$8,MATCH(WEEKDAY(B172,2),Lists!$M$2:$M$8,0))</f>
        <v>الخميس</v>
      </c>
      <c r="H172" s="30" t="s">
        <v>50</v>
      </c>
      <c r="I172" s="19" t="str">
        <f aca="false">INDEX(Lists!$B$2:$B$6,MATCH(H172,Lists!$A$2:$A$6,0))</f>
        <v>المنطقة الغربية</v>
      </c>
      <c r="J172" s="30" t="s">
        <v>109</v>
      </c>
      <c r="K172" s="30" t="s">
        <v>93</v>
      </c>
      <c r="L172" s="31" t="n">
        <v>269</v>
      </c>
      <c r="M172" s="19" t="n">
        <v>3</v>
      </c>
      <c r="N172" s="32" t="n">
        <v>0</v>
      </c>
      <c r="O172" s="30" t="s">
        <v>48</v>
      </c>
      <c r="P172" s="30" t="s">
        <v>51</v>
      </c>
      <c r="Q172" s="30" t="s">
        <v>84</v>
      </c>
      <c r="R172" s="25" t="n">
        <f aca="false">L172*M172*(1-N172)</f>
        <v>807</v>
      </c>
    </row>
    <row r="173" customFormat="false" ht="15" hidden="false" customHeight="false" outlineLevel="0" collapsed="false">
      <c r="A173" s="30" t="s">
        <v>344</v>
      </c>
      <c r="B173" s="44" t="n">
        <v>45358</v>
      </c>
      <c r="C173" s="19" t="n">
        <f aca="false">YEAR(B173)</f>
        <v>2024</v>
      </c>
      <c r="D173" s="19" t="n">
        <f aca="false">MONTH(B173)</f>
        <v>3</v>
      </c>
      <c r="E173" s="30" t="str">
        <f aca="false">INDEX(Lists!$K$2:$K$13,MATCH(D173,Lists!$J$2:$J$13,0))</f>
        <v>مارس</v>
      </c>
      <c r="F173" s="19" t="str">
        <f aca="false">"Q"&amp;ROUNDUP(D173/3,0)</f>
        <v>Q1</v>
      </c>
      <c r="G173" s="30" t="str">
        <f aca="false">INDEX(Lists!$N$2:$N$8,MATCH(WEEKDAY(B173,2),Lists!$M$2:$M$8,0))</f>
        <v>الخميس</v>
      </c>
      <c r="H173" s="30" t="s">
        <v>50</v>
      </c>
      <c r="I173" s="19" t="str">
        <f aca="false">INDEX(Lists!$B$2:$B$6,MATCH(H173,Lists!$A$2:$A$6,0))</f>
        <v>المنطقة الغربية</v>
      </c>
      <c r="J173" s="30" t="s">
        <v>107</v>
      </c>
      <c r="K173" s="30" t="s">
        <v>184</v>
      </c>
      <c r="L173" s="31" t="n">
        <v>6039</v>
      </c>
      <c r="M173" s="19" t="n">
        <v>1</v>
      </c>
      <c r="N173" s="32" t="n">
        <v>0</v>
      </c>
      <c r="O173" s="30" t="s">
        <v>48</v>
      </c>
      <c r="P173" s="30" t="s">
        <v>47</v>
      </c>
      <c r="Q173" s="30" t="s">
        <v>96</v>
      </c>
      <c r="R173" s="25" t="n">
        <f aca="false">L173*M173*(1-N173)</f>
        <v>6039</v>
      </c>
    </row>
    <row r="174" customFormat="false" ht="15" hidden="false" customHeight="false" outlineLevel="0" collapsed="false">
      <c r="A174" s="30" t="s">
        <v>345</v>
      </c>
      <c r="B174" s="44" t="n">
        <v>45358</v>
      </c>
      <c r="C174" s="19" t="n">
        <f aca="false">YEAR(B174)</f>
        <v>2024</v>
      </c>
      <c r="D174" s="19" t="n">
        <f aca="false">MONTH(B174)</f>
        <v>3</v>
      </c>
      <c r="E174" s="30" t="str">
        <f aca="false">INDEX(Lists!$K$2:$K$13,MATCH(D174,Lists!$J$2:$J$13,0))</f>
        <v>مارس</v>
      </c>
      <c r="F174" s="19" t="str">
        <f aca="false">"Q"&amp;ROUNDUP(D174/3,0)</f>
        <v>Q1</v>
      </c>
      <c r="G174" s="30" t="str">
        <f aca="false">INDEX(Lists!$N$2:$N$8,MATCH(WEEKDAY(B174,2),Lists!$M$2:$M$8,0))</f>
        <v>الخميس</v>
      </c>
      <c r="H174" s="30" t="s">
        <v>50</v>
      </c>
      <c r="I174" s="19" t="str">
        <f aca="false">INDEX(Lists!$B$2:$B$6,MATCH(H174,Lists!$A$2:$A$6,0))</f>
        <v>المنطقة الغربية</v>
      </c>
      <c r="J174" s="30" t="s">
        <v>107</v>
      </c>
      <c r="K174" s="30" t="s">
        <v>272</v>
      </c>
      <c r="L174" s="31" t="n">
        <v>5199</v>
      </c>
      <c r="M174" s="19" t="n">
        <v>5</v>
      </c>
      <c r="N174" s="32" t="n">
        <v>0</v>
      </c>
      <c r="O174" s="30" t="s">
        <v>48</v>
      </c>
      <c r="P174" s="30" t="s">
        <v>51</v>
      </c>
      <c r="Q174" s="30" t="s">
        <v>84</v>
      </c>
      <c r="R174" s="25" t="n">
        <f aca="false">L174*M174*(1-N174)</f>
        <v>25995</v>
      </c>
    </row>
    <row r="175" customFormat="false" ht="15" hidden="false" customHeight="false" outlineLevel="0" collapsed="false">
      <c r="A175" s="30" t="s">
        <v>346</v>
      </c>
      <c r="B175" s="44" t="n">
        <v>45359</v>
      </c>
      <c r="C175" s="19" t="n">
        <f aca="false">YEAR(B175)</f>
        <v>2024</v>
      </c>
      <c r="D175" s="19" t="n">
        <f aca="false">MONTH(B175)</f>
        <v>3</v>
      </c>
      <c r="E175" s="30" t="str">
        <f aca="false">INDEX(Lists!$K$2:$K$13,MATCH(D175,Lists!$J$2:$J$13,0))</f>
        <v>مارس</v>
      </c>
      <c r="F175" s="19" t="str">
        <f aca="false">"Q"&amp;ROUNDUP(D175/3,0)</f>
        <v>Q1</v>
      </c>
      <c r="G175" s="30" t="str">
        <f aca="false">INDEX(Lists!$N$2:$N$8,MATCH(WEEKDAY(B175,2),Lists!$M$2:$M$8,0))</f>
        <v>الجمعة</v>
      </c>
      <c r="H175" s="30" t="s">
        <v>54</v>
      </c>
      <c r="I175" s="19" t="str">
        <f aca="false">INDEX(Lists!$B$2:$B$6,MATCH(H175,Lists!$A$2:$A$6,0))</f>
        <v>المنطقة الشرقية</v>
      </c>
      <c r="J175" s="30" t="s">
        <v>105</v>
      </c>
      <c r="K175" s="30" t="s">
        <v>179</v>
      </c>
      <c r="L175" s="31" t="n">
        <v>3259</v>
      </c>
      <c r="M175" s="19" t="n">
        <v>1</v>
      </c>
      <c r="N175" s="32" t="n">
        <v>0.15</v>
      </c>
      <c r="O175" s="30" t="s">
        <v>48</v>
      </c>
      <c r="P175" s="30" t="s">
        <v>47</v>
      </c>
      <c r="Q175" s="30" t="s">
        <v>99</v>
      </c>
      <c r="R175" s="25" t="n">
        <f aca="false">L175*M175*(1-N175)</f>
        <v>2770.15</v>
      </c>
    </row>
    <row r="176" customFormat="false" ht="15" hidden="false" customHeight="false" outlineLevel="0" collapsed="false">
      <c r="A176" s="30" t="s">
        <v>347</v>
      </c>
      <c r="B176" s="44" t="n">
        <v>45360</v>
      </c>
      <c r="C176" s="19" t="n">
        <f aca="false">YEAR(B176)</f>
        <v>2024</v>
      </c>
      <c r="D176" s="19" t="n">
        <f aca="false">MONTH(B176)</f>
        <v>3</v>
      </c>
      <c r="E176" s="30" t="str">
        <f aca="false">INDEX(Lists!$K$2:$K$13,MATCH(D176,Lists!$J$2:$J$13,0))</f>
        <v>مارس</v>
      </c>
      <c r="F176" s="19" t="str">
        <f aca="false">"Q"&amp;ROUNDUP(D176/3,0)</f>
        <v>Q1</v>
      </c>
      <c r="G176" s="30" t="str">
        <f aca="false">INDEX(Lists!$N$2:$N$8,MATCH(WEEKDAY(B176,2),Lists!$M$2:$M$8,0))</f>
        <v>السبت</v>
      </c>
      <c r="H176" s="30" t="s">
        <v>60</v>
      </c>
      <c r="I176" s="19" t="str">
        <f aca="false">INDEX(Lists!$B$2:$B$6,MATCH(H176,Lists!$A$2:$A$6,0))</f>
        <v>المنطقة الغربية</v>
      </c>
      <c r="J176" s="30" t="s">
        <v>105</v>
      </c>
      <c r="K176" s="30" t="s">
        <v>90</v>
      </c>
      <c r="L176" s="31" t="n">
        <v>3539</v>
      </c>
      <c r="M176" s="19" t="n">
        <v>2</v>
      </c>
      <c r="N176" s="32" t="n">
        <v>0.05</v>
      </c>
      <c r="O176" s="30" t="s">
        <v>52</v>
      </c>
      <c r="P176" s="30" t="s">
        <v>47</v>
      </c>
      <c r="Q176" s="30" t="s">
        <v>84</v>
      </c>
      <c r="R176" s="25" t="n">
        <f aca="false">L176*M176*(1-N176)</f>
        <v>6724.1</v>
      </c>
    </row>
    <row r="177" customFormat="false" ht="15" hidden="false" customHeight="false" outlineLevel="0" collapsed="false">
      <c r="A177" s="30" t="s">
        <v>348</v>
      </c>
      <c r="B177" s="44" t="n">
        <v>45360</v>
      </c>
      <c r="C177" s="19" t="n">
        <f aca="false">YEAR(B177)</f>
        <v>2024</v>
      </c>
      <c r="D177" s="19" t="n">
        <f aca="false">MONTH(B177)</f>
        <v>3</v>
      </c>
      <c r="E177" s="30" t="str">
        <f aca="false">INDEX(Lists!$K$2:$K$13,MATCH(D177,Lists!$J$2:$J$13,0))</f>
        <v>مارس</v>
      </c>
      <c r="F177" s="19" t="str">
        <f aca="false">"Q"&amp;ROUNDUP(D177/3,0)</f>
        <v>Q1</v>
      </c>
      <c r="G177" s="30" t="str">
        <f aca="false">INDEX(Lists!$N$2:$N$8,MATCH(WEEKDAY(B177,2),Lists!$M$2:$M$8,0))</f>
        <v>السبت</v>
      </c>
      <c r="H177" s="30" t="s">
        <v>60</v>
      </c>
      <c r="I177" s="19" t="str">
        <f aca="false">INDEX(Lists!$B$2:$B$6,MATCH(H177,Lists!$A$2:$A$6,0))</f>
        <v>المنطقة الغربية</v>
      </c>
      <c r="J177" s="30" t="s">
        <v>113</v>
      </c>
      <c r="K177" s="30" t="s">
        <v>97</v>
      </c>
      <c r="L177" s="31" t="n">
        <v>779</v>
      </c>
      <c r="M177" s="19" t="n">
        <v>2</v>
      </c>
      <c r="N177" s="32" t="n">
        <v>0</v>
      </c>
      <c r="O177" s="30" t="s">
        <v>48</v>
      </c>
      <c r="P177" s="30" t="s">
        <v>47</v>
      </c>
      <c r="Q177" s="30" t="s">
        <v>86</v>
      </c>
      <c r="R177" s="25" t="n">
        <f aca="false">L177*M177*(1-N177)</f>
        <v>1558</v>
      </c>
    </row>
    <row r="178" customFormat="false" ht="15" hidden="false" customHeight="false" outlineLevel="0" collapsed="false">
      <c r="A178" s="30" t="s">
        <v>349</v>
      </c>
      <c r="B178" s="44" t="n">
        <v>45361</v>
      </c>
      <c r="C178" s="19" t="n">
        <f aca="false">YEAR(B178)</f>
        <v>2024</v>
      </c>
      <c r="D178" s="19" t="n">
        <f aca="false">MONTH(B178)</f>
        <v>3</v>
      </c>
      <c r="E178" s="30" t="str">
        <f aca="false">INDEX(Lists!$K$2:$K$13,MATCH(D178,Lists!$J$2:$J$13,0))</f>
        <v>مارس</v>
      </c>
      <c r="F178" s="19" t="str">
        <f aca="false">"Q"&amp;ROUNDUP(D178/3,0)</f>
        <v>Q1</v>
      </c>
      <c r="G178" s="30" t="str">
        <f aca="false">INDEX(Lists!$N$2:$N$8,MATCH(WEEKDAY(B178,2),Lists!$M$2:$M$8,0))</f>
        <v>الأحد</v>
      </c>
      <c r="H178" s="30" t="s">
        <v>60</v>
      </c>
      <c r="I178" s="19" t="str">
        <f aca="false">INDEX(Lists!$B$2:$B$6,MATCH(H178,Lists!$A$2:$A$6,0))</f>
        <v>المنطقة الغربية</v>
      </c>
      <c r="J178" s="30" t="s">
        <v>113</v>
      </c>
      <c r="K178" s="30" t="s">
        <v>95</v>
      </c>
      <c r="L178" s="31" t="n">
        <v>619</v>
      </c>
      <c r="M178" s="19" t="n">
        <v>1</v>
      </c>
      <c r="N178" s="32" t="n">
        <v>0.05</v>
      </c>
      <c r="O178" s="30" t="s">
        <v>52</v>
      </c>
      <c r="P178" s="30" t="s">
        <v>47</v>
      </c>
      <c r="Q178" s="30" t="s">
        <v>86</v>
      </c>
      <c r="R178" s="25" t="n">
        <f aca="false">L178*M178*(1-N178)</f>
        <v>588.05</v>
      </c>
    </row>
    <row r="179" customFormat="false" ht="15" hidden="false" customHeight="false" outlineLevel="0" collapsed="false">
      <c r="A179" s="30" t="s">
        <v>350</v>
      </c>
      <c r="B179" s="44" t="n">
        <v>45361</v>
      </c>
      <c r="C179" s="19" t="n">
        <f aca="false">YEAR(B179)</f>
        <v>2024</v>
      </c>
      <c r="D179" s="19" t="n">
        <f aca="false">MONTH(B179)</f>
        <v>3</v>
      </c>
      <c r="E179" s="30" t="str">
        <f aca="false">INDEX(Lists!$K$2:$K$13,MATCH(D179,Lists!$J$2:$J$13,0))</f>
        <v>مارس</v>
      </c>
      <c r="F179" s="19" t="str">
        <f aca="false">"Q"&amp;ROUNDUP(D179/3,0)</f>
        <v>Q1</v>
      </c>
      <c r="G179" s="30" t="str">
        <f aca="false">INDEX(Lists!$N$2:$N$8,MATCH(WEEKDAY(B179,2),Lists!$M$2:$M$8,0))</f>
        <v>الأحد</v>
      </c>
      <c r="H179" s="30" t="s">
        <v>46</v>
      </c>
      <c r="I179" s="19" t="str">
        <f aca="false">INDEX(Lists!$B$2:$B$6,MATCH(H179,Lists!$A$2:$A$6,0))</f>
        <v>المنطقة الوسطى</v>
      </c>
      <c r="J179" s="30" t="s">
        <v>111</v>
      </c>
      <c r="K179" s="30" t="s">
        <v>122</v>
      </c>
      <c r="L179" s="31" t="n">
        <v>429</v>
      </c>
      <c r="M179" s="19" t="n">
        <v>1</v>
      </c>
      <c r="N179" s="32" t="n">
        <v>0.15</v>
      </c>
      <c r="O179" s="30" t="s">
        <v>48</v>
      </c>
      <c r="P179" s="30" t="s">
        <v>47</v>
      </c>
      <c r="Q179" s="30" t="s">
        <v>92</v>
      </c>
      <c r="R179" s="25" t="n">
        <f aca="false">L179*M179*(1-N179)</f>
        <v>364.65</v>
      </c>
    </row>
    <row r="180" customFormat="false" ht="15" hidden="false" customHeight="false" outlineLevel="0" collapsed="false">
      <c r="A180" s="30" t="s">
        <v>351</v>
      </c>
      <c r="B180" s="44" t="n">
        <v>45362</v>
      </c>
      <c r="C180" s="19" t="n">
        <f aca="false">YEAR(B180)</f>
        <v>2024</v>
      </c>
      <c r="D180" s="19" t="n">
        <f aca="false">MONTH(B180)</f>
        <v>3</v>
      </c>
      <c r="E180" s="30" t="str">
        <f aca="false">INDEX(Lists!$K$2:$K$13,MATCH(D180,Lists!$J$2:$J$13,0))</f>
        <v>مارس</v>
      </c>
      <c r="F180" s="19" t="str">
        <f aca="false">"Q"&amp;ROUNDUP(D180/3,0)</f>
        <v>Q1</v>
      </c>
      <c r="G180" s="30" t="str">
        <f aca="false">INDEX(Lists!$N$2:$N$8,MATCH(WEEKDAY(B180,2),Lists!$M$2:$M$8,0))</f>
        <v>الإثنين</v>
      </c>
      <c r="H180" s="30" t="s">
        <v>57</v>
      </c>
      <c r="I180" s="19" t="str">
        <f aca="false">INDEX(Lists!$B$2:$B$6,MATCH(H180,Lists!$A$2:$A$6,0))</f>
        <v>المنطقة الغربية</v>
      </c>
      <c r="J180" s="30" t="s">
        <v>111</v>
      </c>
      <c r="K180" s="30" t="s">
        <v>108</v>
      </c>
      <c r="L180" s="31" t="n">
        <v>129</v>
      </c>
      <c r="M180" s="19" t="n">
        <v>1</v>
      </c>
      <c r="N180" s="32" t="n">
        <v>0</v>
      </c>
      <c r="O180" s="30" t="s">
        <v>48</v>
      </c>
      <c r="P180" s="30" t="s">
        <v>47</v>
      </c>
      <c r="Q180" s="30" t="s">
        <v>99</v>
      </c>
      <c r="R180" s="25" t="n">
        <f aca="false">L180*M180*(1-N180)</f>
        <v>129</v>
      </c>
    </row>
    <row r="181" customFormat="false" ht="15" hidden="false" customHeight="false" outlineLevel="0" collapsed="false">
      <c r="A181" s="30" t="s">
        <v>352</v>
      </c>
      <c r="B181" s="44" t="n">
        <v>45362</v>
      </c>
      <c r="C181" s="19" t="n">
        <f aca="false">YEAR(B181)</f>
        <v>2024</v>
      </c>
      <c r="D181" s="19" t="n">
        <f aca="false">MONTH(B181)</f>
        <v>3</v>
      </c>
      <c r="E181" s="30" t="str">
        <f aca="false">INDEX(Lists!$K$2:$K$13,MATCH(D181,Lists!$J$2:$J$13,0))</f>
        <v>مارس</v>
      </c>
      <c r="F181" s="19" t="str">
        <f aca="false">"Q"&amp;ROUNDUP(D181/3,0)</f>
        <v>Q1</v>
      </c>
      <c r="G181" s="30" t="str">
        <f aca="false">INDEX(Lists!$N$2:$N$8,MATCH(WEEKDAY(B181,2),Lists!$M$2:$M$8,0))</f>
        <v>الإثنين</v>
      </c>
      <c r="H181" s="30" t="s">
        <v>50</v>
      </c>
      <c r="I181" s="19" t="str">
        <f aca="false">INDEX(Lists!$B$2:$B$6,MATCH(H181,Lists!$A$2:$A$6,0))</f>
        <v>المنطقة الغربية</v>
      </c>
      <c r="J181" s="30" t="s">
        <v>111</v>
      </c>
      <c r="K181" s="30" t="s">
        <v>122</v>
      </c>
      <c r="L181" s="31" t="n">
        <v>469</v>
      </c>
      <c r="M181" s="19" t="n">
        <v>1</v>
      </c>
      <c r="N181" s="32" t="n">
        <v>0.05</v>
      </c>
      <c r="O181" s="30" t="s">
        <v>52</v>
      </c>
      <c r="P181" s="30" t="s">
        <v>47</v>
      </c>
      <c r="Q181" s="30" t="s">
        <v>78</v>
      </c>
      <c r="R181" s="25" t="n">
        <f aca="false">L181*M181*(1-N181)</f>
        <v>445.55</v>
      </c>
    </row>
    <row r="182" customFormat="false" ht="15" hidden="false" customHeight="false" outlineLevel="0" collapsed="false">
      <c r="A182" s="30" t="s">
        <v>353</v>
      </c>
      <c r="B182" s="44" t="n">
        <v>45362</v>
      </c>
      <c r="C182" s="19" t="n">
        <f aca="false">YEAR(B182)</f>
        <v>2024</v>
      </c>
      <c r="D182" s="19" t="n">
        <f aca="false">MONTH(B182)</f>
        <v>3</v>
      </c>
      <c r="E182" s="30" t="str">
        <f aca="false">INDEX(Lists!$K$2:$K$13,MATCH(D182,Lists!$J$2:$J$13,0))</f>
        <v>مارس</v>
      </c>
      <c r="F182" s="19" t="str">
        <f aca="false">"Q"&amp;ROUNDUP(D182/3,0)</f>
        <v>Q1</v>
      </c>
      <c r="G182" s="30" t="str">
        <f aca="false">INDEX(Lists!$N$2:$N$8,MATCH(WEEKDAY(B182,2),Lists!$M$2:$M$8,0))</f>
        <v>الإثنين</v>
      </c>
      <c r="H182" s="30" t="s">
        <v>46</v>
      </c>
      <c r="I182" s="19" t="str">
        <f aca="false">INDEX(Lists!$B$2:$B$6,MATCH(H182,Lists!$A$2:$A$6,0))</f>
        <v>المنطقة الوسطى</v>
      </c>
      <c r="J182" s="30" t="s">
        <v>109</v>
      </c>
      <c r="K182" s="30" t="s">
        <v>171</v>
      </c>
      <c r="L182" s="31" t="n">
        <v>259</v>
      </c>
      <c r="M182" s="19" t="n">
        <v>3</v>
      </c>
      <c r="N182" s="32" t="n">
        <v>0</v>
      </c>
      <c r="O182" s="30" t="s">
        <v>52</v>
      </c>
      <c r="P182" s="30" t="s">
        <v>47</v>
      </c>
      <c r="Q182" s="30" t="s">
        <v>89</v>
      </c>
      <c r="R182" s="25" t="n">
        <f aca="false">L182*M182*(1-N182)</f>
        <v>777</v>
      </c>
    </row>
    <row r="183" customFormat="false" ht="15" hidden="false" customHeight="false" outlineLevel="0" collapsed="false">
      <c r="A183" s="30" t="s">
        <v>354</v>
      </c>
      <c r="B183" s="44" t="n">
        <v>45362</v>
      </c>
      <c r="C183" s="19" t="n">
        <f aca="false">YEAR(B183)</f>
        <v>2024</v>
      </c>
      <c r="D183" s="19" t="n">
        <f aca="false">MONTH(B183)</f>
        <v>3</v>
      </c>
      <c r="E183" s="30" t="str">
        <f aca="false">INDEX(Lists!$K$2:$K$13,MATCH(D183,Lists!$J$2:$J$13,0))</f>
        <v>مارس</v>
      </c>
      <c r="F183" s="19" t="str">
        <f aca="false">"Q"&amp;ROUNDUP(D183/3,0)</f>
        <v>Q1</v>
      </c>
      <c r="G183" s="30" t="str">
        <f aca="false">INDEX(Lists!$N$2:$N$8,MATCH(WEEKDAY(B183,2),Lists!$M$2:$M$8,0))</f>
        <v>الإثنين</v>
      </c>
      <c r="H183" s="30" t="s">
        <v>57</v>
      </c>
      <c r="I183" s="19" t="str">
        <f aca="false">INDEX(Lists!$B$2:$B$6,MATCH(H183,Lists!$A$2:$A$6,0))</f>
        <v>المنطقة الغربية</v>
      </c>
      <c r="J183" s="30" t="s">
        <v>111</v>
      </c>
      <c r="K183" s="30" t="s">
        <v>120</v>
      </c>
      <c r="L183" s="31" t="n">
        <v>389</v>
      </c>
      <c r="M183" s="19" t="n">
        <v>1</v>
      </c>
      <c r="N183" s="32" t="n">
        <v>0</v>
      </c>
      <c r="O183" s="30" t="s">
        <v>52</v>
      </c>
      <c r="P183" s="30" t="s">
        <v>47</v>
      </c>
      <c r="Q183" s="30" t="s">
        <v>96</v>
      </c>
      <c r="R183" s="25" t="n">
        <f aca="false">L183*M183*(1-N183)</f>
        <v>389</v>
      </c>
    </row>
    <row r="184" customFormat="false" ht="15" hidden="false" customHeight="false" outlineLevel="0" collapsed="false">
      <c r="A184" s="30" t="s">
        <v>355</v>
      </c>
      <c r="B184" s="44" t="n">
        <v>45362</v>
      </c>
      <c r="C184" s="19" t="n">
        <f aca="false">YEAR(B184)</f>
        <v>2024</v>
      </c>
      <c r="D184" s="19" t="n">
        <f aca="false">MONTH(B184)</f>
        <v>3</v>
      </c>
      <c r="E184" s="30" t="str">
        <f aca="false">INDEX(Lists!$K$2:$K$13,MATCH(D184,Lists!$J$2:$J$13,0))</f>
        <v>مارس</v>
      </c>
      <c r="F184" s="19" t="str">
        <f aca="false">"Q"&amp;ROUNDUP(D184/3,0)</f>
        <v>Q1</v>
      </c>
      <c r="G184" s="30" t="str">
        <f aca="false">INDEX(Lists!$N$2:$N$8,MATCH(WEEKDAY(B184,2),Lists!$M$2:$M$8,0))</f>
        <v>الإثنين</v>
      </c>
      <c r="H184" s="30" t="s">
        <v>60</v>
      </c>
      <c r="I184" s="19" t="str">
        <f aca="false">INDEX(Lists!$B$2:$B$6,MATCH(H184,Lists!$A$2:$A$6,0))</f>
        <v>المنطقة الغربية</v>
      </c>
      <c r="J184" s="30" t="s">
        <v>107</v>
      </c>
      <c r="K184" s="30" t="s">
        <v>115</v>
      </c>
      <c r="L184" s="31" t="n">
        <v>3919</v>
      </c>
      <c r="M184" s="19" t="n">
        <v>1</v>
      </c>
      <c r="N184" s="32" t="n">
        <v>0.2</v>
      </c>
      <c r="O184" s="30" t="s">
        <v>55</v>
      </c>
      <c r="P184" s="30" t="s">
        <v>47</v>
      </c>
      <c r="Q184" s="30" t="s">
        <v>96</v>
      </c>
      <c r="R184" s="25" t="n">
        <f aca="false">L184*M184*(1-N184)</f>
        <v>3135.2</v>
      </c>
    </row>
    <row r="185" customFormat="false" ht="15" hidden="false" customHeight="false" outlineLevel="0" collapsed="false">
      <c r="A185" s="30" t="s">
        <v>356</v>
      </c>
      <c r="B185" s="44" t="n">
        <v>45362</v>
      </c>
      <c r="C185" s="19" t="n">
        <f aca="false">YEAR(B185)</f>
        <v>2024</v>
      </c>
      <c r="D185" s="19" t="n">
        <f aca="false">MONTH(B185)</f>
        <v>3</v>
      </c>
      <c r="E185" s="30" t="str">
        <f aca="false">INDEX(Lists!$K$2:$K$13,MATCH(D185,Lists!$J$2:$J$13,0))</f>
        <v>مارس</v>
      </c>
      <c r="F185" s="19" t="str">
        <f aca="false">"Q"&amp;ROUNDUP(D185/3,0)</f>
        <v>Q1</v>
      </c>
      <c r="G185" s="30" t="str">
        <f aca="false">INDEX(Lists!$N$2:$N$8,MATCH(WEEKDAY(B185,2),Lists!$M$2:$M$8,0))</f>
        <v>الإثنين</v>
      </c>
      <c r="H185" s="30" t="s">
        <v>46</v>
      </c>
      <c r="I185" s="19" t="str">
        <f aca="false">INDEX(Lists!$B$2:$B$6,MATCH(H185,Lists!$A$2:$A$6,0))</f>
        <v>المنطقة الوسطى</v>
      </c>
      <c r="J185" s="30" t="s">
        <v>107</v>
      </c>
      <c r="K185" s="30" t="s">
        <v>184</v>
      </c>
      <c r="L185" s="31" t="n">
        <v>3429</v>
      </c>
      <c r="M185" s="19" t="n">
        <v>1</v>
      </c>
      <c r="N185" s="32" t="n">
        <v>0.05</v>
      </c>
      <c r="O185" s="30" t="s">
        <v>55</v>
      </c>
      <c r="P185" s="30" t="s">
        <v>47</v>
      </c>
      <c r="Q185" s="30" t="s">
        <v>99</v>
      </c>
      <c r="R185" s="25" t="n">
        <f aca="false">L185*M185*(1-N185)</f>
        <v>3257.55</v>
      </c>
    </row>
    <row r="186" customFormat="false" ht="15" hidden="false" customHeight="false" outlineLevel="0" collapsed="false">
      <c r="A186" s="30" t="s">
        <v>357</v>
      </c>
      <c r="B186" s="44" t="n">
        <v>45363</v>
      </c>
      <c r="C186" s="19" t="n">
        <f aca="false">YEAR(B186)</f>
        <v>2024</v>
      </c>
      <c r="D186" s="19" t="n">
        <f aca="false">MONTH(B186)</f>
        <v>3</v>
      </c>
      <c r="E186" s="30" t="str">
        <f aca="false">INDEX(Lists!$K$2:$K$13,MATCH(D186,Lists!$J$2:$J$13,0))</f>
        <v>مارس</v>
      </c>
      <c r="F186" s="19" t="str">
        <f aca="false">"Q"&amp;ROUNDUP(D186/3,0)</f>
        <v>Q1</v>
      </c>
      <c r="G186" s="30" t="str">
        <f aca="false">INDEX(Lists!$N$2:$N$8,MATCH(WEEKDAY(B186,2),Lists!$M$2:$M$8,0))</f>
        <v>الثلاثاء</v>
      </c>
      <c r="H186" s="30" t="s">
        <v>50</v>
      </c>
      <c r="I186" s="19" t="str">
        <f aca="false">INDEX(Lists!$B$2:$B$6,MATCH(H186,Lists!$A$2:$A$6,0))</f>
        <v>المنطقة الغربية</v>
      </c>
      <c r="J186" s="30" t="s">
        <v>105</v>
      </c>
      <c r="K186" s="30" t="s">
        <v>79</v>
      </c>
      <c r="L186" s="31" t="n">
        <v>3129</v>
      </c>
      <c r="M186" s="19" t="n">
        <v>1</v>
      </c>
      <c r="N186" s="32" t="n">
        <v>0</v>
      </c>
      <c r="O186" s="30" t="s">
        <v>48</v>
      </c>
      <c r="P186" s="30" t="s">
        <v>47</v>
      </c>
      <c r="Q186" s="30" t="s">
        <v>86</v>
      </c>
      <c r="R186" s="25" t="n">
        <f aca="false">L186*M186*(1-N186)</f>
        <v>3129</v>
      </c>
    </row>
    <row r="187" customFormat="false" ht="15" hidden="false" customHeight="false" outlineLevel="0" collapsed="false">
      <c r="A187" s="30" t="s">
        <v>358</v>
      </c>
      <c r="B187" s="44" t="n">
        <v>45363</v>
      </c>
      <c r="C187" s="19" t="n">
        <f aca="false">YEAR(B187)</f>
        <v>2024</v>
      </c>
      <c r="D187" s="19" t="n">
        <f aca="false">MONTH(B187)</f>
        <v>3</v>
      </c>
      <c r="E187" s="30" t="str">
        <f aca="false">INDEX(Lists!$K$2:$K$13,MATCH(D187,Lists!$J$2:$J$13,0))</f>
        <v>مارس</v>
      </c>
      <c r="F187" s="19" t="str">
        <f aca="false">"Q"&amp;ROUNDUP(D187/3,0)</f>
        <v>Q1</v>
      </c>
      <c r="G187" s="30" t="str">
        <f aca="false">INDEX(Lists!$N$2:$N$8,MATCH(WEEKDAY(B187,2),Lists!$M$2:$M$8,0))</f>
        <v>الثلاثاء</v>
      </c>
      <c r="H187" s="30" t="s">
        <v>46</v>
      </c>
      <c r="I187" s="19" t="str">
        <f aca="false">INDEX(Lists!$B$2:$B$6,MATCH(H187,Lists!$A$2:$A$6,0))</f>
        <v>المنطقة الوسطى</v>
      </c>
      <c r="J187" s="30" t="s">
        <v>109</v>
      </c>
      <c r="K187" s="30" t="s">
        <v>110</v>
      </c>
      <c r="L187" s="31" t="n">
        <v>129</v>
      </c>
      <c r="M187" s="19" t="n">
        <v>2</v>
      </c>
      <c r="N187" s="32" t="n">
        <v>0</v>
      </c>
      <c r="O187" s="30" t="s">
        <v>58</v>
      </c>
      <c r="P187" s="30" t="s">
        <v>47</v>
      </c>
      <c r="Q187" s="30" t="s">
        <v>89</v>
      </c>
      <c r="R187" s="25" t="n">
        <f aca="false">L187*M187*(1-N187)</f>
        <v>258</v>
      </c>
    </row>
    <row r="188" customFormat="false" ht="15" hidden="false" customHeight="false" outlineLevel="0" collapsed="false">
      <c r="A188" s="30" t="s">
        <v>359</v>
      </c>
      <c r="B188" s="44" t="n">
        <v>45364</v>
      </c>
      <c r="C188" s="19" t="n">
        <f aca="false">YEAR(B188)</f>
        <v>2024</v>
      </c>
      <c r="D188" s="19" t="n">
        <f aca="false">MONTH(B188)</f>
        <v>3</v>
      </c>
      <c r="E188" s="30" t="str">
        <f aca="false">INDEX(Lists!$K$2:$K$13,MATCH(D188,Lists!$J$2:$J$13,0))</f>
        <v>مارس</v>
      </c>
      <c r="F188" s="19" t="str">
        <f aca="false">"Q"&amp;ROUNDUP(D188/3,0)</f>
        <v>Q1</v>
      </c>
      <c r="G188" s="30" t="str">
        <f aca="false">INDEX(Lists!$N$2:$N$8,MATCH(WEEKDAY(B188,2),Lists!$M$2:$M$8,0))</f>
        <v>الأربعاء</v>
      </c>
      <c r="H188" s="30" t="s">
        <v>50</v>
      </c>
      <c r="I188" s="19" t="str">
        <f aca="false">INDEX(Lists!$B$2:$B$6,MATCH(H188,Lists!$A$2:$A$6,0))</f>
        <v>المنطقة الغربية</v>
      </c>
      <c r="J188" s="30" t="s">
        <v>105</v>
      </c>
      <c r="K188" s="30" t="s">
        <v>179</v>
      </c>
      <c r="L188" s="31" t="n">
        <v>4269</v>
      </c>
      <c r="M188" s="19" t="n">
        <v>10</v>
      </c>
      <c r="N188" s="32" t="n">
        <v>0</v>
      </c>
      <c r="O188" s="30" t="s">
        <v>58</v>
      </c>
      <c r="P188" s="30" t="s">
        <v>51</v>
      </c>
      <c r="Q188" s="30" t="s">
        <v>99</v>
      </c>
      <c r="R188" s="25" t="n">
        <f aca="false">L188*M188*(1-N188)</f>
        <v>42690</v>
      </c>
    </row>
    <row r="189" customFormat="false" ht="15" hidden="false" customHeight="false" outlineLevel="0" collapsed="false">
      <c r="A189" s="30" t="s">
        <v>360</v>
      </c>
      <c r="B189" s="44" t="n">
        <v>45364</v>
      </c>
      <c r="C189" s="19" t="n">
        <f aca="false">YEAR(B189)</f>
        <v>2024</v>
      </c>
      <c r="D189" s="19" t="n">
        <f aca="false">MONTH(B189)</f>
        <v>3</v>
      </c>
      <c r="E189" s="30" t="str">
        <f aca="false">INDEX(Lists!$K$2:$K$13,MATCH(D189,Lists!$J$2:$J$13,0))</f>
        <v>مارس</v>
      </c>
      <c r="F189" s="19" t="str">
        <f aca="false">"Q"&amp;ROUNDUP(D189/3,0)</f>
        <v>Q1</v>
      </c>
      <c r="G189" s="30" t="str">
        <f aca="false">INDEX(Lists!$N$2:$N$8,MATCH(WEEKDAY(B189,2),Lists!$M$2:$M$8,0))</f>
        <v>الأربعاء</v>
      </c>
      <c r="H189" s="30" t="s">
        <v>50</v>
      </c>
      <c r="I189" s="19" t="str">
        <f aca="false">INDEX(Lists!$B$2:$B$6,MATCH(H189,Lists!$A$2:$A$6,0))</f>
        <v>المنطقة الغربية</v>
      </c>
      <c r="J189" s="30" t="s">
        <v>105</v>
      </c>
      <c r="K189" s="30" t="s">
        <v>82</v>
      </c>
      <c r="L189" s="31" t="n">
        <v>1799</v>
      </c>
      <c r="M189" s="19" t="n">
        <v>2</v>
      </c>
      <c r="N189" s="32" t="n">
        <v>0</v>
      </c>
      <c r="O189" s="30" t="s">
        <v>52</v>
      </c>
      <c r="P189" s="30" t="s">
        <v>47</v>
      </c>
      <c r="Q189" s="30" t="s">
        <v>78</v>
      </c>
      <c r="R189" s="25" t="n">
        <f aca="false">L189*M189*(1-N189)</f>
        <v>3598</v>
      </c>
    </row>
    <row r="190" customFormat="false" ht="15" hidden="false" customHeight="false" outlineLevel="0" collapsed="false">
      <c r="A190" s="30" t="s">
        <v>361</v>
      </c>
      <c r="B190" s="44" t="n">
        <v>45364</v>
      </c>
      <c r="C190" s="19" t="n">
        <f aca="false">YEAR(B190)</f>
        <v>2024</v>
      </c>
      <c r="D190" s="19" t="n">
        <f aca="false">MONTH(B190)</f>
        <v>3</v>
      </c>
      <c r="E190" s="30" t="str">
        <f aca="false">INDEX(Lists!$K$2:$K$13,MATCH(D190,Lists!$J$2:$J$13,0))</f>
        <v>مارس</v>
      </c>
      <c r="F190" s="19" t="str">
        <f aca="false">"Q"&amp;ROUNDUP(D190/3,0)</f>
        <v>Q1</v>
      </c>
      <c r="G190" s="30" t="str">
        <f aca="false">INDEX(Lists!$N$2:$N$8,MATCH(WEEKDAY(B190,2),Lists!$M$2:$M$8,0))</f>
        <v>الأربعاء</v>
      </c>
      <c r="H190" s="30" t="s">
        <v>54</v>
      </c>
      <c r="I190" s="19" t="str">
        <f aca="false">INDEX(Lists!$B$2:$B$6,MATCH(H190,Lists!$A$2:$A$6,0))</f>
        <v>المنطقة الشرقية</v>
      </c>
      <c r="J190" s="30" t="s">
        <v>111</v>
      </c>
      <c r="K190" s="30" t="s">
        <v>118</v>
      </c>
      <c r="L190" s="31" t="n">
        <v>139</v>
      </c>
      <c r="M190" s="19" t="n">
        <v>1</v>
      </c>
      <c r="N190" s="32" t="n">
        <v>0</v>
      </c>
      <c r="O190" s="30" t="s">
        <v>52</v>
      </c>
      <c r="P190" s="30" t="s">
        <v>47</v>
      </c>
      <c r="Q190" s="30" t="s">
        <v>89</v>
      </c>
      <c r="R190" s="25" t="n">
        <f aca="false">L190*M190*(1-N190)</f>
        <v>139</v>
      </c>
    </row>
    <row r="191" customFormat="false" ht="15" hidden="false" customHeight="false" outlineLevel="0" collapsed="false">
      <c r="A191" s="30" t="s">
        <v>362</v>
      </c>
      <c r="B191" s="44" t="n">
        <v>45364</v>
      </c>
      <c r="C191" s="19" t="n">
        <f aca="false">YEAR(B191)</f>
        <v>2024</v>
      </c>
      <c r="D191" s="19" t="n">
        <f aca="false">MONTH(B191)</f>
        <v>3</v>
      </c>
      <c r="E191" s="30" t="str">
        <f aca="false">INDEX(Lists!$K$2:$K$13,MATCH(D191,Lists!$J$2:$J$13,0))</f>
        <v>مارس</v>
      </c>
      <c r="F191" s="19" t="str">
        <f aca="false">"Q"&amp;ROUNDUP(D191/3,0)</f>
        <v>Q1</v>
      </c>
      <c r="G191" s="30" t="str">
        <f aca="false">INDEX(Lists!$N$2:$N$8,MATCH(WEEKDAY(B191,2),Lists!$M$2:$M$8,0))</f>
        <v>الأربعاء</v>
      </c>
      <c r="H191" s="30" t="s">
        <v>54</v>
      </c>
      <c r="I191" s="19" t="str">
        <f aca="false">INDEX(Lists!$B$2:$B$6,MATCH(H191,Lists!$A$2:$A$6,0))</f>
        <v>المنطقة الشرقية</v>
      </c>
      <c r="J191" s="30" t="s">
        <v>105</v>
      </c>
      <c r="K191" s="30" t="s">
        <v>82</v>
      </c>
      <c r="L191" s="31" t="n">
        <v>3449</v>
      </c>
      <c r="M191" s="19" t="n">
        <v>1</v>
      </c>
      <c r="N191" s="32" t="n">
        <v>0.05</v>
      </c>
      <c r="O191" s="30" t="s">
        <v>55</v>
      </c>
      <c r="P191" s="30" t="s">
        <v>47</v>
      </c>
      <c r="Q191" s="30" t="s">
        <v>86</v>
      </c>
      <c r="R191" s="25" t="n">
        <f aca="false">L191*M191*(1-N191)</f>
        <v>3276.55</v>
      </c>
    </row>
    <row r="192" customFormat="false" ht="15" hidden="false" customHeight="false" outlineLevel="0" collapsed="false">
      <c r="A192" s="30" t="s">
        <v>363</v>
      </c>
      <c r="B192" s="44" t="n">
        <v>45364</v>
      </c>
      <c r="C192" s="19" t="n">
        <f aca="false">YEAR(B192)</f>
        <v>2024</v>
      </c>
      <c r="D192" s="19" t="n">
        <f aca="false">MONTH(B192)</f>
        <v>3</v>
      </c>
      <c r="E192" s="30" t="str">
        <f aca="false">INDEX(Lists!$K$2:$K$13,MATCH(D192,Lists!$J$2:$J$13,0))</f>
        <v>مارس</v>
      </c>
      <c r="F192" s="19" t="str">
        <f aca="false">"Q"&amp;ROUNDUP(D192/3,0)</f>
        <v>Q1</v>
      </c>
      <c r="G192" s="30" t="str">
        <f aca="false">INDEX(Lists!$N$2:$N$8,MATCH(WEEKDAY(B192,2),Lists!$M$2:$M$8,0))</f>
        <v>الأربعاء</v>
      </c>
      <c r="H192" s="30" t="s">
        <v>50</v>
      </c>
      <c r="I192" s="19" t="str">
        <f aca="false">INDEX(Lists!$B$2:$B$6,MATCH(H192,Lists!$A$2:$A$6,0))</f>
        <v>المنطقة الغربية</v>
      </c>
      <c r="J192" s="30" t="s">
        <v>107</v>
      </c>
      <c r="K192" s="30" t="s">
        <v>114</v>
      </c>
      <c r="L192" s="31" t="n">
        <v>5309</v>
      </c>
      <c r="M192" s="19" t="n">
        <v>1</v>
      </c>
      <c r="N192" s="32" t="n">
        <v>0</v>
      </c>
      <c r="O192" s="30" t="s">
        <v>52</v>
      </c>
      <c r="P192" s="30" t="s">
        <v>47</v>
      </c>
      <c r="Q192" s="30" t="s">
        <v>78</v>
      </c>
      <c r="R192" s="25" t="n">
        <f aca="false">L192*M192*(1-N192)</f>
        <v>5309</v>
      </c>
    </row>
    <row r="193" customFormat="false" ht="15" hidden="false" customHeight="false" outlineLevel="0" collapsed="false">
      <c r="A193" s="30" t="s">
        <v>364</v>
      </c>
      <c r="B193" s="44" t="n">
        <v>45365</v>
      </c>
      <c r="C193" s="19" t="n">
        <f aca="false">YEAR(B193)</f>
        <v>2024</v>
      </c>
      <c r="D193" s="19" t="n">
        <f aca="false">MONTH(B193)</f>
        <v>3</v>
      </c>
      <c r="E193" s="30" t="str">
        <f aca="false">INDEX(Lists!$K$2:$K$13,MATCH(D193,Lists!$J$2:$J$13,0))</f>
        <v>مارس</v>
      </c>
      <c r="F193" s="19" t="str">
        <f aca="false">"Q"&amp;ROUNDUP(D193/3,0)</f>
        <v>Q1</v>
      </c>
      <c r="G193" s="30" t="str">
        <f aca="false">INDEX(Lists!$N$2:$N$8,MATCH(WEEKDAY(B193,2),Lists!$M$2:$M$8,0))</f>
        <v>الخميس</v>
      </c>
      <c r="H193" s="30" t="s">
        <v>57</v>
      </c>
      <c r="I193" s="19" t="str">
        <f aca="false">INDEX(Lists!$B$2:$B$6,MATCH(H193,Lists!$A$2:$A$6,0))</f>
        <v>المنطقة الغربية</v>
      </c>
      <c r="J193" s="30" t="s">
        <v>111</v>
      </c>
      <c r="K193" s="30" t="s">
        <v>118</v>
      </c>
      <c r="L193" s="31" t="n">
        <v>589</v>
      </c>
      <c r="M193" s="19" t="n">
        <v>1</v>
      </c>
      <c r="N193" s="32" t="n">
        <v>0.1</v>
      </c>
      <c r="O193" s="30" t="s">
        <v>48</v>
      </c>
      <c r="P193" s="30" t="s">
        <v>47</v>
      </c>
      <c r="Q193" s="30" t="s">
        <v>81</v>
      </c>
      <c r="R193" s="25" t="n">
        <f aca="false">L193*M193*(1-N193)</f>
        <v>530.1</v>
      </c>
    </row>
    <row r="194" customFormat="false" ht="15" hidden="false" customHeight="false" outlineLevel="0" collapsed="false">
      <c r="A194" s="30" t="s">
        <v>365</v>
      </c>
      <c r="B194" s="44" t="n">
        <v>45365</v>
      </c>
      <c r="C194" s="19" t="n">
        <f aca="false">YEAR(B194)</f>
        <v>2024</v>
      </c>
      <c r="D194" s="19" t="n">
        <f aca="false">MONTH(B194)</f>
        <v>3</v>
      </c>
      <c r="E194" s="30" t="str">
        <f aca="false">INDEX(Lists!$K$2:$K$13,MATCH(D194,Lists!$J$2:$J$13,0))</f>
        <v>مارس</v>
      </c>
      <c r="F194" s="19" t="str">
        <f aca="false">"Q"&amp;ROUNDUP(D194/3,0)</f>
        <v>Q1</v>
      </c>
      <c r="G194" s="30" t="str">
        <f aca="false">INDEX(Lists!$N$2:$N$8,MATCH(WEEKDAY(B194,2),Lists!$M$2:$M$8,0))</f>
        <v>الخميس</v>
      </c>
      <c r="H194" s="30" t="s">
        <v>46</v>
      </c>
      <c r="I194" s="19" t="str">
        <f aca="false">INDEX(Lists!$B$2:$B$6,MATCH(H194,Lists!$A$2:$A$6,0))</f>
        <v>المنطقة الوسطى</v>
      </c>
      <c r="J194" s="30" t="s">
        <v>109</v>
      </c>
      <c r="K194" s="30" t="s">
        <v>175</v>
      </c>
      <c r="L194" s="31" t="n">
        <v>319</v>
      </c>
      <c r="M194" s="19" t="n">
        <v>1</v>
      </c>
      <c r="N194" s="32" t="n">
        <v>0.1</v>
      </c>
      <c r="O194" s="30" t="s">
        <v>52</v>
      </c>
      <c r="P194" s="30" t="s">
        <v>47</v>
      </c>
      <c r="Q194" s="30" t="s">
        <v>76</v>
      </c>
      <c r="R194" s="25" t="n">
        <f aca="false">L194*M194*(1-N194)</f>
        <v>287.1</v>
      </c>
    </row>
    <row r="195" customFormat="false" ht="15" hidden="false" customHeight="false" outlineLevel="0" collapsed="false">
      <c r="A195" s="30" t="s">
        <v>366</v>
      </c>
      <c r="B195" s="44" t="n">
        <v>45365</v>
      </c>
      <c r="C195" s="19" t="n">
        <f aca="false">YEAR(B195)</f>
        <v>2024</v>
      </c>
      <c r="D195" s="19" t="n">
        <f aca="false">MONTH(B195)</f>
        <v>3</v>
      </c>
      <c r="E195" s="30" t="str">
        <f aca="false">INDEX(Lists!$K$2:$K$13,MATCH(D195,Lists!$J$2:$J$13,0))</f>
        <v>مارس</v>
      </c>
      <c r="F195" s="19" t="str">
        <f aca="false">"Q"&amp;ROUNDUP(D195/3,0)</f>
        <v>Q1</v>
      </c>
      <c r="G195" s="30" t="str">
        <f aca="false">INDEX(Lists!$N$2:$N$8,MATCH(WEEKDAY(B195,2),Lists!$M$2:$M$8,0))</f>
        <v>الخميس</v>
      </c>
      <c r="H195" s="30" t="s">
        <v>57</v>
      </c>
      <c r="I195" s="19" t="str">
        <f aca="false">INDEX(Lists!$B$2:$B$6,MATCH(H195,Lists!$A$2:$A$6,0))</f>
        <v>المنطقة الغربية</v>
      </c>
      <c r="J195" s="30" t="s">
        <v>105</v>
      </c>
      <c r="K195" s="30" t="s">
        <v>90</v>
      </c>
      <c r="L195" s="31" t="n">
        <v>2479</v>
      </c>
      <c r="M195" s="19" t="n">
        <v>3</v>
      </c>
      <c r="N195" s="32" t="n">
        <v>0</v>
      </c>
      <c r="O195" s="30" t="s">
        <v>48</v>
      </c>
      <c r="P195" s="30" t="s">
        <v>47</v>
      </c>
      <c r="Q195" s="30" t="s">
        <v>86</v>
      </c>
      <c r="R195" s="25" t="n">
        <f aca="false">L195*M195*(1-N195)</f>
        <v>7437</v>
      </c>
    </row>
    <row r="196" customFormat="false" ht="15" hidden="false" customHeight="false" outlineLevel="0" collapsed="false">
      <c r="A196" s="30" t="s">
        <v>367</v>
      </c>
      <c r="B196" s="44" t="n">
        <v>45365</v>
      </c>
      <c r="C196" s="19" t="n">
        <f aca="false">YEAR(B196)</f>
        <v>2024</v>
      </c>
      <c r="D196" s="19" t="n">
        <f aca="false">MONTH(B196)</f>
        <v>3</v>
      </c>
      <c r="E196" s="30" t="str">
        <f aca="false">INDEX(Lists!$K$2:$K$13,MATCH(D196,Lists!$J$2:$J$13,0))</f>
        <v>مارس</v>
      </c>
      <c r="F196" s="19" t="str">
        <f aca="false">"Q"&amp;ROUNDUP(D196/3,0)</f>
        <v>Q1</v>
      </c>
      <c r="G196" s="30" t="str">
        <f aca="false">INDEX(Lists!$N$2:$N$8,MATCH(WEEKDAY(B196,2),Lists!$M$2:$M$8,0))</f>
        <v>الخميس</v>
      </c>
      <c r="H196" s="30" t="s">
        <v>50</v>
      </c>
      <c r="I196" s="19" t="str">
        <f aca="false">INDEX(Lists!$B$2:$B$6,MATCH(H196,Lists!$A$2:$A$6,0))</f>
        <v>المنطقة الغربية</v>
      </c>
      <c r="J196" s="30" t="s">
        <v>109</v>
      </c>
      <c r="K196" s="30" t="s">
        <v>171</v>
      </c>
      <c r="L196" s="31" t="n">
        <v>189</v>
      </c>
      <c r="M196" s="19" t="n">
        <v>1</v>
      </c>
      <c r="N196" s="32" t="n">
        <v>0.05</v>
      </c>
      <c r="O196" s="30" t="s">
        <v>48</v>
      </c>
      <c r="P196" s="30" t="s">
        <v>47</v>
      </c>
      <c r="Q196" s="30" t="s">
        <v>89</v>
      </c>
      <c r="R196" s="25" t="n">
        <f aca="false">L196*M196*(1-N196)</f>
        <v>179.55</v>
      </c>
    </row>
    <row r="197" customFormat="false" ht="15" hidden="false" customHeight="false" outlineLevel="0" collapsed="false">
      <c r="A197" s="30" t="s">
        <v>368</v>
      </c>
      <c r="B197" s="44" t="n">
        <v>45365</v>
      </c>
      <c r="C197" s="19" t="n">
        <f aca="false">YEAR(B197)</f>
        <v>2024</v>
      </c>
      <c r="D197" s="19" t="n">
        <f aca="false">MONTH(B197)</f>
        <v>3</v>
      </c>
      <c r="E197" s="30" t="str">
        <f aca="false">INDEX(Lists!$K$2:$K$13,MATCH(D197,Lists!$J$2:$J$13,0))</f>
        <v>مارس</v>
      </c>
      <c r="F197" s="19" t="str">
        <f aca="false">"Q"&amp;ROUNDUP(D197/3,0)</f>
        <v>Q1</v>
      </c>
      <c r="G197" s="30" t="str">
        <f aca="false">INDEX(Lists!$N$2:$N$8,MATCH(WEEKDAY(B197,2),Lists!$M$2:$M$8,0))</f>
        <v>الخميس</v>
      </c>
      <c r="H197" s="30" t="s">
        <v>46</v>
      </c>
      <c r="I197" s="19" t="str">
        <f aca="false">INDEX(Lists!$B$2:$B$6,MATCH(H197,Lists!$A$2:$A$6,0))</f>
        <v>المنطقة الوسطى</v>
      </c>
      <c r="J197" s="30" t="s">
        <v>111</v>
      </c>
      <c r="K197" s="30" t="s">
        <v>108</v>
      </c>
      <c r="L197" s="31" t="n">
        <v>569</v>
      </c>
      <c r="M197" s="19" t="n">
        <v>1</v>
      </c>
      <c r="N197" s="32" t="n">
        <v>0</v>
      </c>
      <c r="O197" s="30" t="s">
        <v>48</v>
      </c>
      <c r="P197" s="30" t="s">
        <v>47</v>
      </c>
      <c r="Q197" s="30" t="s">
        <v>94</v>
      </c>
      <c r="R197" s="25" t="n">
        <f aca="false">L197*M197*(1-N197)</f>
        <v>569</v>
      </c>
    </row>
    <row r="198" customFormat="false" ht="15" hidden="false" customHeight="false" outlineLevel="0" collapsed="false">
      <c r="A198" s="30" t="s">
        <v>369</v>
      </c>
      <c r="B198" s="44" t="n">
        <v>45365</v>
      </c>
      <c r="C198" s="19" t="n">
        <f aca="false">YEAR(B198)</f>
        <v>2024</v>
      </c>
      <c r="D198" s="19" t="n">
        <f aca="false">MONTH(B198)</f>
        <v>3</v>
      </c>
      <c r="E198" s="30" t="str">
        <f aca="false">INDEX(Lists!$K$2:$K$13,MATCH(D198,Lists!$J$2:$J$13,0))</f>
        <v>مارس</v>
      </c>
      <c r="F198" s="19" t="str">
        <f aca="false">"Q"&amp;ROUNDUP(D198/3,0)</f>
        <v>Q1</v>
      </c>
      <c r="G198" s="30" t="str">
        <f aca="false">INDEX(Lists!$N$2:$N$8,MATCH(WEEKDAY(B198,2),Lists!$M$2:$M$8,0))</f>
        <v>الخميس</v>
      </c>
      <c r="H198" s="30" t="s">
        <v>46</v>
      </c>
      <c r="I198" s="19" t="str">
        <f aca="false">INDEX(Lists!$B$2:$B$6,MATCH(H198,Lists!$A$2:$A$6,0))</f>
        <v>المنطقة الوسطى</v>
      </c>
      <c r="J198" s="30" t="s">
        <v>113</v>
      </c>
      <c r="K198" s="30" t="s">
        <v>121</v>
      </c>
      <c r="L198" s="31" t="n">
        <v>559</v>
      </c>
      <c r="M198" s="19" t="n">
        <v>1</v>
      </c>
      <c r="N198" s="32" t="n">
        <v>0</v>
      </c>
      <c r="O198" s="30" t="s">
        <v>48</v>
      </c>
      <c r="P198" s="30" t="s">
        <v>47</v>
      </c>
      <c r="Q198" s="30" t="s">
        <v>86</v>
      </c>
      <c r="R198" s="25" t="n">
        <f aca="false">L198*M198*(1-N198)</f>
        <v>559</v>
      </c>
    </row>
    <row r="199" customFormat="false" ht="15" hidden="false" customHeight="false" outlineLevel="0" collapsed="false">
      <c r="A199" s="30" t="s">
        <v>370</v>
      </c>
      <c r="B199" s="44" t="n">
        <v>45366</v>
      </c>
      <c r="C199" s="19" t="n">
        <f aca="false">YEAR(B199)</f>
        <v>2024</v>
      </c>
      <c r="D199" s="19" t="n">
        <f aca="false">MONTH(B199)</f>
        <v>3</v>
      </c>
      <c r="E199" s="30" t="str">
        <f aca="false">INDEX(Lists!$K$2:$K$13,MATCH(D199,Lists!$J$2:$J$13,0))</f>
        <v>مارس</v>
      </c>
      <c r="F199" s="19" t="str">
        <f aca="false">"Q"&amp;ROUNDUP(D199/3,0)</f>
        <v>Q1</v>
      </c>
      <c r="G199" s="30" t="str">
        <f aca="false">INDEX(Lists!$N$2:$N$8,MATCH(WEEKDAY(B199,2),Lists!$M$2:$M$8,0))</f>
        <v>الجمعة</v>
      </c>
      <c r="H199" s="30" t="s">
        <v>46</v>
      </c>
      <c r="I199" s="19" t="str">
        <f aca="false">INDEX(Lists!$B$2:$B$6,MATCH(H199,Lists!$A$2:$A$6,0))</f>
        <v>المنطقة الوسطى</v>
      </c>
      <c r="J199" s="30" t="s">
        <v>113</v>
      </c>
      <c r="K199" s="30" t="s">
        <v>100</v>
      </c>
      <c r="L199" s="31" t="n">
        <v>209</v>
      </c>
      <c r="M199" s="19" t="n">
        <v>3</v>
      </c>
      <c r="N199" s="32" t="n">
        <v>0</v>
      </c>
      <c r="O199" s="30" t="s">
        <v>55</v>
      </c>
      <c r="P199" s="30" t="s">
        <v>51</v>
      </c>
      <c r="Q199" s="30" t="s">
        <v>99</v>
      </c>
      <c r="R199" s="25" t="n">
        <f aca="false">L199*M199*(1-N199)</f>
        <v>627</v>
      </c>
    </row>
    <row r="200" customFormat="false" ht="15" hidden="false" customHeight="false" outlineLevel="0" collapsed="false">
      <c r="A200" s="30" t="s">
        <v>371</v>
      </c>
      <c r="B200" s="44" t="n">
        <v>45366</v>
      </c>
      <c r="C200" s="19" t="n">
        <f aca="false">YEAR(B200)</f>
        <v>2024</v>
      </c>
      <c r="D200" s="19" t="n">
        <f aca="false">MONTH(B200)</f>
        <v>3</v>
      </c>
      <c r="E200" s="30" t="str">
        <f aca="false">INDEX(Lists!$K$2:$K$13,MATCH(D200,Lists!$J$2:$J$13,0))</f>
        <v>مارس</v>
      </c>
      <c r="F200" s="19" t="str">
        <f aca="false">"Q"&amp;ROUNDUP(D200/3,0)</f>
        <v>Q1</v>
      </c>
      <c r="G200" s="30" t="str">
        <f aca="false">INDEX(Lists!$N$2:$N$8,MATCH(WEEKDAY(B200,2),Lists!$M$2:$M$8,0))</f>
        <v>الجمعة</v>
      </c>
      <c r="H200" s="30" t="s">
        <v>50</v>
      </c>
      <c r="I200" s="19" t="str">
        <f aca="false">INDEX(Lists!$B$2:$B$6,MATCH(H200,Lists!$A$2:$A$6,0))</f>
        <v>المنطقة الغربية</v>
      </c>
      <c r="J200" s="30" t="s">
        <v>113</v>
      </c>
      <c r="K200" s="30" t="s">
        <v>95</v>
      </c>
      <c r="L200" s="31" t="n">
        <v>479</v>
      </c>
      <c r="M200" s="19" t="n">
        <v>1</v>
      </c>
      <c r="N200" s="32" t="n">
        <v>0</v>
      </c>
      <c r="O200" s="30" t="s">
        <v>55</v>
      </c>
      <c r="P200" s="30" t="s">
        <v>47</v>
      </c>
      <c r="Q200" s="30" t="s">
        <v>99</v>
      </c>
      <c r="R200" s="25" t="n">
        <f aca="false">L200*M200*(1-N200)</f>
        <v>479</v>
      </c>
    </row>
    <row r="201" customFormat="false" ht="15" hidden="false" customHeight="false" outlineLevel="0" collapsed="false">
      <c r="A201" s="30" t="s">
        <v>372</v>
      </c>
      <c r="B201" s="44" t="n">
        <v>45366</v>
      </c>
      <c r="C201" s="19" t="n">
        <f aca="false">YEAR(B201)</f>
        <v>2024</v>
      </c>
      <c r="D201" s="19" t="n">
        <f aca="false">MONTH(B201)</f>
        <v>3</v>
      </c>
      <c r="E201" s="30" t="str">
        <f aca="false">INDEX(Lists!$K$2:$K$13,MATCH(D201,Lists!$J$2:$J$13,0))</f>
        <v>مارس</v>
      </c>
      <c r="F201" s="19" t="str">
        <f aca="false">"Q"&amp;ROUNDUP(D201/3,0)</f>
        <v>Q1</v>
      </c>
      <c r="G201" s="30" t="str">
        <f aca="false">INDEX(Lists!$N$2:$N$8,MATCH(WEEKDAY(B201,2),Lists!$M$2:$M$8,0))</f>
        <v>الجمعة</v>
      </c>
      <c r="H201" s="30" t="s">
        <v>57</v>
      </c>
      <c r="I201" s="19" t="str">
        <f aca="false">INDEX(Lists!$B$2:$B$6,MATCH(H201,Lists!$A$2:$A$6,0))</f>
        <v>المنطقة الغربية</v>
      </c>
      <c r="J201" s="30" t="s">
        <v>109</v>
      </c>
      <c r="K201" s="30" t="s">
        <v>175</v>
      </c>
      <c r="L201" s="31" t="n">
        <v>199</v>
      </c>
      <c r="M201" s="19" t="n">
        <v>3</v>
      </c>
      <c r="N201" s="32" t="n">
        <v>0</v>
      </c>
      <c r="O201" s="30" t="s">
        <v>48</v>
      </c>
      <c r="P201" s="30" t="s">
        <v>47</v>
      </c>
      <c r="Q201" s="30" t="s">
        <v>94</v>
      </c>
      <c r="R201" s="25" t="n">
        <f aca="false">L201*M201*(1-N201)</f>
        <v>597</v>
      </c>
    </row>
    <row r="202" customFormat="false" ht="15" hidden="false" customHeight="false" outlineLevel="0" collapsed="false">
      <c r="A202" s="30" t="s">
        <v>373</v>
      </c>
      <c r="B202" s="44" t="n">
        <v>45367</v>
      </c>
      <c r="C202" s="19" t="n">
        <f aca="false">YEAR(B202)</f>
        <v>2024</v>
      </c>
      <c r="D202" s="19" t="n">
        <f aca="false">MONTH(B202)</f>
        <v>3</v>
      </c>
      <c r="E202" s="30" t="str">
        <f aca="false">INDEX(Lists!$K$2:$K$13,MATCH(D202,Lists!$J$2:$J$13,0))</f>
        <v>مارس</v>
      </c>
      <c r="F202" s="19" t="str">
        <f aca="false">"Q"&amp;ROUNDUP(D202/3,0)</f>
        <v>Q1</v>
      </c>
      <c r="G202" s="30" t="str">
        <f aca="false">INDEX(Lists!$N$2:$N$8,MATCH(WEEKDAY(B202,2),Lists!$M$2:$M$8,0))</f>
        <v>السبت</v>
      </c>
      <c r="H202" s="30" t="s">
        <v>60</v>
      </c>
      <c r="I202" s="19" t="str">
        <f aca="false">INDEX(Lists!$B$2:$B$6,MATCH(H202,Lists!$A$2:$A$6,0))</f>
        <v>المنطقة الغربية</v>
      </c>
      <c r="J202" s="30" t="s">
        <v>111</v>
      </c>
      <c r="K202" s="30" t="s">
        <v>120</v>
      </c>
      <c r="L202" s="31" t="n">
        <v>199</v>
      </c>
      <c r="M202" s="19" t="n">
        <v>2</v>
      </c>
      <c r="N202" s="32" t="n">
        <v>0.05</v>
      </c>
      <c r="O202" s="30" t="s">
        <v>55</v>
      </c>
      <c r="P202" s="30" t="s">
        <v>47</v>
      </c>
      <c r="Q202" s="30" t="s">
        <v>99</v>
      </c>
      <c r="R202" s="25" t="n">
        <f aca="false">L202*M202*(1-N202)</f>
        <v>378.1</v>
      </c>
    </row>
    <row r="203" customFormat="false" ht="15" hidden="false" customHeight="false" outlineLevel="0" collapsed="false">
      <c r="A203" s="30" t="s">
        <v>374</v>
      </c>
      <c r="B203" s="44" t="n">
        <v>45367</v>
      </c>
      <c r="C203" s="19" t="n">
        <f aca="false">YEAR(B203)</f>
        <v>2024</v>
      </c>
      <c r="D203" s="19" t="n">
        <f aca="false">MONTH(B203)</f>
        <v>3</v>
      </c>
      <c r="E203" s="30" t="str">
        <f aca="false">INDEX(Lists!$K$2:$K$13,MATCH(D203,Lists!$J$2:$J$13,0))</f>
        <v>مارس</v>
      </c>
      <c r="F203" s="19" t="str">
        <f aca="false">"Q"&amp;ROUNDUP(D203/3,0)</f>
        <v>Q1</v>
      </c>
      <c r="G203" s="30" t="str">
        <f aca="false">INDEX(Lists!$N$2:$N$8,MATCH(WEEKDAY(B203,2),Lists!$M$2:$M$8,0))</f>
        <v>السبت</v>
      </c>
      <c r="H203" s="30" t="s">
        <v>57</v>
      </c>
      <c r="I203" s="19" t="str">
        <f aca="false">INDEX(Lists!$B$2:$B$6,MATCH(H203,Lists!$A$2:$A$6,0))</f>
        <v>المنطقة الغربية</v>
      </c>
      <c r="J203" s="30" t="s">
        <v>107</v>
      </c>
      <c r="K203" s="30" t="s">
        <v>115</v>
      </c>
      <c r="L203" s="31" t="n">
        <v>5959</v>
      </c>
      <c r="M203" s="19" t="n">
        <v>1</v>
      </c>
      <c r="N203" s="32" t="n">
        <v>0.1</v>
      </c>
      <c r="O203" s="30" t="s">
        <v>55</v>
      </c>
      <c r="P203" s="30" t="s">
        <v>47</v>
      </c>
      <c r="Q203" s="30" t="s">
        <v>76</v>
      </c>
      <c r="R203" s="25" t="n">
        <f aca="false">L203*M203*(1-N203)</f>
        <v>5363.1</v>
      </c>
    </row>
    <row r="204" customFormat="false" ht="15" hidden="false" customHeight="false" outlineLevel="0" collapsed="false">
      <c r="A204" s="30" t="s">
        <v>375</v>
      </c>
      <c r="B204" s="44" t="n">
        <v>45368</v>
      </c>
      <c r="C204" s="19" t="n">
        <f aca="false">YEAR(B204)</f>
        <v>2024</v>
      </c>
      <c r="D204" s="19" t="n">
        <f aca="false">MONTH(B204)</f>
        <v>3</v>
      </c>
      <c r="E204" s="30" t="str">
        <f aca="false">INDEX(Lists!$K$2:$K$13,MATCH(D204,Lists!$J$2:$J$13,0))</f>
        <v>مارس</v>
      </c>
      <c r="F204" s="19" t="str">
        <f aca="false">"Q"&amp;ROUNDUP(D204/3,0)</f>
        <v>Q1</v>
      </c>
      <c r="G204" s="30" t="str">
        <f aca="false">INDEX(Lists!$N$2:$N$8,MATCH(WEEKDAY(B204,2),Lists!$M$2:$M$8,0))</f>
        <v>الأحد</v>
      </c>
      <c r="H204" s="30" t="s">
        <v>60</v>
      </c>
      <c r="I204" s="19" t="str">
        <f aca="false">INDEX(Lists!$B$2:$B$6,MATCH(H204,Lists!$A$2:$A$6,0))</f>
        <v>المنطقة الغربية</v>
      </c>
      <c r="J204" s="30" t="s">
        <v>109</v>
      </c>
      <c r="K204" s="30" t="s">
        <v>171</v>
      </c>
      <c r="L204" s="31" t="n">
        <v>289</v>
      </c>
      <c r="M204" s="19" t="n">
        <v>2</v>
      </c>
      <c r="N204" s="32" t="n">
        <v>0</v>
      </c>
      <c r="O204" s="30" t="s">
        <v>48</v>
      </c>
      <c r="P204" s="30" t="s">
        <v>51</v>
      </c>
      <c r="Q204" s="30" t="s">
        <v>99</v>
      </c>
      <c r="R204" s="25" t="n">
        <f aca="false">L204*M204*(1-N204)</f>
        <v>578</v>
      </c>
    </row>
    <row r="205" customFormat="false" ht="15" hidden="false" customHeight="false" outlineLevel="0" collapsed="false">
      <c r="A205" s="30" t="s">
        <v>376</v>
      </c>
      <c r="B205" s="44" t="n">
        <v>45368</v>
      </c>
      <c r="C205" s="19" t="n">
        <f aca="false">YEAR(B205)</f>
        <v>2024</v>
      </c>
      <c r="D205" s="19" t="n">
        <f aca="false">MONTH(B205)</f>
        <v>3</v>
      </c>
      <c r="E205" s="30" t="str">
        <f aca="false">INDEX(Lists!$K$2:$K$13,MATCH(D205,Lists!$J$2:$J$13,0))</f>
        <v>مارس</v>
      </c>
      <c r="F205" s="19" t="str">
        <f aca="false">"Q"&amp;ROUNDUP(D205/3,0)</f>
        <v>Q1</v>
      </c>
      <c r="G205" s="30" t="str">
        <f aca="false">INDEX(Lists!$N$2:$N$8,MATCH(WEEKDAY(B205,2),Lists!$M$2:$M$8,0))</f>
        <v>الأحد</v>
      </c>
      <c r="H205" s="30" t="s">
        <v>46</v>
      </c>
      <c r="I205" s="19" t="str">
        <f aca="false">INDEX(Lists!$B$2:$B$6,MATCH(H205,Lists!$A$2:$A$6,0))</f>
        <v>المنطقة الوسطى</v>
      </c>
      <c r="J205" s="30" t="s">
        <v>109</v>
      </c>
      <c r="K205" s="30" t="s">
        <v>192</v>
      </c>
      <c r="L205" s="31" t="n">
        <v>299</v>
      </c>
      <c r="M205" s="19" t="n">
        <v>1</v>
      </c>
      <c r="N205" s="32" t="n">
        <v>0.05</v>
      </c>
      <c r="O205" s="30" t="s">
        <v>55</v>
      </c>
      <c r="P205" s="30" t="s">
        <v>47</v>
      </c>
      <c r="Q205" s="30" t="s">
        <v>94</v>
      </c>
      <c r="R205" s="25" t="n">
        <f aca="false">L205*M205*(1-N205)</f>
        <v>284.05</v>
      </c>
    </row>
    <row r="206" customFormat="false" ht="15" hidden="false" customHeight="false" outlineLevel="0" collapsed="false">
      <c r="A206" s="30" t="s">
        <v>377</v>
      </c>
      <c r="B206" s="44" t="n">
        <v>45368</v>
      </c>
      <c r="C206" s="19" t="n">
        <f aca="false">YEAR(B206)</f>
        <v>2024</v>
      </c>
      <c r="D206" s="19" t="n">
        <f aca="false">MONTH(B206)</f>
        <v>3</v>
      </c>
      <c r="E206" s="30" t="str">
        <f aca="false">INDEX(Lists!$K$2:$K$13,MATCH(D206,Lists!$J$2:$J$13,0))</f>
        <v>مارس</v>
      </c>
      <c r="F206" s="19" t="str">
        <f aca="false">"Q"&amp;ROUNDUP(D206/3,0)</f>
        <v>Q1</v>
      </c>
      <c r="G206" s="30" t="str">
        <f aca="false">INDEX(Lists!$N$2:$N$8,MATCH(WEEKDAY(B206,2),Lists!$M$2:$M$8,0))</f>
        <v>الأحد</v>
      </c>
      <c r="H206" s="30" t="s">
        <v>50</v>
      </c>
      <c r="I206" s="19" t="str">
        <f aca="false">INDEX(Lists!$B$2:$B$6,MATCH(H206,Lists!$A$2:$A$6,0))</f>
        <v>المنطقة الغربية</v>
      </c>
      <c r="J206" s="30" t="s">
        <v>107</v>
      </c>
      <c r="K206" s="30" t="s">
        <v>114</v>
      </c>
      <c r="L206" s="31" t="n">
        <v>4469</v>
      </c>
      <c r="M206" s="19" t="n">
        <v>1</v>
      </c>
      <c r="N206" s="32" t="n">
        <v>0</v>
      </c>
      <c r="O206" s="30" t="s">
        <v>48</v>
      </c>
      <c r="P206" s="30" t="s">
        <v>47</v>
      </c>
      <c r="Q206" s="30" t="s">
        <v>78</v>
      </c>
      <c r="R206" s="25" t="n">
        <f aca="false">L206*M206*(1-N206)</f>
        <v>4469</v>
      </c>
    </row>
    <row r="207" customFormat="false" ht="15" hidden="false" customHeight="false" outlineLevel="0" collapsed="false">
      <c r="A207" s="30" t="s">
        <v>378</v>
      </c>
      <c r="B207" s="44" t="n">
        <v>45368</v>
      </c>
      <c r="C207" s="19" t="n">
        <f aca="false">YEAR(B207)</f>
        <v>2024</v>
      </c>
      <c r="D207" s="19" t="n">
        <f aca="false">MONTH(B207)</f>
        <v>3</v>
      </c>
      <c r="E207" s="30" t="str">
        <f aca="false">INDEX(Lists!$K$2:$K$13,MATCH(D207,Lists!$J$2:$J$13,0))</f>
        <v>مارس</v>
      </c>
      <c r="F207" s="19" t="str">
        <f aca="false">"Q"&amp;ROUNDUP(D207/3,0)</f>
        <v>Q1</v>
      </c>
      <c r="G207" s="30" t="str">
        <f aca="false">INDEX(Lists!$N$2:$N$8,MATCH(WEEKDAY(B207,2),Lists!$M$2:$M$8,0))</f>
        <v>الأحد</v>
      </c>
      <c r="H207" s="30" t="s">
        <v>57</v>
      </c>
      <c r="I207" s="19" t="str">
        <f aca="false">INDEX(Lists!$B$2:$B$6,MATCH(H207,Lists!$A$2:$A$6,0))</f>
        <v>المنطقة الغربية</v>
      </c>
      <c r="J207" s="30" t="s">
        <v>107</v>
      </c>
      <c r="K207" s="30" t="s">
        <v>115</v>
      </c>
      <c r="L207" s="31" t="n">
        <v>4549</v>
      </c>
      <c r="M207" s="19" t="n">
        <v>1</v>
      </c>
      <c r="N207" s="32" t="n">
        <v>0.1</v>
      </c>
      <c r="O207" s="30" t="s">
        <v>52</v>
      </c>
      <c r="P207" s="30" t="s">
        <v>47</v>
      </c>
      <c r="Q207" s="30" t="s">
        <v>99</v>
      </c>
      <c r="R207" s="25" t="n">
        <f aca="false">L207*M207*(1-N207)</f>
        <v>4094.1</v>
      </c>
    </row>
    <row r="208" customFormat="false" ht="15" hidden="false" customHeight="false" outlineLevel="0" collapsed="false">
      <c r="A208" s="30" t="s">
        <v>379</v>
      </c>
      <c r="B208" s="44" t="n">
        <v>45370</v>
      </c>
      <c r="C208" s="19" t="n">
        <f aca="false">YEAR(B208)</f>
        <v>2024</v>
      </c>
      <c r="D208" s="19" t="n">
        <f aca="false">MONTH(B208)</f>
        <v>3</v>
      </c>
      <c r="E208" s="30" t="str">
        <f aca="false">INDEX(Lists!$K$2:$K$13,MATCH(D208,Lists!$J$2:$J$13,0))</f>
        <v>مارس</v>
      </c>
      <c r="F208" s="19" t="str">
        <f aca="false">"Q"&amp;ROUNDUP(D208/3,0)</f>
        <v>Q1</v>
      </c>
      <c r="G208" s="30" t="str">
        <f aca="false">INDEX(Lists!$N$2:$N$8,MATCH(WEEKDAY(B208,2),Lists!$M$2:$M$8,0))</f>
        <v>الثلاثاء</v>
      </c>
      <c r="H208" s="30" t="s">
        <v>57</v>
      </c>
      <c r="I208" s="19" t="str">
        <f aca="false">INDEX(Lists!$B$2:$B$6,MATCH(H208,Lists!$A$2:$A$6,0))</f>
        <v>المنطقة الغربية</v>
      </c>
      <c r="J208" s="30" t="s">
        <v>107</v>
      </c>
      <c r="K208" s="30" t="s">
        <v>115</v>
      </c>
      <c r="L208" s="31" t="n">
        <v>3519</v>
      </c>
      <c r="M208" s="19" t="n">
        <v>2</v>
      </c>
      <c r="N208" s="32" t="n">
        <v>0.1</v>
      </c>
      <c r="O208" s="30" t="s">
        <v>48</v>
      </c>
      <c r="P208" s="30" t="s">
        <v>47</v>
      </c>
      <c r="Q208" s="30" t="s">
        <v>86</v>
      </c>
      <c r="R208" s="25" t="n">
        <f aca="false">L208*M208*(1-N208)</f>
        <v>6334.2</v>
      </c>
    </row>
    <row r="209" customFormat="false" ht="15" hidden="false" customHeight="false" outlineLevel="0" collapsed="false">
      <c r="A209" s="30" t="s">
        <v>380</v>
      </c>
      <c r="B209" s="44" t="n">
        <v>45370</v>
      </c>
      <c r="C209" s="19" t="n">
        <f aca="false">YEAR(B209)</f>
        <v>2024</v>
      </c>
      <c r="D209" s="19" t="n">
        <f aca="false">MONTH(B209)</f>
        <v>3</v>
      </c>
      <c r="E209" s="30" t="str">
        <f aca="false">INDEX(Lists!$K$2:$K$13,MATCH(D209,Lists!$J$2:$J$13,0))</f>
        <v>مارس</v>
      </c>
      <c r="F209" s="19" t="str">
        <f aca="false">"Q"&amp;ROUNDUP(D209/3,0)</f>
        <v>Q1</v>
      </c>
      <c r="G209" s="30" t="str">
        <f aca="false">INDEX(Lists!$N$2:$N$8,MATCH(WEEKDAY(B209,2),Lists!$M$2:$M$8,0))</f>
        <v>الثلاثاء</v>
      </c>
      <c r="H209" s="30" t="s">
        <v>57</v>
      </c>
      <c r="I209" s="19" t="str">
        <f aca="false">INDEX(Lists!$B$2:$B$6,MATCH(H209,Lists!$A$2:$A$6,0))</f>
        <v>المنطقة الغربية</v>
      </c>
      <c r="J209" s="30" t="s">
        <v>113</v>
      </c>
      <c r="K209" s="30" t="s">
        <v>121</v>
      </c>
      <c r="L209" s="31" t="n">
        <v>849</v>
      </c>
      <c r="M209" s="19" t="n">
        <v>4</v>
      </c>
      <c r="N209" s="32" t="n">
        <v>0.2</v>
      </c>
      <c r="O209" s="30" t="s">
        <v>55</v>
      </c>
      <c r="P209" s="30" t="s">
        <v>51</v>
      </c>
      <c r="Q209" s="30" t="s">
        <v>84</v>
      </c>
      <c r="R209" s="25" t="n">
        <f aca="false">L209*M209*(1-N209)</f>
        <v>2716.8</v>
      </c>
    </row>
    <row r="210" customFormat="false" ht="15" hidden="false" customHeight="false" outlineLevel="0" collapsed="false">
      <c r="A210" s="30" t="s">
        <v>381</v>
      </c>
      <c r="B210" s="44" t="n">
        <v>45371</v>
      </c>
      <c r="C210" s="19" t="n">
        <f aca="false">YEAR(B210)</f>
        <v>2024</v>
      </c>
      <c r="D210" s="19" t="n">
        <f aca="false">MONTH(B210)</f>
        <v>3</v>
      </c>
      <c r="E210" s="30" t="str">
        <f aca="false">INDEX(Lists!$K$2:$K$13,MATCH(D210,Lists!$J$2:$J$13,0))</f>
        <v>مارس</v>
      </c>
      <c r="F210" s="19" t="str">
        <f aca="false">"Q"&amp;ROUNDUP(D210/3,0)</f>
        <v>Q1</v>
      </c>
      <c r="G210" s="30" t="str">
        <f aca="false">INDEX(Lists!$N$2:$N$8,MATCH(WEEKDAY(B210,2),Lists!$M$2:$M$8,0))</f>
        <v>الأربعاء</v>
      </c>
      <c r="H210" s="30" t="s">
        <v>54</v>
      </c>
      <c r="I210" s="19" t="str">
        <f aca="false">INDEX(Lists!$B$2:$B$6,MATCH(H210,Lists!$A$2:$A$6,0))</f>
        <v>المنطقة الشرقية</v>
      </c>
      <c r="J210" s="30" t="s">
        <v>105</v>
      </c>
      <c r="K210" s="30" t="s">
        <v>179</v>
      </c>
      <c r="L210" s="31" t="n">
        <v>889</v>
      </c>
      <c r="M210" s="19" t="n">
        <v>1</v>
      </c>
      <c r="N210" s="32" t="n">
        <v>0.15</v>
      </c>
      <c r="O210" s="30" t="s">
        <v>58</v>
      </c>
      <c r="P210" s="30" t="s">
        <v>47</v>
      </c>
      <c r="Q210" s="30" t="s">
        <v>76</v>
      </c>
      <c r="R210" s="25" t="n">
        <f aca="false">L210*M210*(1-N210)</f>
        <v>755.65</v>
      </c>
    </row>
    <row r="211" customFormat="false" ht="15" hidden="false" customHeight="false" outlineLevel="0" collapsed="false">
      <c r="A211" s="30" t="s">
        <v>382</v>
      </c>
      <c r="B211" s="44" t="n">
        <v>45371</v>
      </c>
      <c r="C211" s="19" t="n">
        <f aca="false">YEAR(B211)</f>
        <v>2024</v>
      </c>
      <c r="D211" s="19" t="n">
        <f aca="false">MONTH(B211)</f>
        <v>3</v>
      </c>
      <c r="E211" s="30" t="str">
        <f aca="false">INDEX(Lists!$K$2:$K$13,MATCH(D211,Lists!$J$2:$J$13,0))</f>
        <v>مارس</v>
      </c>
      <c r="F211" s="19" t="str">
        <f aca="false">"Q"&amp;ROUNDUP(D211/3,0)</f>
        <v>Q1</v>
      </c>
      <c r="G211" s="30" t="str">
        <f aca="false">INDEX(Lists!$N$2:$N$8,MATCH(WEEKDAY(B211,2),Lists!$M$2:$M$8,0))</f>
        <v>الأربعاء</v>
      </c>
      <c r="H211" s="30" t="s">
        <v>50</v>
      </c>
      <c r="I211" s="19" t="str">
        <f aca="false">INDEX(Lists!$B$2:$B$6,MATCH(H211,Lists!$A$2:$A$6,0))</f>
        <v>المنطقة الغربية</v>
      </c>
      <c r="J211" s="30" t="s">
        <v>107</v>
      </c>
      <c r="K211" s="30" t="s">
        <v>115</v>
      </c>
      <c r="L211" s="31" t="n">
        <v>6519</v>
      </c>
      <c r="M211" s="19" t="n">
        <v>2</v>
      </c>
      <c r="N211" s="32" t="n">
        <v>0</v>
      </c>
      <c r="O211" s="30" t="s">
        <v>48</v>
      </c>
      <c r="P211" s="30" t="s">
        <v>47</v>
      </c>
      <c r="Q211" s="30" t="s">
        <v>78</v>
      </c>
      <c r="R211" s="25" t="n">
        <f aca="false">L211*M211*(1-N211)</f>
        <v>13038</v>
      </c>
    </row>
    <row r="212" customFormat="false" ht="15" hidden="false" customHeight="false" outlineLevel="0" collapsed="false">
      <c r="A212" s="30" t="s">
        <v>383</v>
      </c>
      <c r="B212" s="44" t="n">
        <v>45371</v>
      </c>
      <c r="C212" s="19" t="n">
        <f aca="false">YEAR(B212)</f>
        <v>2024</v>
      </c>
      <c r="D212" s="19" t="n">
        <f aca="false">MONTH(B212)</f>
        <v>3</v>
      </c>
      <c r="E212" s="30" t="str">
        <f aca="false">INDEX(Lists!$K$2:$K$13,MATCH(D212,Lists!$J$2:$J$13,0))</f>
        <v>مارس</v>
      </c>
      <c r="F212" s="19" t="str">
        <f aca="false">"Q"&amp;ROUNDUP(D212/3,0)</f>
        <v>Q1</v>
      </c>
      <c r="G212" s="30" t="str">
        <f aca="false">INDEX(Lists!$N$2:$N$8,MATCH(WEEKDAY(B212,2),Lists!$M$2:$M$8,0))</f>
        <v>الأربعاء</v>
      </c>
      <c r="H212" s="30" t="s">
        <v>50</v>
      </c>
      <c r="I212" s="19" t="str">
        <f aca="false">INDEX(Lists!$B$2:$B$6,MATCH(H212,Lists!$A$2:$A$6,0))</f>
        <v>المنطقة الغربية</v>
      </c>
      <c r="J212" s="30" t="s">
        <v>107</v>
      </c>
      <c r="K212" s="30" t="s">
        <v>184</v>
      </c>
      <c r="L212" s="31" t="n">
        <v>1849</v>
      </c>
      <c r="M212" s="19" t="n">
        <v>1</v>
      </c>
      <c r="N212" s="32" t="n">
        <v>0.15</v>
      </c>
      <c r="O212" s="30" t="s">
        <v>55</v>
      </c>
      <c r="P212" s="30" t="s">
        <v>51</v>
      </c>
      <c r="Q212" s="30" t="s">
        <v>78</v>
      </c>
      <c r="R212" s="25" t="n">
        <f aca="false">L212*M212*(1-N212)</f>
        <v>1571.65</v>
      </c>
    </row>
    <row r="213" customFormat="false" ht="15" hidden="false" customHeight="false" outlineLevel="0" collapsed="false">
      <c r="A213" s="30" t="s">
        <v>384</v>
      </c>
      <c r="B213" s="44" t="n">
        <v>45371</v>
      </c>
      <c r="C213" s="19" t="n">
        <f aca="false">YEAR(B213)</f>
        <v>2024</v>
      </c>
      <c r="D213" s="19" t="n">
        <f aca="false">MONTH(B213)</f>
        <v>3</v>
      </c>
      <c r="E213" s="30" t="str">
        <f aca="false">INDEX(Lists!$K$2:$K$13,MATCH(D213,Lists!$J$2:$J$13,0))</f>
        <v>مارس</v>
      </c>
      <c r="F213" s="19" t="str">
        <f aca="false">"Q"&amp;ROUNDUP(D213/3,0)</f>
        <v>Q1</v>
      </c>
      <c r="G213" s="30" t="str">
        <f aca="false">INDEX(Lists!$N$2:$N$8,MATCH(WEEKDAY(B213,2),Lists!$M$2:$M$8,0))</f>
        <v>الأربعاء</v>
      </c>
      <c r="H213" s="30" t="s">
        <v>46</v>
      </c>
      <c r="I213" s="19" t="str">
        <f aca="false">INDEX(Lists!$B$2:$B$6,MATCH(H213,Lists!$A$2:$A$6,0))</f>
        <v>المنطقة الوسطى</v>
      </c>
      <c r="J213" s="30" t="s">
        <v>111</v>
      </c>
      <c r="K213" s="30" t="s">
        <v>120</v>
      </c>
      <c r="L213" s="31" t="n">
        <v>219</v>
      </c>
      <c r="M213" s="19" t="n">
        <v>1</v>
      </c>
      <c r="N213" s="32" t="n">
        <v>0</v>
      </c>
      <c r="O213" s="30" t="s">
        <v>52</v>
      </c>
      <c r="P213" s="30" t="s">
        <v>47</v>
      </c>
      <c r="Q213" s="30" t="s">
        <v>81</v>
      </c>
      <c r="R213" s="25" t="n">
        <f aca="false">L213*M213*(1-N213)</f>
        <v>219</v>
      </c>
    </row>
    <row r="214" customFormat="false" ht="15" hidden="false" customHeight="false" outlineLevel="0" collapsed="false">
      <c r="A214" s="30" t="s">
        <v>385</v>
      </c>
      <c r="B214" s="44" t="n">
        <v>45371</v>
      </c>
      <c r="C214" s="19" t="n">
        <f aca="false">YEAR(B214)</f>
        <v>2024</v>
      </c>
      <c r="D214" s="19" t="n">
        <f aca="false">MONTH(B214)</f>
        <v>3</v>
      </c>
      <c r="E214" s="30" t="str">
        <f aca="false">INDEX(Lists!$K$2:$K$13,MATCH(D214,Lists!$J$2:$J$13,0))</f>
        <v>مارس</v>
      </c>
      <c r="F214" s="19" t="str">
        <f aca="false">"Q"&amp;ROUNDUP(D214/3,0)</f>
        <v>Q1</v>
      </c>
      <c r="G214" s="30" t="str">
        <f aca="false">INDEX(Lists!$N$2:$N$8,MATCH(WEEKDAY(B214,2),Lists!$M$2:$M$8,0))</f>
        <v>الأربعاء</v>
      </c>
      <c r="H214" s="30" t="s">
        <v>54</v>
      </c>
      <c r="I214" s="19" t="str">
        <f aca="false">INDEX(Lists!$B$2:$B$6,MATCH(H214,Lists!$A$2:$A$6,0))</f>
        <v>المنطقة الشرقية</v>
      </c>
      <c r="J214" s="30" t="s">
        <v>111</v>
      </c>
      <c r="K214" s="30" t="s">
        <v>118</v>
      </c>
      <c r="L214" s="31" t="n">
        <v>369</v>
      </c>
      <c r="M214" s="19" t="n">
        <v>1</v>
      </c>
      <c r="N214" s="32" t="n">
        <v>0</v>
      </c>
      <c r="O214" s="30" t="s">
        <v>48</v>
      </c>
      <c r="P214" s="30" t="s">
        <v>47</v>
      </c>
      <c r="Q214" s="30" t="s">
        <v>89</v>
      </c>
      <c r="R214" s="25" t="n">
        <f aca="false">L214*M214*(1-N214)</f>
        <v>369</v>
      </c>
    </row>
    <row r="215" customFormat="false" ht="15" hidden="false" customHeight="false" outlineLevel="0" collapsed="false">
      <c r="A215" s="30" t="s">
        <v>386</v>
      </c>
      <c r="B215" s="44" t="n">
        <v>45372</v>
      </c>
      <c r="C215" s="19" t="n">
        <f aca="false">YEAR(B215)</f>
        <v>2024</v>
      </c>
      <c r="D215" s="19" t="n">
        <f aca="false">MONTH(B215)</f>
        <v>3</v>
      </c>
      <c r="E215" s="30" t="str">
        <f aca="false">INDEX(Lists!$K$2:$K$13,MATCH(D215,Lists!$J$2:$J$13,0))</f>
        <v>مارس</v>
      </c>
      <c r="F215" s="19" t="str">
        <f aca="false">"Q"&amp;ROUNDUP(D215/3,0)</f>
        <v>Q1</v>
      </c>
      <c r="G215" s="30" t="str">
        <f aca="false">INDEX(Lists!$N$2:$N$8,MATCH(WEEKDAY(B215,2),Lists!$M$2:$M$8,0))</f>
        <v>الخميس</v>
      </c>
      <c r="H215" s="30" t="s">
        <v>57</v>
      </c>
      <c r="I215" s="19" t="str">
        <f aca="false">INDEX(Lists!$B$2:$B$6,MATCH(H215,Lists!$A$2:$A$6,0))</f>
        <v>المنطقة الغربية</v>
      </c>
      <c r="J215" s="30" t="s">
        <v>109</v>
      </c>
      <c r="K215" s="30" t="s">
        <v>175</v>
      </c>
      <c r="L215" s="31" t="n">
        <v>159</v>
      </c>
      <c r="M215" s="19" t="n">
        <v>1</v>
      </c>
      <c r="N215" s="32" t="n">
        <v>0.1</v>
      </c>
      <c r="O215" s="30" t="s">
        <v>52</v>
      </c>
      <c r="P215" s="30" t="s">
        <v>47</v>
      </c>
      <c r="Q215" s="30" t="s">
        <v>94</v>
      </c>
      <c r="R215" s="25" t="n">
        <f aca="false">L215*M215*(1-N215)</f>
        <v>143.1</v>
      </c>
    </row>
    <row r="216" customFormat="false" ht="15" hidden="false" customHeight="false" outlineLevel="0" collapsed="false">
      <c r="A216" s="30" t="s">
        <v>387</v>
      </c>
      <c r="B216" s="44" t="n">
        <v>45372</v>
      </c>
      <c r="C216" s="19" t="n">
        <f aca="false">YEAR(B216)</f>
        <v>2024</v>
      </c>
      <c r="D216" s="19" t="n">
        <f aca="false">MONTH(B216)</f>
        <v>3</v>
      </c>
      <c r="E216" s="30" t="str">
        <f aca="false">INDEX(Lists!$K$2:$K$13,MATCH(D216,Lists!$J$2:$J$13,0))</f>
        <v>مارس</v>
      </c>
      <c r="F216" s="19" t="str">
        <f aca="false">"Q"&amp;ROUNDUP(D216/3,0)</f>
        <v>Q1</v>
      </c>
      <c r="G216" s="30" t="str">
        <f aca="false">INDEX(Lists!$N$2:$N$8,MATCH(WEEKDAY(B216,2),Lists!$M$2:$M$8,0))</f>
        <v>الخميس</v>
      </c>
      <c r="H216" s="30" t="s">
        <v>46</v>
      </c>
      <c r="I216" s="19" t="str">
        <f aca="false">INDEX(Lists!$B$2:$B$6,MATCH(H216,Lists!$A$2:$A$6,0))</f>
        <v>المنطقة الوسطى</v>
      </c>
      <c r="J216" s="30" t="s">
        <v>113</v>
      </c>
      <c r="K216" s="30" t="s">
        <v>121</v>
      </c>
      <c r="L216" s="31" t="n">
        <v>539</v>
      </c>
      <c r="M216" s="19" t="n">
        <v>4</v>
      </c>
      <c r="N216" s="32" t="n">
        <v>0.1</v>
      </c>
      <c r="O216" s="30" t="s">
        <v>52</v>
      </c>
      <c r="P216" s="30" t="s">
        <v>51</v>
      </c>
      <c r="Q216" s="30" t="s">
        <v>89</v>
      </c>
      <c r="R216" s="25" t="n">
        <f aca="false">L216*M216*(1-N216)</f>
        <v>1940.4</v>
      </c>
    </row>
    <row r="217" customFormat="false" ht="15" hidden="false" customHeight="false" outlineLevel="0" collapsed="false">
      <c r="A217" s="30" t="s">
        <v>388</v>
      </c>
      <c r="B217" s="44" t="n">
        <v>45373</v>
      </c>
      <c r="C217" s="19" t="n">
        <f aca="false">YEAR(B217)</f>
        <v>2024</v>
      </c>
      <c r="D217" s="19" t="n">
        <f aca="false">MONTH(B217)</f>
        <v>3</v>
      </c>
      <c r="E217" s="30" t="str">
        <f aca="false">INDEX(Lists!$K$2:$K$13,MATCH(D217,Lists!$J$2:$J$13,0))</f>
        <v>مارس</v>
      </c>
      <c r="F217" s="19" t="str">
        <f aca="false">"Q"&amp;ROUNDUP(D217/3,0)</f>
        <v>Q1</v>
      </c>
      <c r="G217" s="30" t="str">
        <f aca="false">INDEX(Lists!$N$2:$N$8,MATCH(WEEKDAY(B217,2),Lists!$M$2:$M$8,0))</f>
        <v>الجمعة</v>
      </c>
      <c r="H217" s="30" t="s">
        <v>50</v>
      </c>
      <c r="I217" s="19" t="str">
        <f aca="false">INDEX(Lists!$B$2:$B$6,MATCH(H217,Lists!$A$2:$A$6,0))</f>
        <v>المنطقة الغربية</v>
      </c>
      <c r="J217" s="30" t="s">
        <v>105</v>
      </c>
      <c r="K217" s="30" t="s">
        <v>79</v>
      </c>
      <c r="L217" s="31" t="n">
        <v>4039</v>
      </c>
      <c r="M217" s="19" t="n">
        <v>1</v>
      </c>
      <c r="N217" s="32" t="n">
        <v>0.05</v>
      </c>
      <c r="O217" s="30" t="s">
        <v>52</v>
      </c>
      <c r="P217" s="30" t="s">
        <v>47</v>
      </c>
      <c r="Q217" s="30" t="s">
        <v>99</v>
      </c>
      <c r="R217" s="25" t="n">
        <f aca="false">L217*M217*(1-N217)</f>
        <v>3837.05</v>
      </c>
    </row>
    <row r="218" customFormat="false" ht="15" hidden="false" customHeight="false" outlineLevel="0" collapsed="false">
      <c r="A218" s="30" t="s">
        <v>389</v>
      </c>
      <c r="B218" s="44" t="n">
        <v>45373</v>
      </c>
      <c r="C218" s="19" t="n">
        <f aca="false">YEAR(B218)</f>
        <v>2024</v>
      </c>
      <c r="D218" s="19" t="n">
        <f aca="false">MONTH(B218)</f>
        <v>3</v>
      </c>
      <c r="E218" s="30" t="str">
        <f aca="false">INDEX(Lists!$K$2:$K$13,MATCH(D218,Lists!$J$2:$J$13,0))</f>
        <v>مارس</v>
      </c>
      <c r="F218" s="19" t="str">
        <f aca="false">"Q"&amp;ROUNDUP(D218/3,0)</f>
        <v>Q1</v>
      </c>
      <c r="G218" s="30" t="str">
        <f aca="false">INDEX(Lists!$N$2:$N$8,MATCH(WEEKDAY(B218,2),Lists!$M$2:$M$8,0))</f>
        <v>الجمعة</v>
      </c>
      <c r="H218" s="30" t="s">
        <v>57</v>
      </c>
      <c r="I218" s="19" t="str">
        <f aca="false">INDEX(Lists!$B$2:$B$6,MATCH(H218,Lists!$A$2:$A$6,0))</f>
        <v>المنطقة الغربية</v>
      </c>
      <c r="J218" s="30" t="s">
        <v>111</v>
      </c>
      <c r="K218" s="30" t="s">
        <v>118</v>
      </c>
      <c r="L218" s="31" t="n">
        <v>99</v>
      </c>
      <c r="M218" s="19" t="n">
        <v>1</v>
      </c>
      <c r="N218" s="32" t="n">
        <v>0</v>
      </c>
      <c r="O218" s="30" t="s">
        <v>48</v>
      </c>
      <c r="P218" s="30" t="s">
        <v>47</v>
      </c>
      <c r="Q218" s="30" t="s">
        <v>86</v>
      </c>
      <c r="R218" s="25" t="n">
        <f aca="false">L218*M218*(1-N218)</f>
        <v>99</v>
      </c>
    </row>
    <row r="219" customFormat="false" ht="15" hidden="false" customHeight="false" outlineLevel="0" collapsed="false">
      <c r="A219" s="30" t="s">
        <v>390</v>
      </c>
      <c r="B219" s="44" t="n">
        <v>45373</v>
      </c>
      <c r="C219" s="19" t="n">
        <f aca="false">YEAR(B219)</f>
        <v>2024</v>
      </c>
      <c r="D219" s="19" t="n">
        <f aca="false">MONTH(B219)</f>
        <v>3</v>
      </c>
      <c r="E219" s="30" t="str">
        <f aca="false">INDEX(Lists!$K$2:$K$13,MATCH(D219,Lists!$J$2:$J$13,0))</f>
        <v>مارس</v>
      </c>
      <c r="F219" s="19" t="str">
        <f aca="false">"Q"&amp;ROUNDUP(D219/3,0)</f>
        <v>Q1</v>
      </c>
      <c r="G219" s="30" t="str">
        <f aca="false">INDEX(Lists!$N$2:$N$8,MATCH(WEEKDAY(B219,2),Lists!$M$2:$M$8,0))</f>
        <v>الجمعة</v>
      </c>
      <c r="H219" s="30" t="s">
        <v>50</v>
      </c>
      <c r="I219" s="19" t="str">
        <f aca="false">INDEX(Lists!$B$2:$B$6,MATCH(H219,Lists!$A$2:$A$6,0))</f>
        <v>المنطقة الغربية</v>
      </c>
      <c r="J219" s="30" t="s">
        <v>109</v>
      </c>
      <c r="K219" s="30" t="s">
        <v>110</v>
      </c>
      <c r="L219" s="31" t="n">
        <v>199</v>
      </c>
      <c r="M219" s="19" t="n">
        <v>1</v>
      </c>
      <c r="N219" s="32" t="n">
        <v>0</v>
      </c>
      <c r="O219" s="30" t="s">
        <v>48</v>
      </c>
      <c r="P219" s="30" t="s">
        <v>47</v>
      </c>
      <c r="Q219" s="30" t="s">
        <v>99</v>
      </c>
      <c r="R219" s="25" t="n">
        <f aca="false">L219*M219*(1-N219)</f>
        <v>199</v>
      </c>
    </row>
    <row r="220" customFormat="false" ht="15" hidden="false" customHeight="false" outlineLevel="0" collapsed="false">
      <c r="A220" s="30" t="s">
        <v>391</v>
      </c>
      <c r="B220" s="44" t="n">
        <v>45373</v>
      </c>
      <c r="C220" s="19" t="n">
        <f aca="false">YEAR(B220)</f>
        <v>2024</v>
      </c>
      <c r="D220" s="19" t="n">
        <f aca="false">MONTH(B220)</f>
        <v>3</v>
      </c>
      <c r="E220" s="30" t="str">
        <f aca="false">INDEX(Lists!$K$2:$K$13,MATCH(D220,Lists!$J$2:$J$13,0))</f>
        <v>مارس</v>
      </c>
      <c r="F220" s="19" t="str">
        <f aca="false">"Q"&amp;ROUNDUP(D220/3,0)</f>
        <v>Q1</v>
      </c>
      <c r="G220" s="30" t="str">
        <f aca="false">INDEX(Lists!$N$2:$N$8,MATCH(WEEKDAY(B220,2),Lists!$M$2:$M$8,0))</f>
        <v>الجمعة</v>
      </c>
      <c r="H220" s="30" t="s">
        <v>60</v>
      </c>
      <c r="I220" s="19" t="str">
        <f aca="false">INDEX(Lists!$B$2:$B$6,MATCH(H220,Lists!$A$2:$A$6,0))</f>
        <v>المنطقة الغربية</v>
      </c>
      <c r="J220" s="30" t="s">
        <v>109</v>
      </c>
      <c r="K220" s="30" t="s">
        <v>171</v>
      </c>
      <c r="L220" s="31" t="n">
        <v>109</v>
      </c>
      <c r="M220" s="19" t="n">
        <v>1</v>
      </c>
      <c r="N220" s="32" t="n">
        <v>0</v>
      </c>
      <c r="O220" s="30" t="s">
        <v>55</v>
      </c>
      <c r="P220" s="30" t="s">
        <v>47</v>
      </c>
      <c r="Q220" s="30" t="s">
        <v>99</v>
      </c>
      <c r="R220" s="25" t="n">
        <f aca="false">L220*M220*(1-N220)</f>
        <v>109</v>
      </c>
    </row>
    <row r="221" customFormat="false" ht="15" hidden="false" customHeight="false" outlineLevel="0" collapsed="false">
      <c r="A221" s="30" t="s">
        <v>392</v>
      </c>
      <c r="B221" s="44" t="n">
        <v>45373</v>
      </c>
      <c r="C221" s="19" t="n">
        <f aca="false">YEAR(B221)</f>
        <v>2024</v>
      </c>
      <c r="D221" s="19" t="n">
        <f aca="false">MONTH(B221)</f>
        <v>3</v>
      </c>
      <c r="E221" s="30" t="str">
        <f aca="false">INDEX(Lists!$K$2:$K$13,MATCH(D221,Lists!$J$2:$J$13,0))</f>
        <v>مارس</v>
      </c>
      <c r="F221" s="19" t="str">
        <f aca="false">"Q"&amp;ROUNDUP(D221/3,0)</f>
        <v>Q1</v>
      </c>
      <c r="G221" s="30" t="str">
        <f aca="false">INDEX(Lists!$N$2:$N$8,MATCH(WEEKDAY(B221,2),Lists!$M$2:$M$8,0))</f>
        <v>الجمعة</v>
      </c>
      <c r="H221" s="30" t="s">
        <v>46</v>
      </c>
      <c r="I221" s="19" t="str">
        <f aca="false">INDEX(Lists!$B$2:$B$6,MATCH(H221,Lists!$A$2:$A$6,0))</f>
        <v>المنطقة الوسطى</v>
      </c>
      <c r="J221" s="30" t="s">
        <v>105</v>
      </c>
      <c r="K221" s="30" t="s">
        <v>90</v>
      </c>
      <c r="L221" s="31" t="n">
        <v>1439</v>
      </c>
      <c r="M221" s="19" t="n">
        <v>2</v>
      </c>
      <c r="N221" s="32" t="n">
        <v>0.05</v>
      </c>
      <c r="O221" s="30" t="s">
        <v>48</v>
      </c>
      <c r="P221" s="30" t="s">
        <v>47</v>
      </c>
      <c r="Q221" s="30" t="s">
        <v>81</v>
      </c>
      <c r="R221" s="25" t="n">
        <f aca="false">L221*M221*(1-N221)</f>
        <v>2734.1</v>
      </c>
    </row>
    <row r="222" customFormat="false" ht="15" hidden="false" customHeight="false" outlineLevel="0" collapsed="false">
      <c r="A222" s="30" t="s">
        <v>393</v>
      </c>
      <c r="B222" s="44" t="n">
        <v>45373</v>
      </c>
      <c r="C222" s="19" t="n">
        <f aca="false">YEAR(B222)</f>
        <v>2024</v>
      </c>
      <c r="D222" s="19" t="n">
        <f aca="false">MONTH(B222)</f>
        <v>3</v>
      </c>
      <c r="E222" s="30" t="str">
        <f aca="false">INDEX(Lists!$K$2:$K$13,MATCH(D222,Lists!$J$2:$J$13,0))</f>
        <v>مارس</v>
      </c>
      <c r="F222" s="19" t="str">
        <f aca="false">"Q"&amp;ROUNDUP(D222/3,0)</f>
        <v>Q1</v>
      </c>
      <c r="G222" s="30" t="str">
        <f aca="false">INDEX(Lists!$N$2:$N$8,MATCH(WEEKDAY(B222,2),Lists!$M$2:$M$8,0))</f>
        <v>الجمعة</v>
      </c>
      <c r="H222" s="30" t="s">
        <v>46</v>
      </c>
      <c r="I222" s="19" t="str">
        <f aca="false">INDEX(Lists!$B$2:$B$6,MATCH(H222,Lists!$A$2:$A$6,0))</f>
        <v>المنطقة الوسطى</v>
      </c>
      <c r="J222" s="30" t="s">
        <v>109</v>
      </c>
      <c r="K222" s="30" t="s">
        <v>175</v>
      </c>
      <c r="L222" s="31" t="n">
        <v>209</v>
      </c>
      <c r="M222" s="19" t="n">
        <v>5</v>
      </c>
      <c r="N222" s="32" t="n">
        <v>0.05</v>
      </c>
      <c r="O222" s="30" t="s">
        <v>58</v>
      </c>
      <c r="P222" s="30" t="s">
        <v>51</v>
      </c>
      <c r="Q222" s="30" t="s">
        <v>78</v>
      </c>
      <c r="R222" s="25" t="n">
        <f aca="false">L222*M222*(1-N222)</f>
        <v>992.75</v>
      </c>
    </row>
    <row r="223" customFormat="false" ht="15" hidden="false" customHeight="false" outlineLevel="0" collapsed="false">
      <c r="A223" s="30" t="s">
        <v>394</v>
      </c>
      <c r="B223" s="44" t="n">
        <v>45374</v>
      </c>
      <c r="C223" s="19" t="n">
        <f aca="false">YEAR(B223)</f>
        <v>2024</v>
      </c>
      <c r="D223" s="19" t="n">
        <f aca="false">MONTH(B223)</f>
        <v>3</v>
      </c>
      <c r="E223" s="30" t="str">
        <f aca="false">INDEX(Lists!$K$2:$K$13,MATCH(D223,Lists!$J$2:$J$13,0))</f>
        <v>مارس</v>
      </c>
      <c r="F223" s="19" t="str">
        <f aca="false">"Q"&amp;ROUNDUP(D223/3,0)</f>
        <v>Q1</v>
      </c>
      <c r="G223" s="30" t="str">
        <f aca="false">INDEX(Lists!$N$2:$N$8,MATCH(WEEKDAY(B223,2),Lists!$M$2:$M$8,0))</f>
        <v>السبت</v>
      </c>
      <c r="H223" s="30" t="s">
        <v>50</v>
      </c>
      <c r="I223" s="19" t="str">
        <f aca="false">INDEX(Lists!$B$2:$B$6,MATCH(H223,Lists!$A$2:$A$6,0))</f>
        <v>المنطقة الغربية</v>
      </c>
      <c r="J223" s="30" t="s">
        <v>107</v>
      </c>
      <c r="K223" s="30" t="s">
        <v>115</v>
      </c>
      <c r="L223" s="31" t="n">
        <v>3489</v>
      </c>
      <c r="M223" s="19" t="n">
        <v>1</v>
      </c>
      <c r="N223" s="32" t="n">
        <v>0.2</v>
      </c>
      <c r="O223" s="30" t="s">
        <v>48</v>
      </c>
      <c r="P223" s="30" t="s">
        <v>47</v>
      </c>
      <c r="Q223" s="30" t="s">
        <v>81</v>
      </c>
      <c r="R223" s="25" t="n">
        <f aca="false">L223*M223*(1-N223)</f>
        <v>2791.2</v>
      </c>
    </row>
    <row r="224" customFormat="false" ht="15" hidden="false" customHeight="false" outlineLevel="0" collapsed="false">
      <c r="A224" s="30" t="s">
        <v>395</v>
      </c>
      <c r="B224" s="44" t="n">
        <v>45375</v>
      </c>
      <c r="C224" s="19" t="n">
        <f aca="false">YEAR(B224)</f>
        <v>2024</v>
      </c>
      <c r="D224" s="19" t="n">
        <f aca="false">MONTH(B224)</f>
        <v>3</v>
      </c>
      <c r="E224" s="30" t="str">
        <f aca="false">INDEX(Lists!$K$2:$K$13,MATCH(D224,Lists!$J$2:$J$13,0))</f>
        <v>مارس</v>
      </c>
      <c r="F224" s="19" t="str">
        <f aca="false">"Q"&amp;ROUNDUP(D224/3,0)</f>
        <v>Q1</v>
      </c>
      <c r="G224" s="30" t="str">
        <f aca="false">INDEX(Lists!$N$2:$N$8,MATCH(WEEKDAY(B224,2),Lists!$M$2:$M$8,0))</f>
        <v>الأحد</v>
      </c>
      <c r="H224" s="30" t="s">
        <v>46</v>
      </c>
      <c r="I224" s="19" t="str">
        <f aca="false">INDEX(Lists!$B$2:$B$6,MATCH(H224,Lists!$A$2:$A$6,0))</f>
        <v>المنطقة الوسطى</v>
      </c>
      <c r="J224" s="30" t="s">
        <v>105</v>
      </c>
      <c r="K224" s="30" t="s">
        <v>82</v>
      </c>
      <c r="L224" s="31" t="n">
        <v>4409</v>
      </c>
      <c r="M224" s="19" t="n">
        <v>1</v>
      </c>
      <c r="N224" s="32" t="n">
        <v>0.1</v>
      </c>
      <c r="O224" s="30" t="s">
        <v>52</v>
      </c>
      <c r="P224" s="30" t="s">
        <v>47</v>
      </c>
      <c r="Q224" s="30" t="s">
        <v>84</v>
      </c>
      <c r="R224" s="25" t="n">
        <f aca="false">L224*M224*(1-N224)</f>
        <v>3968.1</v>
      </c>
    </row>
    <row r="225" customFormat="false" ht="15" hidden="false" customHeight="false" outlineLevel="0" collapsed="false">
      <c r="A225" s="30" t="s">
        <v>396</v>
      </c>
      <c r="B225" s="44" t="n">
        <v>45375</v>
      </c>
      <c r="C225" s="19" t="n">
        <f aca="false">YEAR(B225)</f>
        <v>2024</v>
      </c>
      <c r="D225" s="19" t="n">
        <f aca="false">MONTH(B225)</f>
        <v>3</v>
      </c>
      <c r="E225" s="30" t="str">
        <f aca="false">INDEX(Lists!$K$2:$K$13,MATCH(D225,Lists!$J$2:$J$13,0))</f>
        <v>مارس</v>
      </c>
      <c r="F225" s="19" t="str">
        <f aca="false">"Q"&amp;ROUNDUP(D225/3,0)</f>
        <v>Q1</v>
      </c>
      <c r="G225" s="30" t="str">
        <f aca="false">INDEX(Lists!$N$2:$N$8,MATCH(WEEKDAY(B225,2),Lists!$M$2:$M$8,0))</f>
        <v>الأحد</v>
      </c>
      <c r="H225" s="30" t="s">
        <v>50</v>
      </c>
      <c r="I225" s="19" t="str">
        <f aca="false">INDEX(Lists!$B$2:$B$6,MATCH(H225,Lists!$A$2:$A$6,0))</f>
        <v>المنطقة الغربية</v>
      </c>
      <c r="J225" s="30" t="s">
        <v>105</v>
      </c>
      <c r="K225" s="30" t="s">
        <v>85</v>
      </c>
      <c r="L225" s="31" t="n">
        <v>1279</v>
      </c>
      <c r="M225" s="19" t="n">
        <v>2</v>
      </c>
      <c r="N225" s="32" t="n">
        <v>0.2</v>
      </c>
      <c r="O225" s="30" t="s">
        <v>52</v>
      </c>
      <c r="P225" s="30" t="s">
        <v>47</v>
      </c>
      <c r="Q225" s="30" t="s">
        <v>84</v>
      </c>
      <c r="R225" s="25" t="n">
        <f aca="false">L225*M225*(1-N225)</f>
        <v>2046.4</v>
      </c>
    </row>
    <row r="226" customFormat="false" ht="15" hidden="false" customHeight="false" outlineLevel="0" collapsed="false">
      <c r="A226" s="30" t="s">
        <v>397</v>
      </c>
      <c r="B226" s="44" t="n">
        <v>45376</v>
      </c>
      <c r="C226" s="19" t="n">
        <f aca="false">YEAR(B226)</f>
        <v>2024</v>
      </c>
      <c r="D226" s="19" t="n">
        <f aca="false">MONTH(B226)</f>
        <v>3</v>
      </c>
      <c r="E226" s="30" t="str">
        <f aca="false">INDEX(Lists!$K$2:$K$13,MATCH(D226,Lists!$J$2:$J$13,0))</f>
        <v>مارس</v>
      </c>
      <c r="F226" s="19" t="str">
        <f aca="false">"Q"&amp;ROUNDUP(D226/3,0)</f>
        <v>Q1</v>
      </c>
      <c r="G226" s="30" t="str">
        <f aca="false">INDEX(Lists!$N$2:$N$8,MATCH(WEEKDAY(B226,2),Lists!$M$2:$M$8,0))</f>
        <v>الإثنين</v>
      </c>
      <c r="H226" s="30" t="s">
        <v>50</v>
      </c>
      <c r="I226" s="19" t="str">
        <f aca="false">INDEX(Lists!$B$2:$B$6,MATCH(H226,Lists!$A$2:$A$6,0))</f>
        <v>المنطقة الغربية</v>
      </c>
      <c r="J226" s="30" t="s">
        <v>109</v>
      </c>
      <c r="K226" s="30" t="s">
        <v>93</v>
      </c>
      <c r="L226" s="31" t="n">
        <v>229</v>
      </c>
      <c r="M226" s="19" t="n">
        <v>1</v>
      </c>
      <c r="N226" s="32" t="n">
        <v>0.1</v>
      </c>
      <c r="O226" s="30" t="s">
        <v>48</v>
      </c>
      <c r="P226" s="30" t="s">
        <v>47</v>
      </c>
      <c r="Q226" s="30" t="s">
        <v>84</v>
      </c>
      <c r="R226" s="25" t="n">
        <f aca="false">L226*M226*(1-N226)</f>
        <v>206.1</v>
      </c>
    </row>
    <row r="227" customFormat="false" ht="15" hidden="false" customHeight="false" outlineLevel="0" collapsed="false">
      <c r="A227" s="30" t="s">
        <v>398</v>
      </c>
      <c r="B227" s="44" t="n">
        <v>45376</v>
      </c>
      <c r="C227" s="19" t="n">
        <f aca="false">YEAR(B227)</f>
        <v>2024</v>
      </c>
      <c r="D227" s="19" t="n">
        <f aca="false">MONTH(B227)</f>
        <v>3</v>
      </c>
      <c r="E227" s="30" t="str">
        <f aca="false">INDEX(Lists!$K$2:$K$13,MATCH(D227,Lists!$J$2:$J$13,0))</f>
        <v>مارس</v>
      </c>
      <c r="F227" s="19" t="str">
        <f aca="false">"Q"&amp;ROUNDUP(D227/3,0)</f>
        <v>Q1</v>
      </c>
      <c r="G227" s="30" t="str">
        <f aca="false">INDEX(Lists!$N$2:$N$8,MATCH(WEEKDAY(B227,2),Lists!$M$2:$M$8,0))</f>
        <v>الإثنين</v>
      </c>
      <c r="H227" s="30" t="s">
        <v>46</v>
      </c>
      <c r="I227" s="19" t="str">
        <f aca="false">INDEX(Lists!$B$2:$B$6,MATCH(H227,Lists!$A$2:$A$6,0))</f>
        <v>المنطقة الوسطى</v>
      </c>
      <c r="J227" s="30" t="s">
        <v>105</v>
      </c>
      <c r="K227" s="30" t="s">
        <v>90</v>
      </c>
      <c r="L227" s="31" t="n">
        <v>2959</v>
      </c>
      <c r="M227" s="19" t="n">
        <v>2</v>
      </c>
      <c r="N227" s="32" t="n">
        <v>0.1</v>
      </c>
      <c r="O227" s="30" t="s">
        <v>48</v>
      </c>
      <c r="P227" s="30" t="s">
        <v>47</v>
      </c>
      <c r="Q227" s="30" t="s">
        <v>84</v>
      </c>
      <c r="R227" s="25" t="n">
        <f aca="false">L227*M227*(1-N227)</f>
        <v>5326.2</v>
      </c>
    </row>
    <row r="228" customFormat="false" ht="15" hidden="false" customHeight="false" outlineLevel="0" collapsed="false">
      <c r="A228" s="30" t="s">
        <v>399</v>
      </c>
      <c r="B228" s="44" t="n">
        <v>45376</v>
      </c>
      <c r="C228" s="19" t="n">
        <f aca="false">YEAR(B228)</f>
        <v>2024</v>
      </c>
      <c r="D228" s="19" t="n">
        <f aca="false">MONTH(B228)</f>
        <v>3</v>
      </c>
      <c r="E228" s="30" t="str">
        <f aca="false">INDEX(Lists!$K$2:$K$13,MATCH(D228,Lists!$J$2:$J$13,0))</f>
        <v>مارس</v>
      </c>
      <c r="F228" s="19" t="str">
        <f aca="false">"Q"&amp;ROUNDUP(D228/3,0)</f>
        <v>Q1</v>
      </c>
      <c r="G228" s="30" t="str">
        <f aca="false">INDEX(Lists!$N$2:$N$8,MATCH(WEEKDAY(B228,2),Lists!$M$2:$M$8,0))</f>
        <v>الإثنين</v>
      </c>
      <c r="H228" s="30" t="s">
        <v>54</v>
      </c>
      <c r="I228" s="19" t="str">
        <f aca="false">INDEX(Lists!$B$2:$B$6,MATCH(H228,Lists!$A$2:$A$6,0))</f>
        <v>المنطقة الشرقية</v>
      </c>
      <c r="J228" s="30" t="s">
        <v>105</v>
      </c>
      <c r="K228" s="30" t="s">
        <v>79</v>
      </c>
      <c r="L228" s="31" t="n">
        <v>1009</v>
      </c>
      <c r="M228" s="19" t="n">
        <v>2</v>
      </c>
      <c r="N228" s="32" t="n">
        <v>0.05</v>
      </c>
      <c r="O228" s="30" t="s">
        <v>52</v>
      </c>
      <c r="P228" s="30" t="s">
        <v>47</v>
      </c>
      <c r="Q228" s="30" t="s">
        <v>78</v>
      </c>
      <c r="R228" s="25" t="n">
        <f aca="false">L228*M228*(1-N228)</f>
        <v>1917.1</v>
      </c>
    </row>
    <row r="229" customFormat="false" ht="15" hidden="false" customHeight="false" outlineLevel="0" collapsed="false">
      <c r="A229" s="30" t="s">
        <v>400</v>
      </c>
      <c r="B229" s="44" t="n">
        <v>45376</v>
      </c>
      <c r="C229" s="19" t="n">
        <f aca="false">YEAR(B229)</f>
        <v>2024</v>
      </c>
      <c r="D229" s="19" t="n">
        <f aca="false">MONTH(B229)</f>
        <v>3</v>
      </c>
      <c r="E229" s="30" t="str">
        <f aca="false">INDEX(Lists!$K$2:$K$13,MATCH(D229,Lists!$J$2:$J$13,0))</f>
        <v>مارس</v>
      </c>
      <c r="F229" s="19" t="str">
        <f aca="false">"Q"&amp;ROUNDUP(D229/3,0)</f>
        <v>Q1</v>
      </c>
      <c r="G229" s="30" t="str">
        <f aca="false">INDEX(Lists!$N$2:$N$8,MATCH(WEEKDAY(B229,2),Lists!$M$2:$M$8,0))</f>
        <v>الإثنين</v>
      </c>
      <c r="H229" s="30" t="s">
        <v>46</v>
      </c>
      <c r="I229" s="19" t="str">
        <f aca="false">INDEX(Lists!$B$2:$B$6,MATCH(H229,Lists!$A$2:$A$6,0))</f>
        <v>المنطقة الوسطى</v>
      </c>
      <c r="J229" s="30" t="s">
        <v>105</v>
      </c>
      <c r="K229" s="30" t="s">
        <v>82</v>
      </c>
      <c r="L229" s="31" t="n">
        <v>3639</v>
      </c>
      <c r="M229" s="19" t="n">
        <v>1</v>
      </c>
      <c r="N229" s="32" t="n">
        <v>0</v>
      </c>
      <c r="O229" s="30" t="s">
        <v>48</v>
      </c>
      <c r="P229" s="30" t="s">
        <v>47</v>
      </c>
      <c r="Q229" s="30" t="s">
        <v>99</v>
      </c>
      <c r="R229" s="25" t="n">
        <f aca="false">L229*M229*(1-N229)</f>
        <v>3639</v>
      </c>
    </row>
    <row r="230" customFormat="false" ht="15" hidden="false" customHeight="false" outlineLevel="0" collapsed="false">
      <c r="A230" s="30" t="s">
        <v>401</v>
      </c>
      <c r="B230" s="44" t="n">
        <v>45376</v>
      </c>
      <c r="C230" s="19" t="n">
        <f aca="false">YEAR(B230)</f>
        <v>2024</v>
      </c>
      <c r="D230" s="19" t="n">
        <f aca="false">MONTH(B230)</f>
        <v>3</v>
      </c>
      <c r="E230" s="30" t="str">
        <f aca="false">INDEX(Lists!$K$2:$K$13,MATCH(D230,Lists!$J$2:$J$13,0))</f>
        <v>مارس</v>
      </c>
      <c r="F230" s="19" t="str">
        <f aca="false">"Q"&amp;ROUNDUP(D230/3,0)</f>
        <v>Q1</v>
      </c>
      <c r="G230" s="30" t="str">
        <f aca="false">INDEX(Lists!$N$2:$N$8,MATCH(WEEKDAY(B230,2),Lists!$M$2:$M$8,0))</f>
        <v>الإثنين</v>
      </c>
      <c r="H230" s="30" t="s">
        <v>46</v>
      </c>
      <c r="I230" s="19" t="str">
        <f aca="false">INDEX(Lists!$B$2:$B$6,MATCH(H230,Lists!$A$2:$A$6,0))</f>
        <v>المنطقة الوسطى</v>
      </c>
      <c r="J230" s="30" t="s">
        <v>113</v>
      </c>
      <c r="K230" s="30" t="s">
        <v>100</v>
      </c>
      <c r="L230" s="31" t="n">
        <v>299</v>
      </c>
      <c r="M230" s="19" t="n">
        <v>1</v>
      </c>
      <c r="N230" s="32" t="n">
        <v>0.05</v>
      </c>
      <c r="O230" s="30" t="s">
        <v>58</v>
      </c>
      <c r="P230" s="30" t="s">
        <v>47</v>
      </c>
      <c r="Q230" s="30" t="s">
        <v>94</v>
      </c>
      <c r="R230" s="25" t="n">
        <f aca="false">L230*M230*(1-N230)</f>
        <v>284.05</v>
      </c>
    </row>
    <row r="231" customFormat="false" ht="15" hidden="false" customHeight="false" outlineLevel="0" collapsed="false">
      <c r="A231" s="30" t="s">
        <v>402</v>
      </c>
      <c r="B231" s="44" t="n">
        <v>45377</v>
      </c>
      <c r="C231" s="19" t="n">
        <f aca="false">YEAR(B231)</f>
        <v>2024</v>
      </c>
      <c r="D231" s="19" t="n">
        <f aca="false">MONTH(B231)</f>
        <v>3</v>
      </c>
      <c r="E231" s="30" t="str">
        <f aca="false">INDEX(Lists!$K$2:$K$13,MATCH(D231,Lists!$J$2:$J$13,0))</f>
        <v>مارس</v>
      </c>
      <c r="F231" s="19" t="str">
        <f aca="false">"Q"&amp;ROUNDUP(D231/3,0)</f>
        <v>Q1</v>
      </c>
      <c r="G231" s="30" t="str">
        <f aca="false">INDEX(Lists!$N$2:$N$8,MATCH(WEEKDAY(B231,2),Lists!$M$2:$M$8,0))</f>
        <v>الثلاثاء</v>
      </c>
      <c r="H231" s="30" t="s">
        <v>57</v>
      </c>
      <c r="I231" s="19" t="str">
        <f aca="false">INDEX(Lists!$B$2:$B$6,MATCH(H231,Lists!$A$2:$A$6,0))</f>
        <v>المنطقة الغربية</v>
      </c>
      <c r="J231" s="30" t="s">
        <v>105</v>
      </c>
      <c r="K231" s="30" t="s">
        <v>179</v>
      </c>
      <c r="L231" s="31" t="n">
        <v>3919</v>
      </c>
      <c r="M231" s="19" t="n">
        <v>1</v>
      </c>
      <c r="N231" s="32" t="n">
        <v>0</v>
      </c>
      <c r="O231" s="30" t="s">
        <v>58</v>
      </c>
      <c r="P231" s="30" t="s">
        <v>47</v>
      </c>
      <c r="Q231" s="30" t="s">
        <v>86</v>
      </c>
      <c r="R231" s="25" t="n">
        <f aca="false">L231*M231*(1-N231)</f>
        <v>3919</v>
      </c>
    </row>
    <row r="232" customFormat="false" ht="15" hidden="false" customHeight="false" outlineLevel="0" collapsed="false">
      <c r="A232" s="30" t="s">
        <v>403</v>
      </c>
      <c r="B232" s="44" t="n">
        <v>45377</v>
      </c>
      <c r="C232" s="19" t="n">
        <f aca="false">YEAR(B232)</f>
        <v>2024</v>
      </c>
      <c r="D232" s="19" t="n">
        <f aca="false">MONTH(B232)</f>
        <v>3</v>
      </c>
      <c r="E232" s="30" t="str">
        <f aca="false">INDEX(Lists!$K$2:$K$13,MATCH(D232,Lists!$J$2:$J$13,0))</f>
        <v>مارس</v>
      </c>
      <c r="F232" s="19" t="str">
        <f aca="false">"Q"&amp;ROUNDUP(D232/3,0)</f>
        <v>Q1</v>
      </c>
      <c r="G232" s="30" t="str">
        <f aca="false">INDEX(Lists!$N$2:$N$8,MATCH(WEEKDAY(B232,2),Lists!$M$2:$M$8,0))</f>
        <v>الثلاثاء</v>
      </c>
      <c r="H232" s="30" t="s">
        <v>46</v>
      </c>
      <c r="I232" s="19" t="str">
        <f aca="false">INDEX(Lists!$B$2:$B$6,MATCH(H232,Lists!$A$2:$A$6,0))</f>
        <v>المنطقة الوسطى</v>
      </c>
      <c r="J232" s="30" t="s">
        <v>107</v>
      </c>
      <c r="K232" s="30" t="s">
        <v>114</v>
      </c>
      <c r="L232" s="31" t="n">
        <v>3329</v>
      </c>
      <c r="M232" s="19" t="n">
        <v>1</v>
      </c>
      <c r="N232" s="32" t="n">
        <v>0</v>
      </c>
      <c r="O232" s="30" t="s">
        <v>58</v>
      </c>
      <c r="P232" s="30" t="s">
        <v>47</v>
      </c>
      <c r="Q232" s="30" t="s">
        <v>92</v>
      </c>
      <c r="R232" s="25" t="n">
        <f aca="false">L232*M232*(1-N232)</f>
        <v>3329</v>
      </c>
    </row>
    <row r="233" customFormat="false" ht="15" hidden="false" customHeight="false" outlineLevel="0" collapsed="false">
      <c r="A233" s="30" t="s">
        <v>404</v>
      </c>
      <c r="B233" s="44" t="n">
        <v>45378</v>
      </c>
      <c r="C233" s="19" t="n">
        <f aca="false">YEAR(B233)</f>
        <v>2024</v>
      </c>
      <c r="D233" s="19" t="n">
        <f aca="false">MONTH(B233)</f>
        <v>3</v>
      </c>
      <c r="E233" s="30" t="str">
        <f aca="false">INDEX(Lists!$K$2:$K$13,MATCH(D233,Lists!$J$2:$J$13,0))</f>
        <v>مارس</v>
      </c>
      <c r="F233" s="19" t="str">
        <f aca="false">"Q"&amp;ROUNDUP(D233/3,0)</f>
        <v>Q1</v>
      </c>
      <c r="G233" s="30" t="str">
        <f aca="false">INDEX(Lists!$N$2:$N$8,MATCH(WEEKDAY(B233,2),Lists!$M$2:$M$8,0))</f>
        <v>الأربعاء</v>
      </c>
      <c r="H233" s="30" t="s">
        <v>54</v>
      </c>
      <c r="I233" s="19" t="str">
        <f aca="false">INDEX(Lists!$B$2:$B$6,MATCH(H233,Lists!$A$2:$A$6,0))</f>
        <v>المنطقة الشرقية</v>
      </c>
      <c r="J233" s="30" t="s">
        <v>111</v>
      </c>
      <c r="K233" s="30" t="s">
        <v>108</v>
      </c>
      <c r="L233" s="31" t="n">
        <v>589</v>
      </c>
      <c r="M233" s="19" t="n">
        <v>2</v>
      </c>
      <c r="N233" s="32" t="n">
        <v>0</v>
      </c>
      <c r="O233" s="30" t="s">
        <v>48</v>
      </c>
      <c r="P233" s="30" t="s">
        <v>47</v>
      </c>
      <c r="Q233" s="30" t="s">
        <v>99</v>
      </c>
      <c r="R233" s="25" t="n">
        <f aca="false">L233*M233*(1-N233)</f>
        <v>1178</v>
      </c>
    </row>
    <row r="234" customFormat="false" ht="15" hidden="false" customHeight="false" outlineLevel="0" collapsed="false">
      <c r="A234" s="30" t="s">
        <v>405</v>
      </c>
      <c r="B234" s="44" t="n">
        <v>45378</v>
      </c>
      <c r="C234" s="19" t="n">
        <f aca="false">YEAR(B234)</f>
        <v>2024</v>
      </c>
      <c r="D234" s="19" t="n">
        <f aca="false">MONTH(B234)</f>
        <v>3</v>
      </c>
      <c r="E234" s="30" t="str">
        <f aca="false">INDEX(Lists!$K$2:$K$13,MATCH(D234,Lists!$J$2:$J$13,0))</f>
        <v>مارس</v>
      </c>
      <c r="F234" s="19" t="str">
        <f aca="false">"Q"&amp;ROUNDUP(D234/3,0)</f>
        <v>Q1</v>
      </c>
      <c r="G234" s="30" t="str">
        <f aca="false">INDEX(Lists!$N$2:$N$8,MATCH(WEEKDAY(B234,2),Lists!$M$2:$M$8,0))</f>
        <v>الأربعاء</v>
      </c>
      <c r="H234" s="30" t="s">
        <v>54</v>
      </c>
      <c r="I234" s="19" t="str">
        <f aca="false">INDEX(Lists!$B$2:$B$6,MATCH(H234,Lists!$A$2:$A$6,0))</f>
        <v>المنطقة الشرقية</v>
      </c>
      <c r="J234" s="30" t="s">
        <v>105</v>
      </c>
      <c r="K234" s="30" t="s">
        <v>85</v>
      </c>
      <c r="L234" s="31" t="n">
        <v>2919</v>
      </c>
      <c r="M234" s="19" t="n">
        <v>2</v>
      </c>
      <c r="N234" s="32" t="n">
        <v>0.15</v>
      </c>
      <c r="O234" s="30" t="s">
        <v>52</v>
      </c>
      <c r="P234" s="30" t="s">
        <v>47</v>
      </c>
      <c r="Q234" s="30" t="s">
        <v>94</v>
      </c>
      <c r="R234" s="25" t="n">
        <f aca="false">L234*M234*(1-N234)</f>
        <v>4962.3</v>
      </c>
    </row>
    <row r="235" customFormat="false" ht="15" hidden="false" customHeight="false" outlineLevel="0" collapsed="false">
      <c r="A235" s="30" t="s">
        <v>406</v>
      </c>
      <c r="B235" s="44" t="n">
        <v>45378</v>
      </c>
      <c r="C235" s="19" t="n">
        <f aca="false">YEAR(B235)</f>
        <v>2024</v>
      </c>
      <c r="D235" s="19" t="n">
        <f aca="false">MONTH(B235)</f>
        <v>3</v>
      </c>
      <c r="E235" s="30" t="str">
        <f aca="false">INDEX(Lists!$K$2:$K$13,MATCH(D235,Lists!$J$2:$J$13,0))</f>
        <v>مارس</v>
      </c>
      <c r="F235" s="19" t="str">
        <f aca="false">"Q"&amp;ROUNDUP(D235/3,0)</f>
        <v>Q1</v>
      </c>
      <c r="G235" s="30" t="str">
        <f aca="false">INDEX(Lists!$N$2:$N$8,MATCH(WEEKDAY(B235,2),Lists!$M$2:$M$8,0))</f>
        <v>الأربعاء</v>
      </c>
      <c r="H235" s="30" t="s">
        <v>54</v>
      </c>
      <c r="I235" s="19" t="str">
        <f aca="false">INDEX(Lists!$B$2:$B$6,MATCH(H235,Lists!$A$2:$A$6,0))</f>
        <v>المنطقة الشرقية</v>
      </c>
      <c r="J235" s="30" t="s">
        <v>105</v>
      </c>
      <c r="K235" s="30" t="s">
        <v>82</v>
      </c>
      <c r="L235" s="31" t="n">
        <v>989</v>
      </c>
      <c r="M235" s="19" t="n">
        <v>1</v>
      </c>
      <c r="N235" s="32" t="n">
        <v>0.05</v>
      </c>
      <c r="O235" s="30" t="s">
        <v>55</v>
      </c>
      <c r="P235" s="30" t="s">
        <v>47</v>
      </c>
      <c r="Q235" s="30" t="s">
        <v>81</v>
      </c>
      <c r="R235" s="25" t="n">
        <f aca="false">L235*M235*(1-N235)</f>
        <v>939.55</v>
      </c>
    </row>
    <row r="236" customFormat="false" ht="15" hidden="false" customHeight="false" outlineLevel="0" collapsed="false">
      <c r="A236" s="30" t="s">
        <v>407</v>
      </c>
      <c r="B236" s="44" t="n">
        <v>45378</v>
      </c>
      <c r="C236" s="19" t="n">
        <f aca="false">YEAR(B236)</f>
        <v>2024</v>
      </c>
      <c r="D236" s="19" t="n">
        <f aca="false">MONTH(B236)</f>
        <v>3</v>
      </c>
      <c r="E236" s="30" t="str">
        <f aca="false">INDEX(Lists!$K$2:$K$13,MATCH(D236,Lists!$J$2:$J$13,0))</f>
        <v>مارس</v>
      </c>
      <c r="F236" s="19" t="str">
        <f aca="false">"Q"&amp;ROUNDUP(D236/3,0)</f>
        <v>Q1</v>
      </c>
      <c r="G236" s="30" t="str">
        <f aca="false">INDEX(Lists!$N$2:$N$8,MATCH(WEEKDAY(B236,2),Lists!$M$2:$M$8,0))</f>
        <v>الأربعاء</v>
      </c>
      <c r="H236" s="30" t="s">
        <v>46</v>
      </c>
      <c r="I236" s="19" t="str">
        <f aca="false">INDEX(Lists!$B$2:$B$6,MATCH(H236,Lists!$A$2:$A$6,0))</f>
        <v>المنطقة الوسطى</v>
      </c>
      <c r="J236" s="30" t="s">
        <v>109</v>
      </c>
      <c r="K236" s="30" t="s">
        <v>93</v>
      </c>
      <c r="L236" s="31" t="n">
        <v>229</v>
      </c>
      <c r="M236" s="19" t="n">
        <v>2</v>
      </c>
      <c r="N236" s="32" t="n">
        <v>0.15</v>
      </c>
      <c r="O236" s="30" t="s">
        <v>52</v>
      </c>
      <c r="P236" s="30" t="s">
        <v>47</v>
      </c>
      <c r="Q236" s="30" t="s">
        <v>86</v>
      </c>
      <c r="R236" s="25" t="n">
        <f aca="false">L236*M236*(1-N236)</f>
        <v>389.3</v>
      </c>
    </row>
    <row r="237" customFormat="false" ht="15" hidden="false" customHeight="false" outlineLevel="0" collapsed="false">
      <c r="A237" s="30" t="s">
        <v>408</v>
      </c>
      <c r="B237" s="44" t="n">
        <v>45378</v>
      </c>
      <c r="C237" s="19" t="n">
        <f aca="false">YEAR(B237)</f>
        <v>2024</v>
      </c>
      <c r="D237" s="19" t="n">
        <f aca="false">MONTH(B237)</f>
        <v>3</v>
      </c>
      <c r="E237" s="30" t="str">
        <f aca="false">INDEX(Lists!$K$2:$K$13,MATCH(D237,Lists!$J$2:$J$13,0))</f>
        <v>مارس</v>
      </c>
      <c r="F237" s="19" t="str">
        <f aca="false">"Q"&amp;ROUNDUP(D237/3,0)</f>
        <v>Q1</v>
      </c>
      <c r="G237" s="30" t="str">
        <f aca="false">INDEX(Lists!$N$2:$N$8,MATCH(WEEKDAY(B237,2),Lists!$M$2:$M$8,0))</f>
        <v>الأربعاء</v>
      </c>
      <c r="H237" s="30" t="s">
        <v>54</v>
      </c>
      <c r="I237" s="19" t="str">
        <f aca="false">INDEX(Lists!$B$2:$B$6,MATCH(H237,Lists!$A$2:$A$6,0))</f>
        <v>المنطقة الشرقية</v>
      </c>
      <c r="J237" s="30" t="s">
        <v>107</v>
      </c>
      <c r="K237" s="30" t="s">
        <v>184</v>
      </c>
      <c r="L237" s="31" t="n">
        <v>5509</v>
      </c>
      <c r="M237" s="19" t="n">
        <v>1</v>
      </c>
      <c r="N237" s="32" t="n">
        <v>0.2</v>
      </c>
      <c r="O237" s="30" t="s">
        <v>48</v>
      </c>
      <c r="P237" s="30" t="s">
        <v>47</v>
      </c>
      <c r="Q237" s="30" t="s">
        <v>81</v>
      </c>
      <c r="R237" s="25" t="n">
        <f aca="false">L237*M237*(1-N237)</f>
        <v>4407.2</v>
      </c>
    </row>
    <row r="238" customFormat="false" ht="15" hidden="false" customHeight="false" outlineLevel="0" collapsed="false">
      <c r="A238" s="30" t="s">
        <v>409</v>
      </c>
      <c r="B238" s="44" t="n">
        <v>45378</v>
      </c>
      <c r="C238" s="19" t="n">
        <f aca="false">YEAR(B238)</f>
        <v>2024</v>
      </c>
      <c r="D238" s="19" t="n">
        <f aca="false">MONTH(B238)</f>
        <v>3</v>
      </c>
      <c r="E238" s="30" t="str">
        <f aca="false">INDEX(Lists!$K$2:$K$13,MATCH(D238,Lists!$J$2:$J$13,0))</f>
        <v>مارس</v>
      </c>
      <c r="F238" s="19" t="str">
        <f aca="false">"Q"&amp;ROUNDUP(D238/3,0)</f>
        <v>Q1</v>
      </c>
      <c r="G238" s="30" t="str">
        <f aca="false">INDEX(Lists!$N$2:$N$8,MATCH(WEEKDAY(B238,2),Lists!$M$2:$M$8,0))</f>
        <v>الأربعاء</v>
      </c>
      <c r="H238" s="30" t="s">
        <v>46</v>
      </c>
      <c r="I238" s="19" t="str">
        <f aca="false">INDEX(Lists!$B$2:$B$6,MATCH(H238,Lists!$A$2:$A$6,0))</f>
        <v>المنطقة الوسطى</v>
      </c>
      <c r="J238" s="30" t="s">
        <v>107</v>
      </c>
      <c r="K238" s="30" t="s">
        <v>272</v>
      </c>
      <c r="L238" s="31" t="n">
        <v>3099</v>
      </c>
      <c r="M238" s="19" t="n">
        <v>1</v>
      </c>
      <c r="N238" s="32" t="n">
        <v>0</v>
      </c>
      <c r="O238" s="30" t="s">
        <v>52</v>
      </c>
      <c r="P238" s="30" t="s">
        <v>47</v>
      </c>
      <c r="Q238" s="30" t="s">
        <v>84</v>
      </c>
      <c r="R238" s="25" t="n">
        <f aca="false">L238*M238*(1-N238)</f>
        <v>3099</v>
      </c>
    </row>
    <row r="239" customFormat="false" ht="15" hidden="false" customHeight="false" outlineLevel="0" collapsed="false">
      <c r="A239" s="30" t="s">
        <v>410</v>
      </c>
      <c r="B239" s="44" t="n">
        <v>45379</v>
      </c>
      <c r="C239" s="19" t="n">
        <f aca="false">YEAR(B239)</f>
        <v>2024</v>
      </c>
      <c r="D239" s="19" t="n">
        <f aca="false">MONTH(B239)</f>
        <v>3</v>
      </c>
      <c r="E239" s="30" t="str">
        <f aca="false">INDEX(Lists!$K$2:$K$13,MATCH(D239,Lists!$J$2:$J$13,0))</f>
        <v>مارس</v>
      </c>
      <c r="F239" s="19" t="str">
        <f aca="false">"Q"&amp;ROUNDUP(D239/3,0)</f>
        <v>Q1</v>
      </c>
      <c r="G239" s="30" t="str">
        <f aca="false">INDEX(Lists!$N$2:$N$8,MATCH(WEEKDAY(B239,2),Lists!$M$2:$M$8,0))</f>
        <v>الخميس</v>
      </c>
      <c r="H239" s="30" t="s">
        <v>60</v>
      </c>
      <c r="I239" s="19" t="str">
        <f aca="false">INDEX(Lists!$B$2:$B$6,MATCH(H239,Lists!$A$2:$A$6,0))</f>
        <v>المنطقة الغربية</v>
      </c>
      <c r="J239" s="30" t="s">
        <v>107</v>
      </c>
      <c r="K239" s="30" t="s">
        <v>184</v>
      </c>
      <c r="L239" s="31" t="n">
        <v>2839</v>
      </c>
      <c r="M239" s="19" t="n">
        <v>4</v>
      </c>
      <c r="N239" s="32" t="n">
        <v>0</v>
      </c>
      <c r="O239" s="30" t="s">
        <v>52</v>
      </c>
      <c r="P239" s="30" t="s">
        <v>51</v>
      </c>
      <c r="Q239" s="30" t="s">
        <v>89</v>
      </c>
      <c r="R239" s="25" t="n">
        <f aca="false">L239*M239*(1-N239)</f>
        <v>11356</v>
      </c>
    </row>
    <row r="240" customFormat="false" ht="15" hidden="false" customHeight="false" outlineLevel="0" collapsed="false">
      <c r="A240" s="30" t="s">
        <v>411</v>
      </c>
      <c r="B240" s="44" t="n">
        <v>45379</v>
      </c>
      <c r="C240" s="19" t="n">
        <f aca="false">YEAR(B240)</f>
        <v>2024</v>
      </c>
      <c r="D240" s="19" t="n">
        <f aca="false">MONTH(B240)</f>
        <v>3</v>
      </c>
      <c r="E240" s="30" t="str">
        <f aca="false">INDEX(Lists!$K$2:$K$13,MATCH(D240,Lists!$J$2:$J$13,0))</f>
        <v>مارس</v>
      </c>
      <c r="F240" s="19" t="str">
        <f aca="false">"Q"&amp;ROUNDUP(D240/3,0)</f>
        <v>Q1</v>
      </c>
      <c r="G240" s="30" t="str">
        <f aca="false">INDEX(Lists!$N$2:$N$8,MATCH(WEEKDAY(B240,2),Lists!$M$2:$M$8,0))</f>
        <v>الخميس</v>
      </c>
      <c r="H240" s="30" t="s">
        <v>50</v>
      </c>
      <c r="I240" s="19" t="str">
        <f aca="false">INDEX(Lists!$B$2:$B$6,MATCH(H240,Lists!$A$2:$A$6,0))</f>
        <v>المنطقة الغربية</v>
      </c>
      <c r="J240" s="30" t="s">
        <v>107</v>
      </c>
      <c r="K240" s="30" t="s">
        <v>115</v>
      </c>
      <c r="L240" s="31" t="n">
        <v>2799</v>
      </c>
      <c r="M240" s="19" t="n">
        <v>1</v>
      </c>
      <c r="N240" s="32" t="n">
        <v>0.15</v>
      </c>
      <c r="O240" s="30" t="s">
        <v>48</v>
      </c>
      <c r="P240" s="30" t="s">
        <v>47</v>
      </c>
      <c r="Q240" s="30" t="s">
        <v>96</v>
      </c>
      <c r="R240" s="25" t="n">
        <f aca="false">L240*M240*(1-N240)</f>
        <v>2379.15</v>
      </c>
    </row>
    <row r="241" customFormat="false" ht="15" hidden="false" customHeight="false" outlineLevel="0" collapsed="false">
      <c r="A241" s="30" t="s">
        <v>412</v>
      </c>
      <c r="B241" s="44" t="n">
        <v>45379</v>
      </c>
      <c r="C241" s="19" t="n">
        <f aca="false">YEAR(B241)</f>
        <v>2024</v>
      </c>
      <c r="D241" s="19" t="n">
        <f aca="false">MONTH(B241)</f>
        <v>3</v>
      </c>
      <c r="E241" s="30" t="str">
        <f aca="false">INDEX(Lists!$K$2:$K$13,MATCH(D241,Lists!$J$2:$J$13,0))</f>
        <v>مارس</v>
      </c>
      <c r="F241" s="19" t="str">
        <f aca="false">"Q"&amp;ROUNDUP(D241/3,0)</f>
        <v>Q1</v>
      </c>
      <c r="G241" s="30" t="str">
        <f aca="false">INDEX(Lists!$N$2:$N$8,MATCH(WEEKDAY(B241,2),Lists!$M$2:$M$8,0))</f>
        <v>الخميس</v>
      </c>
      <c r="H241" s="30" t="s">
        <v>50</v>
      </c>
      <c r="I241" s="19" t="str">
        <f aca="false">INDEX(Lists!$B$2:$B$6,MATCH(H241,Lists!$A$2:$A$6,0))</f>
        <v>المنطقة الغربية</v>
      </c>
      <c r="J241" s="30" t="s">
        <v>111</v>
      </c>
      <c r="K241" s="30" t="s">
        <v>118</v>
      </c>
      <c r="L241" s="31" t="n">
        <v>289</v>
      </c>
      <c r="M241" s="19" t="n">
        <v>1</v>
      </c>
      <c r="N241" s="32" t="n">
        <v>0.1</v>
      </c>
      <c r="O241" s="30" t="s">
        <v>48</v>
      </c>
      <c r="P241" s="30" t="s">
        <v>47</v>
      </c>
      <c r="Q241" s="30" t="s">
        <v>86</v>
      </c>
      <c r="R241" s="25" t="n">
        <f aca="false">L241*M241*(1-N241)</f>
        <v>260.1</v>
      </c>
    </row>
    <row r="242" customFormat="false" ht="15" hidden="false" customHeight="false" outlineLevel="0" collapsed="false">
      <c r="A242" s="30" t="s">
        <v>413</v>
      </c>
      <c r="B242" s="44" t="n">
        <v>45379</v>
      </c>
      <c r="C242" s="19" t="n">
        <f aca="false">YEAR(B242)</f>
        <v>2024</v>
      </c>
      <c r="D242" s="19" t="n">
        <f aca="false">MONTH(B242)</f>
        <v>3</v>
      </c>
      <c r="E242" s="30" t="str">
        <f aca="false">INDEX(Lists!$K$2:$K$13,MATCH(D242,Lists!$J$2:$J$13,0))</f>
        <v>مارس</v>
      </c>
      <c r="F242" s="19" t="str">
        <f aca="false">"Q"&amp;ROUNDUP(D242/3,0)</f>
        <v>Q1</v>
      </c>
      <c r="G242" s="30" t="str">
        <f aca="false">INDEX(Lists!$N$2:$N$8,MATCH(WEEKDAY(B242,2),Lists!$M$2:$M$8,0))</f>
        <v>الخميس</v>
      </c>
      <c r="H242" s="30" t="s">
        <v>54</v>
      </c>
      <c r="I242" s="19" t="str">
        <f aca="false">INDEX(Lists!$B$2:$B$6,MATCH(H242,Lists!$A$2:$A$6,0))</f>
        <v>المنطقة الشرقية</v>
      </c>
      <c r="J242" s="30" t="s">
        <v>109</v>
      </c>
      <c r="K242" s="30" t="s">
        <v>192</v>
      </c>
      <c r="L242" s="31" t="n">
        <v>219</v>
      </c>
      <c r="M242" s="19" t="n">
        <v>2</v>
      </c>
      <c r="N242" s="32" t="n">
        <v>0</v>
      </c>
      <c r="O242" s="30" t="s">
        <v>52</v>
      </c>
      <c r="P242" s="30" t="s">
        <v>47</v>
      </c>
      <c r="Q242" s="30" t="s">
        <v>78</v>
      </c>
      <c r="R242" s="25" t="n">
        <f aca="false">L242*M242*(1-N242)</f>
        <v>438</v>
      </c>
    </row>
    <row r="243" customFormat="false" ht="15" hidden="false" customHeight="false" outlineLevel="0" collapsed="false">
      <c r="A243" s="30" t="s">
        <v>414</v>
      </c>
      <c r="B243" s="44" t="n">
        <v>45380</v>
      </c>
      <c r="C243" s="19" t="n">
        <f aca="false">YEAR(B243)</f>
        <v>2024</v>
      </c>
      <c r="D243" s="19" t="n">
        <f aca="false">MONTH(B243)</f>
        <v>3</v>
      </c>
      <c r="E243" s="30" t="str">
        <f aca="false">INDEX(Lists!$K$2:$K$13,MATCH(D243,Lists!$J$2:$J$13,0))</f>
        <v>مارس</v>
      </c>
      <c r="F243" s="19" t="str">
        <f aca="false">"Q"&amp;ROUNDUP(D243/3,0)</f>
        <v>Q1</v>
      </c>
      <c r="G243" s="30" t="str">
        <f aca="false">INDEX(Lists!$N$2:$N$8,MATCH(WEEKDAY(B243,2),Lists!$M$2:$M$8,0))</f>
        <v>الجمعة</v>
      </c>
      <c r="H243" s="30" t="s">
        <v>46</v>
      </c>
      <c r="I243" s="19" t="str">
        <f aca="false">INDEX(Lists!$B$2:$B$6,MATCH(H243,Lists!$A$2:$A$6,0))</f>
        <v>المنطقة الوسطى</v>
      </c>
      <c r="J243" s="30" t="s">
        <v>107</v>
      </c>
      <c r="K243" s="30" t="s">
        <v>272</v>
      </c>
      <c r="L243" s="31" t="n">
        <v>3449</v>
      </c>
      <c r="M243" s="19" t="n">
        <v>6</v>
      </c>
      <c r="N243" s="32" t="n">
        <v>0</v>
      </c>
      <c r="O243" s="30" t="s">
        <v>52</v>
      </c>
      <c r="P243" s="30" t="s">
        <v>51</v>
      </c>
      <c r="Q243" s="30" t="s">
        <v>96</v>
      </c>
      <c r="R243" s="25" t="n">
        <f aca="false">L243*M243*(1-N243)</f>
        <v>20694</v>
      </c>
    </row>
    <row r="244" customFormat="false" ht="15" hidden="false" customHeight="false" outlineLevel="0" collapsed="false">
      <c r="A244" s="30" t="s">
        <v>415</v>
      </c>
      <c r="B244" s="44" t="n">
        <v>45380</v>
      </c>
      <c r="C244" s="19" t="n">
        <f aca="false">YEAR(B244)</f>
        <v>2024</v>
      </c>
      <c r="D244" s="19" t="n">
        <f aca="false">MONTH(B244)</f>
        <v>3</v>
      </c>
      <c r="E244" s="30" t="str">
        <f aca="false">INDEX(Lists!$K$2:$K$13,MATCH(D244,Lists!$J$2:$J$13,0))</f>
        <v>مارس</v>
      </c>
      <c r="F244" s="19" t="str">
        <f aca="false">"Q"&amp;ROUNDUP(D244/3,0)</f>
        <v>Q1</v>
      </c>
      <c r="G244" s="30" t="str">
        <f aca="false">INDEX(Lists!$N$2:$N$8,MATCH(WEEKDAY(B244,2),Lists!$M$2:$M$8,0))</f>
        <v>الجمعة</v>
      </c>
      <c r="H244" s="30" t="s">
        <v>46</v>
      </c>
      <c r="I244" s="19" t="str">
        <f aca="false">INDEX(Lists!$B$2:$B$6,MATCH(H244,Lists!$A$2:$A$6,0))</f>
        <v>المنطقة الوسطى</v>
      </c>
      <c r="J244" s="30" t="s">
        <v>109</v>
      </c>
      <c r="K244" s="30" t="s">
        <v>110</v>
      </c>
      <c r="L244" s="31" t="n">
        <v>239</v>
      </c>
      <c r="M244" s="19" t="n">
        <v>3</v>
      </c>
      <c r="N244" s="32" t="n">
        <v>0</v>
      </c>
      <c r="O244" s="30" t="s">
        <v>52</v>
      </c>
      <c r="P244" s="30" t="s">
        <v>47</v>
      </c>
      <c r="Q244" s="30" t="s">
        <v>81</v>
      </c>
      <c r="R244" s="25" t="n">
        <f aca="false">L244*M244*(1-N244)</f>
        <v>717</v>
      </c>
    </row>
    <row r="245" customFormat="false" ht="15" hidden="false" customHeight="false" outlineLevel="0" collapsed="false">
      <c r="A245" s="30" t="s">
        <v>416</v>
      </c>
      <c r="B245" s="44" t="n">
        <v>45380</v>
      </c>
      <c r="C245" s="19" t="n">
        <f aca="false">YEAR(B245)</f>
        <v>2024</v>
      </c>
      <c r="D245" s="19" t="n">
        <f aca="false">MONTH(B245)</f>
        <v>3</v>
      </c>
      <c r="E245" s="30" t="str">
        <f aca="false">INDEX(Lists!$K$2:$K$13,MATCH(D245,Lists!$J$2:$J$13,0))</f>
        <v>مارس</v>
      </c>
      <c r="F245" s="19" t="str">
        <f aca="false">"Q"&amp;ROUNDUP(D245/3,0)</f>
        <v>Q1</v>
      </c>
      <c r="G245" s="30" t="str">
        <f aca="false">INDEX(Lists!$N$2:$N$8,MATCH(WEEKDAY(B245,2),Lists!$M$2:$M$8,0))</f>
        <v>الجمعة</v>
      </c>
      <c r="H245" s="30" t="s">
        <v>54</v>
      </c>
      <c r="I245" s="19" t="str">
        <f aca="false">INDEX(Lists!$B$2:$B$6,MATCH(H245,Lists!$A$2:$A$6,0))</f>
        <v>المنطقة الشرقية</v>
      </c>
      <c r="J245" s="30" t="s">
        <v>109</v>
      </c>
      <c r="K245" s="30" t="s">
        <v>93</v>
      </c>
      <c r="L245" s="31" t="n">
        <v>89</v>
      </c>
      <c r="M245" s="19" t="n">
        <v>1</v>
      </c>
      <c r="N245" s="32" t="n">
        <v>0</v>
      </c>
      <c r="O245" s="30" t="s">
        <v>52</v>
      </c>
      <c r="P245" s="30" t="s">
        <v>47</v>
      </c>
      <c r="Q245" s="30" t="s">
        <v>84</v>
      </c>
      <c r="R245" s="25" t="n">
        <f aca="false">L245*M245*(1-N245)</f>
        <v>89</v>
      </c>
    </row>
    <row r="246" customFormat="false" ht="15" hidden="false" customHeight="false" outlineLevel="0" collapsed="false">
      <c r="A246" s="30" t="s">
        <v>417</v>
      </c>
      <c r="B246" s="44" t="n">
        <v>45380</v>
      </c>
      <c r="C246" s="19" t="n">
        <f aca="false">YEAR(B246)</f>
        <v>2024</v>
      </c>
      <c r="D246" s="19" t="n">
        <f aca="false">MONTH(B246)</f>
        <v>3</v>
      </c>
      <c r="E246" s="30" t="str">
        <f aca="false">INDEX(Lists!$K$2:$K$13,MATCH(D246,Lists!$J$2:$J$13,0))</f>
        <v>مارس</v>
      </c>
      <c r="F246" s="19" t="str">
        <f aca="false">"Q"&amp;ROUNDUP(D246/3,0)</f>
        <v>Q1</v>
      </c>
      <c r="G246" s="30" t="str">
        <f aca="false">INDEX(Lists!$N$2:$N$8,MATCH(WEEKDAY(B246,2),Lists!$M$2:$M$8,0))</f>
        <v>الجمعة</v>
      </c>
      <c r="H246" s="30" t="s">
        <v>57</v>
      </c>
      <c r="I246" s="19" t="str">
        <f aca="false">INDEX(Lists!$B$2:$B$6,MATCH(H246,Lists!$A$2:$A$6,0))</f>
        <v>المنطقة الغربية</v>
      </c>
      <c r="J246" s="30" t="s">
        <v>105</v>
      </c>
      <c r="K246" s="30" t="s">
        <v>179</v>
      </c>
      <c r="L246" s="31" t="n">
        <v>1099</v>
      </c>
      <c r="M246" s="19" t="n">
        <v>1</v>
      </c>
      <c r="N246" s="32" t="n">
        <v>0</v>
      </c>
      <c r="O246" s="30" t="s">
        <v>55</v>
      </c>
      <c r="P246" s="30" t="s">
        <v>47</v>
      </c>
      <c r="Q246" s="30" t="s">
        <v>92</v>
      </c>
      <c r="R246" s="25" t="n">
        <f aca="false">L246*M246*(1-N246)</f>
        <v>1099</v>
      </c>
    </row>
    <row r="247" customFormat="false" ht="15" hidden="false" customHeight="false" outlineLevel="0" collapsed="false">
      <c r="A247" s="30" t="s">
        <v>418</v>
      </c>
      <c r="B247" s="44" t="n">
        <v>45380</v>
      </c>
      <c r="C247" s="19" t="n">
        <f aca="false">YEAR(B247)</f>
        <v>2024</v>
      </c>
      <c r="D247" s="19" t="n">
        <f aca="false">MONTH(B247)</f>
        <v>3</v>
      </c>
      <c r="E247" s="30" t="str">
        <f aca="false">INDEX(Lists!$K$2:$K$13,MATCH(D247,Lists!$J$2:$J$13,0))</f>
        <v>مارس</v>
      </c>
      <c r="F247" s="19" t="str">
        <f aca="false">"Q"&amp;ROUNDUP(D247/3,0)</f>
        <v>Q1</v>
      </c>
      <c r="G247" s="30" t="str">
        <f aca="false">INDEX(Lists!$N$2:$N$8,MATCH(WEEKDAY(B247,2),Lists!$M$2:$M$8,0))</f>
        <v>الجمعة</v>
      </c>
      <c r="H247" s="30" t="s">
        <v>50</v>
      </c>
      <c r="I247" s="19" t="str">
        <f aca="false">INDEX(Lists!$B$2:$B$6,MATCH(H247,Lists!$A$2:$A$6,0))</f>
        <v>المنطقة الغربية</v>
      </c>
      <c r="J247" s="30" t="s">
        <v>111</v>
      </c>
      <c r="K247" s="30" t="s">
        <v>108</v>
      </c>
      <c r="L247" s="31" t="n">
        <v>489</v>
      </c>
      <c r="M247" s="19" t="n">
        <v>2</v>
      </c>
      <c r="N247" s="32" t="n">
        <v>0.1</v>
      </c>
      <c r="O247" s="30" t="s">
        <v>52</v>
      </c>
      <c r="P247" s="30" t="s">
        <v>47</v>
      </c>
      <c r="Q247" s="30" t="s">
        <v>84</v>
      </c>
      <c r="R247" s="25" t="n">
        <f aca="false">L247*M247*(1-N247)</f>
        <v>880.2</v>
      </c>
    </row>
    <row r="248" customFormat="false" ht="15" hidden="false" customHeight="false" outlineLevel="0" collapsed="false">
      <c r="A248" s="30" t="s">
        <v>419</v>
      </c>
      <c r="B248" s="44" t="n">
        <v>45381</v>
      </c>
      <c r="C248" s="19" t="n">
        <f aca="false">YEAR(B248)</f>
        <v>2024</v>
      </c>
      <c r="D248" s="19" t="n">
        <f aca="false">MONTH(B248)</f>
        <v>3</v>
      </c>
      <c r="E248" s="30" t="str">
        <f aca="false">INDEX(Lists!$K$2:$K$13,MATCH(D248,Lists!$J$2:$J$13,0))</f>
        <v>مارس</v>
      </c>
      <c r="F248" s="19" t="str">
        <f aca="false">"Q"&amp;ROUNDUP(D248/3,0)</f>
        <v>Q1</v>
      </c>
      <c r="G248" s="30" t="str">
        <f aca="false">INDEX(Lists!$N$2:$N$8,MATCH(WEEKDAY(B248,2),Lists!$M$2:$M$8,0))</f>
        <v>السبت</v>
      </c>
      <c r="H248" s="30" t="s">
        <v>54</v>
      </c>
      <c r="I248" s="19" t="str">
        <f aca="false">INDEX(Lists!$B$2:$B$6,MATCH(H248,Lists!$A$2:$A$6,0))</f>
        <v>المنطقة الشرقية</v>
      </c>
      <c r="J248" s="30" t="s">
        <v>113</v>
      </c>
      <c r="K248" s="30" t="s">
        <v>100</v>
      </c>
      <c r="L248" s="31" t="n">
        <v>499</v>
      </c>
      <c r="M248" s="19" t="n">
        <v>1</v>
      </c>
      <c r="N248" s="32" t="n">
        <v>0</v>
      </c>
      <c r="O248" s="30" t="s">
        <v>52</v>
      </c>
      <c r="P248" s="30" t="s">
        <v>47</v>
      </c>
      <c r="Q248" s="30" t="s">
        <v>96</v>
      </c>
      <c r="R248" s="25" t="n">
        <f aca="false">L248*M248*(1-N248)</f>
        <v>499</v>
      </c>
    </row>
    <row r="249" customFormat="false" ht="15" hidden="false" customHeight="false" outlineLevel="0" collapsed="false">
      <c r="A249" s="30" t="s">
        <v>420</v>
      </c>
      <c r="B249" s="44" t="n">
        <v>45381</v>
      </c>
      <c r="C249" s="19" t="n">
        <f aca="false">YEAR(B249)</f>
        <v>2024</v>
      </c>
      <c r="D249" s="19" t="n">
        <f aca="false">MONTH(B249)</f>
        <v>3</v>
      </c>
      <c r="E249" s="30" t="str">
        <f aca="false">INDEX(Lists!$K$2:$K$13,MATCH(D249,Lists!$J$2:$J$13,0))</f>
        <v>مارس</v>
      </c>
      <c r="F249" s="19" t="str">
        <f aca="false">"Q"&amp;ROUNDUP(D249/3,0)</f>
        <v>Q1</v>
      </c>
      <c r="G249" s="30" t="str">
        <f aca="false">INDEX(Lists!$N$2:$N$8,MATCH(WEEKDAY(B249,2),Lists!$M$2:$M$8,0))</f>
        <v>السبت</v>
      </c>
      <c r="H249" s="30" t="s">
        <v>46</v>
      </c>
      <c r="I249" s="19" t="str">
        <f aca="false">INDEX(Lists!$B$2:$B$6,MATCH(H249,Lists!$A$2:$A$6,0))</f>
        <v>المنطقة الوسطى</v>
      </c>
      <c r="J249" s="30" t="s">
        <v>109</v>
      </c>
      <c r="K249" s="30" t="s">
        <v>110</v>
      </c>
      <c r="L249" s="31" t="n">
        <v>159</v>
      </c>
      <c r="M249" s="19" t="n">
        <v>1</v>
      </c>
      <c r="N249" s="32" t="n">
        <v>0</v>
      </c>
      <c r="O249" s="30" t="s">
        <v>55</v>
      </c>
      <c r="P249" s="30" t="s">
        <v>47</v>
      </c>
      <c r="Q249" s="30" t="s">
        <v>76</v>
      </c>
      <c r="R249" s="25" t="n">
        <f aca="false">L249*M249*(1-N249)</f>
        <v>159</v>
      </c>
    </row>
    <row r="250" customFormat="false" ht="15" hidden="false" customHeight="false" outlineLevel="0" collapsed="false">
      <c r="A250" s="30" t="s">
        <v>421</v>
      </c>
      <c r="B250" s="44" t="n">
        <v>45381</v>
      </c>
      <c r="C250" s="19" t="n">
        <f aca="false">YEAR(B250)</f>
        <v>2024</v>
      </c>
      <c r="D250" s="19" t="n">
        <f aca="false">MONTH(B250)</f>
        <v>3</v>
      </c>
      <c r="E250" s="30" t="str">
        <f aca="false">INDEX(Lists!$K$2:$K$13,MATCH(D250,Lists!$J$2:$J$13,0))</f>
        <v>مارس</v>
      </c>
      <c r="F250" s="19" t="str">
        <f aca="false">"Q"&amp;ROUNDUP(D250/3,0)</f>
        <v>Q1</v>
      </c>
      <c r="G250" s="30" t="str">
        <f aca="false">INDEX(Lists!$N$2:$N$8,MATCH(WEEKDAY(B250,2),Lists!$M$2:$M$8,0))</f>
        <v>السبت</v>
      </c>
      <c r="H250" s="30" t="s">
        <v>60</v>
      </c>
      <c r="I250" s="19" t="str">
        <f aca="false">INDEX(Lists!$B$2:$B$6,MATCH(H250,Lists!$A$2:$A$6,0))</f>
        <v>المنطقة الغربية</v>
      </c>
      <c r="J250" s="30" t="s">
        <v>105</v>
      </c>
      <c r="K250" s="30" t="s">
        <v>179</v>
      </c>
      <c r="L250" s="31" t="n">
        <v>4389</v>
      </c>
      <c r="M250" s="19" t="n">
        <v>2</v>
      </c>
      <c r="N250" s="32" t="n">
        <v>0.05</v>
      </c>
      <c r="O250" s="30" t="s">
        <v>58</v>
      </c>
      <c r="P250" s="30" t="s">
        <v>47</v>
      </c>
      <c r="Q250" s="30" t="s">
        <v>86</v>
      </c>
      <c r="R250" s="25" t="n">
        <f aca="false">L250*M250*(1-N250)</f>
        <v>8339.1</v>
      </c>
    </row>
    <row r="251" customFormat="false" ht="15" hidden="false" customHeight="false" outlineLevel="0" collapsed="false">
      <c r="A251" s="30" t="s">
        <v>422</v>
      </c>
      <c r="B251" s="44" t="n">
        <v>45382</v>
      </c>
      <c r="C251" s="19" t="n">
        <f aca="false">YEAR(B251)</f>
        <v>2024</v>
      </c>
      <c r="D251" s="19" t="n">
        <f aca="false">MONTH(B251)</f>
        <v>3</v>
      </c>
      <c r="E251" s="30" t="str">
        <f aca="false">INDEX(Lists!$K$2:$K$13,MATCH(D251,Lists!$J$2:$J$13,0))</f>
        <v>مارس</v>
      </c>
      <c r="F251" s="19" t="str">
        <f aca="false">"Q"&amp;ROUNDUP(D251/3,0)</f>
        <v>Q1</v>
      </c>
      <c r="G251" s="30" t="str">
        <f aca="false">INDEX(Lists!$N$2:$N$8,MATCH(WEEKDAY(B251,2),Lists!$M$2:$M$8,0))</f>
        <v>الأحد</v>
      </c>
      <c r="H251" s="30" t="s">
        <v>50</v>
      </c>
      <c r="I251" s="19" t="str">
        <f aca="false">INDEX(Lists!$B$2:$B$6,MATCH(H251,Lists!$A$2:$A$6,0))</f>
        <v>المنطقة الغربية</v>
      </c>
      <c r="J251" s="30" t="s">
        <v>105</v>
      </c>
      <c r="K251" s="30" t="s">
        <v>90</v>
      </c>
      <c r="L251" s="31" t="n">
        <v>2719</v>
      </c>
      <c r="M251" s="19" t="n">
        <v>2</v>
      </c>
      <c r="N251" s="32" t="n">
        <v>0</v>
      </c>
      <c r="O251" s="30" t="s">
        <v>52</v>
      </c>
      <c r="P251" s="30" t="s">
        <v>47</v>
      </c>
      <c r="Q251" s="30" t="s">
        <v>76</v>
      </c>
      <c r="R251" s="25" t="n">
        <f aca="false">L251*M251*(1-N251)</f>
        <v>5438</v>
      </c>
    </row>
    <row r="252" customFormat="false" ht="15" hidden="false" customHeight="false" outlineLevel="0" collapsed="false">
      <c r="A252" s="30" t="s">
        <v>423</v>
      </c>
      <c r="B252" s="44" t="n">
        <v>45382</v>
      </c>
      <c r="C252" s="19" t="n">
        <f aca="false">YEAR(B252)</f>
        <v>2024</v>
      </c>
      <c r="D252" s="19" t="n">
        <f aca="false">MONTH(B252)</f>
        <v>3</v>
      </c>
      <c r="E252" s="30" t="str">
        <f aca="false">INDEX(Lists!$K$2:$K$13,MATCH(D252,Lists!$J$2:$J$13,0))</f>
        <v>مارس</v>
      </c>
      <c r="F252" s="19" t="str">
        <f aca="false">"Q"&amp;ROUNDUP(D252/3,0)</f>
        <v>Q1</v>
      </c>
      <c r="G252" s="30" t="str">
        <f aca="false">INDEX(Lists!$N$2:$N$8,MATCH(WEEKDAY(B252,2),Lists!$M$2:$M$8,0))</f>
        <v>الأحد</v>
      </c>
      <c r="H252" s="30" t="s">
        <v>46</v>
      </c>
      <c r="I252" s="19" t="str">
        <f aca="false">INDEX(Lists!$B$2:$B$6,MATCH(H252,Lists!$A$2:$A$6,0))</f>
        <v>المنطقة الوسطى</v>
      </c>
      <c r="J252" s="30" t="s">
        <v>105</v>
      </c>
      <c r="K252" s="30" t="s">
        <v>179</v>
      </c>
      <c r="L252" s="31" t="n">
        <v>2179</v>
      </c>
      <c r="M252" s="19" t="n">
        <v>6</v>
      </c>
      <c r="N252" s="32" t="n">
        <v>0</v>
      </c>
      <c r="O252" s="30" t="s">
        <v>52</v>
      </c>
      <c r="P252" s="30" t="s">
        <v>51</v>
      </c>
      <c r="Q252" s="30" t="s">
        <v>89</v>
      </c>
      <c r="R252" s="25" t="n">
        <f aca="false">L252*M252*(1-N252)</f>
        <v>13074</v>
      </c>
    </row>
    <row r="253" customFormat="false" ht="15" hidden="false" customHeight="false" outlineLevel="0" collapsed="false">
      <c r="A253" s="30" t="s">
        <v>424</v>
      </c>
      <c r="B253" s="44" t="n">
        <v>45382</v>
      </c>
      <c r="C253" s="19" t="n">
        <f aca="false">YEAR(B253)</f>
        <v>2024</v>
      </c>
      <c r="D253" s="19" t="n">
        <f aca="false">MONTH(B253)</f>
        <v>3</v>
      </c>
      <c r="E253" s="30" t="str">
        <f aca="false">INDEX(Lists!$K$2:$K$13,MATCH(D253,Lists!$J$2:$J$13,0))</f>
        <v>مارس</v>
      </c>
      <c r="F253" s="19" t="str">
        <f aca="false">"Q"&amp;ROUNDUP(D253/3,0)</f>
        <v>Q1</v>
      </c>
      <c r="G253" s="30" t="str">
        <f aca="false">INDEX(Lists!$N$2:$N$8,MATCH(WEEKDAY(B253,2),Lists!$M$2:$M$8,0))</f>
        <v>الأحد</v>
      </c>
      <c r="H253" s="30" t="s">
        <v>46</v>
      </c>
      <c r="I253" s="19" t="str">
        <f aca="false">INDEX(Lists!$B$2:$B$6,MATCH(H253,Lists!$A$2:$A$6,0))</f>
        <v>المنطقة الوسطى</v>
      </c>
      <c r="J253" s="30" t="s">
        <v>109</v>
      </c>
      <c r="K253" s="30" t="s">
        <v>192</v>
      </c>
      <c r="L253" s="31" t="n">
        <v>269</v>
      </c>
      <c r="M253" s="19" t="n">
        <v>1</v>
      </c>
      <c r="N253" s="32" t="n">
        <v>0.2</v>
      </c>
      <c r="O253" s="30" t="s">
        <v>58</v>
      </c>
      <c r="P253" s="30" t="s">
        <v>47</v>
      </c>
      <c r="Q253" s="30" t="s">
        <v>92</v>
      </c>
      <c r="R253" s="25" t="n">
        <f aca="false">L253*M253*(1-N253)</f>
        <v>215.2</v>
      </c>
    </row>
    <row r="254" customFormat="false" ht="15" hidden="false" customHeight="false" outlineLevel="0" collapsed="false">
      <c r="A254" s="30" t="s">
        <v>425</v>
      </c>
      <c r="B254" s="44" t="n">
        <v>45382</v>
      </c>
      <c r="C254" s="19" t="n">
        <f aca="false">YEAR(B254)</f>
        <v>2024</v>
      </c>
      <c r="D254" s="19" t="n">
        <f aca="false">MONTH(B254)</f>
        <v>3</v>
      </c>
      <c r="E254" s="30" t="str">
        <f aca="false">INDEX(Lists!$K$2:$K$13,MATCH(D254,Lists!$J$2:$J$13,0))</f>
        <v>مارس</v>
      </c>
      <c r="F254" s="19" t="str">
        <f aca="false">"Q"&amp;ROUNDUP(D254/3,0)</f>
        <v>Q1</v>
      </c>
      <c r="G254" s="30" t="str">
        <f aca="false">INDEX(Lists!$N$2:$N$8,MATCH(WEEKDAY(B254,2),Lists!$M$2:$M$8,0))</f>
        <v>الأحد</v>
      </c>
      <c r="H254" s="30" t="s">
        <v>54</v>
      </c>
      <c r="I254" s="19" t="str">
        <f aca="false">INDEX(Lists!$B$2:$B$6,MATCH(H254,Lists!$A$2:$A$6,0))</f>
        <v>المنطقة الشرقية</v>
      </c>
      <c r="J254" s="30" t="s">
        <v>113</v>
      </c>
      <c r="K254" s="30" t="s">
        <v>97</v>
      </c>
      <c r="L254" s="31" t="n">
        <v>569</v>
      </c>
      <c r="M254" s="19" t="n">
        <v>1</v>
      </c>
      <c r="N254" s="32" t="n">
        <v>0</v>
      </c>
      <c r="O254" s="30" t="s">
        <v>55</v>
      </c>
      <c r="P254" s="30" t="s">
        <v>47</v>
      </c>
      <c r="Q254" s="30" t="s">
        <v>78</v>
      </c>
      <c r="R254" s="25" t="n">
        <f aca="false">L254*M254*(1-N254)</f>
        <v>569</v>
      </c>
    </row>
    <row r="255" customFormat="false" ht="15" hidden="false" customHeight="false" outlineLevel="0" collapsed="false">
      <c r="A255" s="30" t="s">
        <v>426</v>
      </c>
      <c r="B255" s="44" t="n">
        <v>45382</v>
      </c>
      <c r="C255" s="19" t="n">
        <f aca="false">YEAR(B255)</f>
        <v>2024</v>
      </c>
      <c r="D255" s="19" t="n">
        <f aca="false">MONTH(B255)</f>
        <v>3</v>
      </c>
      <c r="E255" s="30" t="str">
        <f aca="false">INDEX(Lists!$K$2:$K$13,MATCH(D255,Lists!$J$2:$J$13,0))</f>
        <v>مارس</v>
      </c>
      <c r="F255" s="19" t="str">
        <f aca="false">"Q"&amp;ROUNDUP(D255/3,0)</f>
        <v>Q1</v>
      </c>
      <c r="G255" s="30" t="str">
        <f aca="false">INDEX(Lists!$N$2:$N$8,MATCH(WEEKDAY(B255,2),Lists!$M$2:$M$8,0))</f>
        <v>الأحد</v>
      </c>
      <c r="H255" s="30" t="s">
        <v>46</v>
      </c>
      <c r="I255" s="19" t="str">
        <f aca="false">INDEX(Lists!$B$2:$B$6,MATCH(H255,Lists!$A$2:$A$6,0))</f>
        <v>المنطقة الوسطى</v>
      </c>
      <c r="J255" s="30" t="s">
        <v>107</v>
      </c>
      <c r="K255" s="30" t="s">
        <v>114</v>
      </c>
      <c r="L255" s="31" t="n">
        <v>3109</v>
      </c>
      <c r="M255" s="19" t="n">
        <v>2</v>
      </c>
      <c r="N255" s="32" t="n">
        <v>0.2</v>
      </c>
      <c r="O255" s="30" t="s">
        <v>48</v>
      </c>
      <c r="P255" s="30" t="s">
        <v>47</v>
      </c>
      <c r="Q255" s="30" t="s">
        <v>89</v>
      </c>
      <c r="R255" s="25" t="n">
        <f aca="false">L255*M255*(1-N255)</f>
        <v>4974.4</v>
      </c>
    </row>
    <row r="256" customFormat="false" ht="15" hidden="false" customHeight="false" outlineLevel="0" collapsed="false">
      <c r="A256" s="30" t="s">
        <v>427</v>
      </c>
      <c r="B256" s="44" t="n">
        <v>45383</v>
      </c>
      <c r="C256" s="19" t="n">
        <f aca="false">YEAR(B256)</f>
        <v>2024</v>
      </c>
      <c r="D256" s="19" t="n">
        <f aca="false">MONTH(B256)</f>
        <v>4</v>
      </c>
      <c r="E256" s="30" t="str">
        <f aca="false">INDEX(Lists!$K$2:$K$13,MATCH(D256,Lists!$J$2:$J$13,0))</f>
        <v>أبريل</v>
      </c>
      <c r="F256" s="19" t="str">
        <f aca="false">"Q"&amp;ROUNDUP(D256/3,0)</f>
        <v>Q2</v>
      </c>
      <c r="G256" s="30" t="str">
        <f aca="false">INDEX(Lists!$N$2:$N$8,MATCH(WEEKDAY(B256,2),Lists!$M$2:$M$8,0))</f>
        <v>الإثنين</v>
      </c>
      <c r="H256" s="30" t="s">
        <v>60</v>
      </c>
      <c r="I256" s="19" t="str">
        <f aca="false">INDEX(Lists!$B$2:$B$6,MATCH(H256,Lists!$A$2:$A$6,0))</f>
        <v>المنطقة الغربية</v>
      </c>
      <c r="J256" s="30" t="s">
        <v>113</v>
      </c>
      <c r="K256" s="30" t="s">
        <v>95</v>
      </c>
      <c r="L256" s="31" t="n">
        <v>609</v>
      </c>
      <c r="M256" s="19" t="n">
        <v>1</v>
      </c>
      <c r="N256" s="32" t="n">
        <v>0</v>
      </c>
      <c r="O256" s="30" t="s">
        <v>48</v>
      </c>
      <c r="P256" s="30" t="s">
        <v>47</v>
      </c>
      <c r="Q256" s="30" t="s">
        <v>84</v>
      </c>
      <c r="R256" s="25" t="n">
        <f aca="false">L256*M256*(1-N256)</f>
        <v>609</v>
      </c>
    </row>
    <row r="257" customFormat="false" ht="15" hidden="false" customHeight="false" outlineLevel="0" collapsed="false">
      <c r="A257" s="30" t="s">
        <v>428</v>
      </c>
      <c r="B257" s="44" t="n">
        <v>45383</v>
      </c>
      <c r="C257" s="19" t="n">
        <f aca="false">YEAR(B257)</f>
        <v>2024</v>
      </c>
      <c r="D257" s="19" t="n">
        <f aca="false">MONTH(B257)</f>
        <v>4</v>
      </c>
      <c r="E257" s="30" t="str">
        <f aca="false">INDEX(Lists!$K$2:$K$13,MATCH(D257,Lists!$J$2:$J$13,0))</f>
        <v>أبريل</v>
      </c>
      <c r="F257" s="19" t="str">
        <f aca="false">"Q"&amp;ROUNDUP(D257/3,0)</f>
        <v>Q2</v>
      </c>
      <c r="G257" s="30" t="str">
        <f aca="false">INDEX(Lists!$N$2:$N$8,MATCH(WEEKDAY(B257,2),Lists!$M$2:$M$8,0))</f>
        <v>الإثنين</v>
      </c>
      <c r="H257" s="30" t="s">
        <v>46</v>
      </c>
      <c r="I257" s="19" t="str">
        <f aca="false">INDEX(Lists!$B$2:$B$6,MATCH(H257,Lists!$A$2:$A$6,0))</f>
        <v>المنطقة الوسطى</v>
      </c>
      <c r="J257" s="30" t="s">
        <v>105</v>
      </c>
      <c r="K257" s="30" t="s">
        <v>179</v>
      </c>
      <c r="L257" s="31" t="n">
        <v>1399</v>
      </c>
      <c r="M257" s="19" t="n">
        <v>6</v>
      </c>
      <c r="N257" s="32" t="n">
        <v>0.05</v>
      </c>
      <c r="O257" s="30" t="s">
        <v>55</v>
      </c>
      <c r="P257" s="30" t="s">
        <v>51</v>
      </c>
      <c r="Q257" s="30" t="s">
        <v>92</v>
      </c>
      <c r="R257" s="25" t="n">
        <f aca="false">L257*M257*(1-N257)</f>
        <v>7974.3</v>
      </c>
    </row>
    <row r="258" customFormat="false" ht="15" hidden="false" customHeight="false" outlineLevel="0" collapsed="false">
      <c r="A258" s="30" t="s">
        <v>429</v>
      </c>
      <c r="B258" s="44" t="n">
        <v>45384</v>
      </c>
      <c r="C258" s="19" t="n">
        <f aca="false">YEAR(B258)</f>
        <v>2024</v>
      </c>
      <c r="D258" s="19" t="n">
        <f aca="false">MONTH(B258)</f>
        <v>4</v>
      </c>
      <c r="E258" s="30" t="str">
        <f aca="false">INDEX(Lists!$K$2:$K$13,MATCH(D258,Lists!$J$2:$J$13,0))</f>
        <v>أبريل</v>
      </c>
      <c r="F258" s="19" t="str">
        <f aca="false">"Q"&amp;ROUNDUP(D258/3,0)</f>
        <v>Q2</v>
      </c>
      <c r="G258" s="30" t="str">
        <f aca="false">INDEX(Lists!$N$2:$N$8,MATCH(WEEKDAY(B258,2),Lists!$M$2:$M$8,0))</f>
        <v>الثلاثاء</v>
      </c>
      <c r="H258" s="30" t="s">
        <v>46</v>
      </c>
      <c r="I258" s="19" t="str">
        <f aca="false">INDEX(Lists!$B$2:$B$6,MATCH(H258,Lists!$A$2:$A$6,0))</f>
        <v>المنطقة الوسطى</v>
      </c>
      <c r="J258" s="30" t="s">
        <v>105</v>
      </c>
      <c r="K258" s="30" t="s">
        <v>179</v>
      </c>
      <c r="L258" s="31" t="n">
        <v>999</v>
      </c>
      <c r="M258" s="19" t="n">
        <v>1</v>
      </c>
      <c r="N258" s="32" t="n">
        <v>0.05</v>
      </c>
      <c r="O258" s="30" t="s">
        <v>48</v>
      </c>
      <c r="P258" s="30" t="s">
        <v>47</v>
      </c>
      <c r="Q258" s="30" t="s">
        <v>81</v>
      </c>
      <c r="R258" s="25" t="n">
        <f aca="false">L258*M258*(1-N258)</f>
        <v>949.05</v>
      </c>
    </row>
    <row r="259" customFormat="false" ht="15" hidden="false" customHeight="false" outlineLevel="0" collapsed="false">
      <c r="A259" s="30" t="s">
        <v>430</v>
      </c>
      <c r="B259" s="44" t="n">
        <v>45384</v>
      </c>
      <c r="C259" s="19" t="n">
        <f aca="false">YEAR(B259)</f>
        <v>2024</v>
      </c>
      <c r="D259" s="19" t="n">
        <f aca="false">MONTH(B259)</f>
        <v>4</v>
      </c>
      <c r="E259" s="30" t="str">
        <f aca="false">INDEX(Lists!$K$2:$K$13,MATCH(D259,Lists!$J$2:$J$13,0))</f>
        <v>أبريل</v>
      </c>
      <c r="F259" s="19" t="str">
        <f aca="false">"Q"&amp;ROUNDUP(D259/3,0)</f>
        <v>Q2</v>
      </c>
      <c r="G259" s="30" t="str">
        <f aca="false">INDEX(Lists!$N$2:$N$8,MATCH(WEEKDAY(B259,2),Lists!$M$2:$M$8,0))</f>
        <v>الثلاثاء</v>
      </c>
      <c r="H259" s="30" t="s">
        <v>60</v>
      </c>
      <c r="I259" s="19" t="str">
        <f aca="false">INDEX(Lists!$B$2:$B$6,MATCH(H259,Lists!$A$2:$A$6,0))</f>
        <v>المنطقة الغربية</v>
      </c>
      <c r="J259" s="30" t="s">
        <v>109</v>
      </c>
      <c r="K259" s="30" t="s">
        <v>192</v>
      </c>
      <c r="L259" s="31" t="n">
        <v>219</v>
      </c>
      <c r="M259" s="19" t="n">
        <v>1</v>
      </c>
      <c r="N259" s="32" t="n">
        <v>0</v>
      </c>
      <c r="O259" s="30" t="s">
        <v>48</v>
      </c>
      <c r="P259" s="30" t="s">
        <v>47</v>
      </c>
      <c r="Q259" s="30" t="s">
        <v>84</v>
      </c>
      <c r="R259" s="25" t="n">
        <f aca="false">L259*M259*(1-N259)</f>
        <v>219</v>
      </c>
    </row>
    <row r="260" customFormat="false" ht="15" hidden="false" customHeight="false" outlineLevel="0" collapsed="false">
      <c r="A260" s="30" t="s">
        <v>431</v>
      </c>
      <c r="B260" s="44" t="n">
        <v>45384</v>
      </c>
      <c r="C260" s="19" t="n">
        <f aca="false">YEAR(B260)</f>
        <v>2024</v>
      </c>
      <c r="D260" s="19" t="n">
        <f aca="false">MONTH(B260)</f>
        <v>4</v>
      </c>
      <c r="E260" s="30" t="str">
        <f aca="false">INDEX(Lists!$K$2:$K$13,MATCH(D260,Lists!$J$2:$J$13,0))</f>
        <v>أبريل</v>
      </c>
      <c r="F260" s="19" t="str">
        <f aca="false">"Q"&amp;ROUNDUP(D260/3,0)</f>
        <v>Q2</v>
      </c>
      <c r="G260" s="30" t="str">
        <f aca="false">INDEX(Lists!$N$2:$N$8,MATCH(WEEKDAY(B260,2),Lists!$M$2:$M$8,0))</f>
        <v>الثلاثاء</v>
      </c>
      <c r="H260" s="30" t="s">
        <v>50</v>
      </c>
      <c r="I260" s="19" t="str">
        <f aca="false">INDEX(Lists!$B$2:$B$6,MATCH(H260,Lists!$A$2:$A$6,0))</f>
        <v>المنطقة الغربية</v>
      </c>
      <c r="J260" s="30" t="s">
        <v>111</v>
      </c>
      <c r="K260" s="30" t="s">
        <v>122</v>
      </c>
      <c r="L260" s="31" t="n">
        <v>579</v>
      </c>
      <c r="M260" s="19" t="n">
        <v>2</v>
      </c>
      <c r="N260" s="32" t="n">
        <v>0.15</v>
      </c>
      <c r="O260" s="30" t="s">
        <v>58</v>
      </c>
      <c r="P260" s="30" t="s">
        <v>47</v>
      </c>
      <c r="Q260" s="30" t="s">
        <v>96</v>
      </c>
      <c r="R260" s="25" t="n">
        <f aca="false">L260*M260*(1-N260)</f>
        <v>984.3</v>
      </c>
    </row>
    <row r="261" customFormat="false" ht="15" hidden="false" customHeight="false" outlineLevel="0" collapsed="false">
      <c r="A261" s="30" t="s">
        <v>432</v>
      </c>
      <c r="B261" s="44" t="n">
        <v>45385</v>
      </c>
      <c r="C261" s="19" t="n">
        <f aca="false">YEAR(B261)</f>
        <v>2024</v>
      </c>
      <c r="D261" s="19" t="n">
        <f aca="false">MONTH(B261)</f>
        <v>4</v>
      </c>
      <c r="E261" s="30" t="str">
        <f aca="false">INDEX(Lists!$K$2:$K$13,MATCH(D261,Lists!$J$2:$J$13,0))</f>
        <v>أبريل</v>
      </c>
      <c r="F261" s="19" t="str">
        <f aca="false">"Q"&amp;ROUNDUP(D261/3,0)</f>
        <v>Q2</v>
      </c>
      <c r="G261" s="30" t="str">
        <f aca="false">INDEX(Lists!$N$2:$N$8,MATCH(WEEKDAY(B261,2),Lists!$M$2:$M$8,0))</f>
        <v>الأربعاء</v>
      </c>
      <c r="H261" s="30" t="s">
        <v>46</v>
      </c>
      <c r="I261" s="19" t="str">
        <f aca="false">INDEX(Lists!$B$2:$B$6,MATCH(H261,Lists!$A$2:$A$6,0))</f>
        <v>المنطقة الوسطى</v>
      </c>
      <c r="J261" s="30" t="s">
        <v>105</v>
      </c>
      <c r="K261" s="30" t="s">
        <v>82</v>
      </c>
      <c r="L261" s="31" t="n">
        <v>3219</v>
      </c>
      <c r="M261" s="19" t="n">
        <v>3</v>
      </c>
      <c r="N261" s="32" t="n">
        <v>0</v>
      </c>
      <c r="O261" s="30" t="s">
        <v>52</v>
      </c>
      <c r="P261" s="30" t="s">
        <v>47</v>
      </c>
      <c r="Q261" s="30" t="s">
        <v>78</v>
      </c>
      <c r="R261" s="25" t="n">
        <f aca="false">L261*M261*(1-N261)</f>
        <v>9657</v>
      </c>
    </row>
    <row r="262" customFormat="false" ht="15" hidden="false" customHeight="false" outlineLevel="0" collapsed="false">
      <c r="A262" s="30" t="s">
        <v>433</v>
      </c>
      <c r="B262" s="44" t="n">
        <v>45385</v>
      </c>
      <c r="C262" s="19" t="n">
        <f aca="false">YEAR(B262)</f>
        <v>2024</v>
      </c>
      <c r="D262" s="19" t="n">
        <f aca="false">MONTH(B262)</f>
        <v>4</v>
      </c>
      <c r="E262" s="30" t="str">
        <f aca="false">INDEX(Lists!$K$2:$K$13,MATCH(D262,Lists!$J$2:$J$13,0))</f>
        <v>أبريل</v>
      </c>
      <c r="F262" s="19" t="str">
        <f aca="false">"Q"&amp;ROUNDUP(D262/3,0)</f>
        <v>Q2</v>
      </c>
      <c r="G262" s="30" t="str">
        <f aca="false">INDEX(Lists!$N$2:$N$8,MATCH(WEEKDAY(B262,2),Lists!$M$2:$M$8,0))</f>
        <v>الأربعاء</v>
      </c>
      <c r="H262" s="30" t="s">
        <v>46</v>
      </c>
      <c r="I262" s="19" t="str">
        <f aca="false">INDEX(Lists!$B$2:$B$6,MATCH(H262,Lists!$A$2:$A$6,0))</f>
        <v>المنطقة الوسطى</v>
      </c>
      <c r="J262" s="30" t="s">
        <v>105</v>
      </c>
      <c r="K262" s="30" t="s">
        <v>79</v>
      </c>
      <c r="L262" s="31" t="n">
        <v>2849</v>
      </c>
      <c r="M262" s="19" t="n">
        <v>1</v>
      </c>
      <c r="N262" s="32" t="n">
        <v>0</v>
      </c>
      <c r="O262" s="30" t="s">
        <v>55</v>
      </c>
      <c r="P262" s="30" t="s">
        <v>47</v>
      </c>
      <c r="Q262" s="30" t="s">
        <v>76</v>
      </c>
      <c r="R262" s="25" t="n">
        <f aca="false">L262*M262*(1-N262)</f>
        <v>2849</v>
      </c>
    </row>
    <row r="263" customFormat="false" ht="15" hidden="false" customHeight="false" outlineLevel="0" collapsed="false">
      <c r="A263" s="30" t="s">
        <v>434</v>
      </c>
      <c r="B263" s="44" t="n">
        <v>45385</v>
      </c>
      <c r="C263" s="19" t="n">
        <f aca="false">YEAR(B263)</f>
        <v>2024</v>
      </c>
      <c r="D263" s="19" t="n">
        <f aca="false">MONTH(B263)</f>
        <v>4</v>
      </c>
      <c r="E263" s="30" t="str">
        <f aca="false">INDEX(Lists!$K$2:$K$13,MATCH(D263,Lists!$J$2:$J$13,0))</f>
        <v>أبريل</v>
      </c>
      <c r="F263" s="19" t="str">
        <f aca="false">"Q"&amp;ROUNDUP(D263/3,0)</f>
        <v>Q2</v>
      </c>
      <c r="G263" s="30" t="str">
        <f aca="false">INDEX(Lists!$N$2:$N$8,MATCH(WEEKDAY(B263,2),Lists!$M$2:$M$8,0))</f>
        <v>الأربعاء</v>
      </c>
      <c r="H263" s="30" t="s">
        <v>46</v>
      </c>
      <c r="I263" s="19" t="str">
        <f aca="false">INDEX(Lists!$B$2:$B$6,MATCH(H263,Lists!$A$2:$A$6,0))</f>
        <v>المنطقة الوسطى</v>
      </c>
      <c r="J263" s="30" t="s">
        <v>105</v>
      </c>
      <c r="K263" s="30" t="s">
        <v>85</v>
      </c>
      <c r="L263" s="31" t="n">
        <v>4449</v>
      </c>
      <c r="M263" s="19" t="n">
        <v>1</v>
      </c>
      <c r="N263" s="32" t="n">
        <v>0.05</v>
      </c>
      <c r="O263" s="30" t="s">
        <v>48</v>
      </c>
      <c r="P263" s="30" t="s">
        <v>47</v>
      </c>
      <c r="Q263" s="30" t="s">
        <v>81</v>
      </c>
      <c r="R263" s="25" t="n">
        <f aca="false">L263*M263*(1-N263)</f>
        <v>4226.55</v>
      </c>
    </row>
    <row r="264" customFormat="false" ht="15" hidden="false" customHeight="false" outlineLevel="0" collapsed="false">
      <c r="A264" s="30" t="s">
        <v>435</v>
      </c>
      <c r="B264" s="44" t="n">
        <v>45386</v>
      </c>
      <c r="C264" s="19" t="n">
        <f aca="false">YEAR(B264)</f>
        <v>2024</v>
      </c>
      <c r="D264" s="19" t="n">
        <f aca="false">MONTH(B264)</f>
        <v>4</v>
      </c>
      <c r="E264" s="30" t="str">
        <f aca="false">INDEX(Lists!$K$2:$K$13,MATCH(D264,Lists!$J$2:$J$13,0))</f>
        <v>أبريل</v>
      </c>
      <c r="F264" s="19" t="str">
        <f aca="false">"Q"&amp;ROUNDUP(D264/3,0)</f>
        <v>Q2</v>
      </c>
      <c r="G264" s="30" t="str">
        <f aca="false">INDEX(Lists!$N$2:$N$8,MATCH(WEEKDAY(B264,2),Lists!$M$2:$M$8,0))</f>
        <v>الخميس</v>
      </c>
      <c r="H264" s="30" t="s">
        <v>50</v>
      </c>
      <c r="I264" s="19" t="str">
        <f aca="false">INDEX(Lists!$B$2:$B$6,MATCH(H264,Lists!$A$2:$A$6,0))</f>
        <v>المنطقة الغربية</v>
      </c>
      <c r="J264" s="30" t="s">
        <v>105</v>
      </c>
      <c r="K264" s="30" t="s">
        <v>85</v>
      </c>
      <c r="L264" s="31" t="n">
        <v>2219</v>
      </c>
      <c r="M264" s="19" t="n">
        <v>1</v>
      </c>
      <c r="N264" s="32" t="n">
        <v>0.2</v>
      </c>
      <c r="O264" s="30" t="s">
        <v>52</v>
      </c>
      <c r="P264" s="30" t="s">
        <v>47</v>
      </c>
      <c r="Q264" s="30" t="s">
        <v>89</v>
      </c>
      <c r="R264" s="25" t="n">
        <f aca="false">L264*M264*(1-N264)</f>
        <v>1775.2</v>
      </c>
    </row>
    <row r="265" customFormat="false" ht="15" hidden="false" customHeight="false" outlineLevel="0" collapsed="false">
      <c r="A265" s="30" t="s">
        <v>436</v>
      </c>
      <c r="B265" s="44" t="n">
        <v>45386</v>
      </c>
      <c r="C265" s="19" t="n">
        <f aca="false">YEAR(B265)</f>
        <v>2024</v>
      </c>
      <c r="D265" s="19" t="n">
        <f aca="false">MONTH(B265)</f>
        <v>4</v>
      </c>
      <c r="E265" s="30" t="str">
        <f aca="false">INDEX(Lists!$K$2:$K$13,MATCH(D265,Lists!$J$2:$J$13,0))</f>
        <v>أبريل</v>
      </c>
      <c r="F265" s="19" t="str">
        <f aca="false">"Q"&amp;ROUNDUP(D265/3,0)</f>
        <v>Q2</v>
      </c>
      <c r="G265" s="30" t="str">
        <f aca="false">INDEX(Lists!$N$2:$N$8,MATCH(WEEKDAY(B265,2),Lists!$M$2:$M$8,0))</f>
        <v>الخميس</v>
      </c>
      <c r="H265" s="30" t="s">
        <v>46</v>
      </c>
      <c r="I265" s="19" t="str">
        <f aca="false">INDEX(Lists!$B$2:$B$6,MATCH(H265,Lists!$A$2:$A$6,0))</f>
        <v>المنطقة الوسطى</v>
      </c>
      <c r="J265" s="30" t="s">
        <v>109</v>
      </c>
      <c r="K265" s="30" t="s">
        <v>171</v>
      </c>
      <c r="L265" s="31" t="n">
        <v>269</v>
      </c>
      <c r="M265" s="19" t="n">
        <v>1</v>
      </c>
      <c r="N265" s="32" t="n">
        <v>0.1</v>
      </c>
      <c r="O265" s="30" t="s">
        <v>55</v>
      </c>
      <c r="P265" s="30" t="s">
        <v>47</v>
      </c>
      <c r="Q265" s="30" t="s">
        <v>94</v>
      </c>
      <c r="R265" s="25" t="n">
        <f aca="false">L265*M265*(1-N265)</f>
        <v>242.1</v>
      </c>
    </row>
    <row r="266" customFormat="false" ht="15" hidden="false" customHeight="false" outlineLevel="0" collapsed="false">
      <c r="A266" s="30" t="s">
        <v>437</v>
      </c>
      <c r="B266" s="44" t="n">
        <v>45387</v>
      </c>
      <c r="C266" s="19" t="n">
        <f aca="false">YEAR(B266)</f>
        <v>2024</v>
      </c>
      <c r="D266" s="19" t="n">
        <f aca="false">MONTH(B266)</f>
        <v>4</v>
      </c>
      <c r="E266" s="30" t="str">
        <f aca="false">INDEX(Lists!$K$2:$K$13,MATCH(D266,Lists!$J$2:$J$13,0))</f>
        <v>أبريل</v>
      </c>
      <c r="F266" s="19" t="str">
        <f aca="false">"Q"&amp;ROUNDUP(D266/3,0)</f>
        <v>Q2</v>
      </c>
      <c r="G266" s="30" t="str">
        <f aca="false">INDEX(Lists!$N$2:$N$8,MATCH(WEEKDAY(B266,2),Lists!$M$2:$M$8,0))</f>
        <v>الجمعة</v>
      </c>
      <c r="H266" s="30" t="s">
        <v>46</v>
      </c>
      <c r="I266" s="19" t="str">
        <f aca="false">INDEX(Lists!$B$2:$B$6,MATCH(H266,Lists!$A$2:$A$6,0))</f>
        <v>المنطقة الوسطى</v>
      </c>
      <c r="J266" s="30" t="s">
        <v>105</v>
      </c>
      <c r="K266" s="30" t="s">
        <v>179</v>
      </c>
      <c r="L266" s="31" t="n">
        <v>4079</v>
      </c>
      <c r="M266" s="19" t="n">
        <v>1</v>
      </c>
      <c r="N266" s="32" t="n">
        <v>0.1</v>
      </c>
      <c r="O266" s="30" t="s">
        <v>55</v>
      </c>
      <c r="P266" s="30" t="s">
        <v>47</v>
      </c>
      <c r="Q266" s="30" t="s">
        <v>76</v>
      </c>
      <c r="R266" s="25" t="n">
        <f aca="false">L266*M266*(1-N266)</f>
        <v>3671.1</v>
      </c>
    </row>
    <row r="267" customFormat="false" ht="15" hidden="false" customHeight="false" outlineLevel="0" collapsed="false">
      <c r="A267" s="30" t="s">
        <v>438</v>
      </c>
      <c r="B267" s="44" t="n">
        <v>45387</v>
      </c>
      <c r="C267" s="19" t="n">
        <f aca="false">YEAR(B267)</f>
        <v>2024</v>
      </c>
      <c r="D267" s="19" t="n">
        <f aca="false">MONTH(B267)</f>
        <v>4</v>
      </c>
      <c r="E267" s="30" t="str">
        <f aca="false">INDEX(Lists!$K$2:$K$13,MATCH(D267,Lists!$J$2:$J$13,0))</f>
        <v>أبريل</v>
      </c>
      <c r="F267" s="19" t="str">
        <f aca="false">"Q"&amp;ROUNDUP(D267/3,0)</f>
        <v>Q2</v>
      </c>
      <c r="G267" s="30" t="str">
        <f aca="false">INDEX(Lists!$N$2:$N$8,MATCH(WEEKDAY(B267,2),Lists!$M$2:$M$8,0))</f>
        <v>الجمعة</v>
      </c>
      <c r="H267" s="30" t="s">
        <v>46</v>
      </c>
      <c r="I267" s="19" t="str">
        <f aca="false">INDEX(Lists!$B$2:$B$6,MATCH(H267,Lists!$A$2:$A$6,0))</f>
        <v>المنطقة الوسطى</v>
      </c>
      <c r="J267" s="30" t="s">
        <v>105</v>
      </c>
      <c r="K267" s="30" t="s">
        <v>90</v>
      </c>
      <c r="L267" s="31" t="n">
        <v>1919</v>
      </c>
      <c r="M267" s="19" t="n">
        <v>1</v>
      </c>
      <c r="N267" s="32" t="n">
        <v>0</v>
      </c>
      <c r="O267" s="30" t="s">
        <v>52</v>
      </c>
      <c r="P267" s="30" t="s">
        <v>47</v>
      </c>
      <c r="Q267" s="30" t="s">
        <v>81</v>
      </c>
      <c r="R267" s="25" t="n">
        <f aca="false">L267*M267*(1-N267)</f>
        <v>1919</v>
      </c>
    </row>
    <row r="268" customFormat="false" ht="15" hidden="false" customHeight="false" outlineLevel="0" collapsed="false">
      <c r="A268" s="30" t="s">
        <v>439</v>
      </c>
      <c r="B268" s="44" t="n">
        <v>45387</v>
      </c>
      <c r="C268" s="19" t="n">
        <f aca="false">YEAR(B268)</f>
        <v>2024</v>
      </c>
      <c r="D268" s="19" t="n">
        <f aca="false">MONTH(B268)</f>
        <v>4</v>
      </c>
      <c r="E268" s="30" t="str">
        <f aca="false">INDEX(Lists!$K$2:$K$13,MATCH(D268,Lists!$J$2:$J$13,0))</f>
        <v>أبريل</v>
      </c>
      <c r="F268" s="19" t="str">
        <f aca="false">"Q"&amp;ROUNDUP(D268/3,0)</f>
        <v>Q2</v>
      </c>
      <c r="G268" s="30" t="str">
        <f aca="false">INDEX(Lists!$N$2:$N$8,MATCH(WEEKDAY(B268,2),Lists!$M$2:$M$8,0))</f>
        <v>الجمعة</v>
      </c>
      <c r="H268" s="30" t="s">
        <v>57</v>
      </c>
      <c r="I268" s="19" t="str">
        <f aca="false">INDEX(Lists!$B$2:$B$6,MATCH(H268,Lists!$A$2:$A$6,0))</f>
        <v>المنطقة الغربية</v>
      </c>
      <c r="J268" s="30" t="s">
        <v>111</v>
      </c>
      <c r="K268" s="30" t="s">
        <v>118</v>
      </c>
      <c r="L268" s="31" t="n">
        <v>249</v>
      </c>
      <c r="M268" s="19" t="n">
        <v>1</v>
      </c>
      <c r="N268" s="32" t="n">
        <v>0.2</v>
      </c>
      <c r="O268" s="30" t="s">
        <v>52</v>
      </c>
      <c r="P268" s="30" t="s">
        <v>47</v>
      </c>
      <c r="Q268" s="30" t="s">
        <v>81</v>
      </c>
      <c r="R268" s="25" t="n">
        <f aca="false">L268*M268*(1-N268)</f>
        <v>199.2</v>
      </c>
    </row>
    <row r="269" customFormat="false" ht="15" hidden="false" customHeight="false" outlineLevel="0" collapsed="false">
      <c r="A269" s="30" t="s">
        <v>440</v>
      </c>
      <c r="B269" s="44" t="n">
        <v>45387</v>
      </c>
      <c r="C269" s="19" t="n">
        <f aca="false">YEAR(B269)</f>
        <v>2024</v>
      </c>
      <c r="D269" s="19" t="n">
        <f aca="false">MONTH(B269)</f>
        <v>4</v>
      </c>
      <c r="E269" s="30" t="str">
        <f aca="false">INDEX(Lists!$K$2:$K$13,MATCH(D269,Lists!$J$2:$J$13,0))</f>
        <v>أبريل</v>
      </c>
      <c r="F269" s="19" t="str">
        <f aca="false">"Q"&amp;ROUNDUP(D269/3,0)</f>
        <v>Q2</v>
      </c>
      <c r="G269" s="30" t="str">
        <f aca="false">INDEX(Lists!$N$2:$N$8,MATCH(WEEKDAY(B269,2),Lists!$M$2:$M$8,0))</f>
        <v>الجمعة</v>
      </c>
      <c r="H269" s="30" t="s">
        <v>46</v>
      </c>
      <c r="I269" s="19" t="str">
        <f aca="false">INDEX(Lists!$B$2:$B$6,MATCH(H269,Lists!$A$2:$A$6,0))</f>
        <v>المنطقة الوسطى</v>
      </c>
      <c r="J269" s="30" t="s">
        <v>105</v>
      </c>
      <c r="K269" s="30" t="s">
        <v>90</v>
      </c>
      <c r="L269" s="31" t="n">
        <v>1269</v>
      </c>
      <c r="M269" s="19" t="n">
        <v>1</v>
      </c>
      <c r="N269" s="32" t="n">
        <v>0.05</v>
      </c>
      <c r="O269" s="30" t="s">
        <v>48</v>
      </c>
      <c r="P269" s="30" t="s">
        <v>47</v>
      </c>
      <c r="Q269" s="30" t="s">
        <v>94</v>
      </c>
      <c r="R269" s="25" t="n">
        <f aca="false">L269*M269*(1-N269)</f>
        <v>1205.55</v>
      </c>
    </row>
    <row r="270" customFormat="false" ht="15" hidden="false" customHeight="false" outlineLevel="0" collapsed="false">
      <c r="A270" s="30" t="s">
        <v>441</v>
      </c>
      <c r="B270" s="44" t="n">
        <v>45387</v>
      </c>
      <c r="C270" s="19" t="n">
        <f aca="false">YEAR(B270)</f>
        <v>2024</v>
      </c>
      <c r="D270" s="19" t="n">
        <f aca="false">MONTH(B270)</f>
        <v>4</v>
      </c>
      <c r="E270" s="30" t="str">
        <f aca="false">INDEX(Lists!$K$2:$K$13,MATCH(D270,Lists!$J$2:$J$13,0))</f>
        <v>أبريل</v>
      </c>
      <c r="F270" s="19" t="str">
        <f aca="false">"Q"&amp;ROUNDUP(D270/3,0)</f>
        <v>Q2</v>
      </c>
      <c r="G270" s="30" t="str">
        <f aca="false">INDEX(Lists!$N$2:$N$8,MATCH(WEEKDAY(B270,2),Lists!$M$2:$M$8,0))</f>
        <v>الجمعة</v>
      </c>
      <c r="H270" s="30" t="s">
        <v>46</v>
      </c>
      <c r="I270" s="19" t="str">
        <f aca="false">INDEX(Lists!$B$2:$B$6,MATCH(H270,Lists!$A$2:$A$6,0))</f>
        <v>المنطقة الوسطى</v>
      </c>
      <c r="J270" s="30" t="s">
        <v>105</v>
      </c>
      <c r="K270" s="30" t="s">
        <v>82</v>
      </c>
      <c r="L270" s="31" t="n">
        <v>1449</v>
      </c>
      <c r="M270" s="19" t="n">
        <v>2</v>
      </c>
      <c r="N270" s="32" t="n">
        <v>0</v>
      </c>
      <c r="O270" s="30" t="s">
        <v>55</v>
      </c>
      <c r="P270" s="30" t="s">
        <v>47</v>
      </c>
      <c r="Q270" s="30" t="s">
        <v>84</v>
      </c>
      <c r="R270" s="25" t="n">
        <f aca="false">L270*M270*(1-N270)</f>
        <v>2898</v>
      </c>
    </row>
    <row r="271" customFormat="false" ht="15" hidden="false" customHeight="false" outlineLevel="0" collapsed="false">
      <c r="A271" s="30" t="s">
        <v>442</v>
      </c>
      <c r="B271" s="44" t="n">
        <v>45388</v>
      </c>
      <c r="C271" s="19" t="n">
        <f aca="false">YEAR(B271)</f>
        <v>2024</v>
      </c>
      <c r="D271" s="19" t="n">
        <f aca="false">MONTH(B271)</f>
        <v>4</v>
      </c>
      <c r="E271" s="30" t="str">
        <f aca="false">INDEX(Lists!$K$2:$K$13,MATCH(D271,Lists!$J$2:$J$13,0))</f>
        <v>أبريل</v>
      </c>
      <c r="F271" s="19" t="str">
        <f aca="false">"Q"&amp;ROUNDUP(D271/3,0)</f>
        <v>Q2</v>
      </c>
      <c r="G271" s="30" t="str">
        <f aca="false">INDEX(Lists!$N$2:$N$8,MATCH(WEEKDAY(B271,2),Lists!$M$2:$M$8,0))</f>
        <v>السبت</v>
      </c>
      <c r="H271" s="30" t="s">
        <v>46</v>
      </c>
      <c r="I271" s="19" t="str">
        <f aca="false">INDEX(Lists!$B$2:$B$6,MATCH(H271,Lists!$A$2:$A$6,0))</f>
        <v>المنطقة الوسطى</v>
      </c>
      <c r="J271" s="30" t="s">
        <v>113</v>
      </c>
      <c r="K271" s="30" t="s">
        <v>121</v>
      </c>
      <c r="L271" s="31" t="n">
        <v>579</v>
      </c>
      <c r="M271" s="19" t="n">
        <v>2</v>
      </c>
      <c r="N271" s="32" t="n">
        <v>0.1</v>
      </c>
      <c r="O271" s="30" t="s">
        <v>48</v>
      </c>
      <c r="P271" s="30" t="s">
        <v>51</v>
      </c>
      <c r="Q271" s="30" t="s">
        <v>94</v>
      </c>
      <c r="R271" s="25" t="n">
        <f aca="false">L271*M271*(1-N271)</f>
        <v>1042.2</v>
      </c>
    </row>
    <row r="272" customFormat="false" ht="15" hidden="false" customHeight="false" outlineLevel="0" collapsed="false">
      <c r="A272" s="30" t="s">
        <v>443</v>
      </c>
      <c r="B272" s="44" t="n">
        <v>45388</v>
      </c>
      <c r="C272" s="19" t="n">
        <f aca="false">YEAR(B272)</f>
        <v>2024</v>
      </c>
      <c r="D272" s="19" t="n">
        <f aca="false">MONTH(B272)</f>
        <v>4</v>
      </c>
      <c r="E272" s="30" t="str">
        <f aca="false">INDEX(Lists!$K$2:$K$13,MATCH(D272,Lists!$J$2:$J$13,0))</f>
        <v>أبريل</v>
      </c>
      <c r="F272" s="19" t="str">
        <f aca="false">"Q"&amp;ROUNDUP(D272/3,0)</f>
        <v>Q2</v>
      </c>
      <c r="G272" s="30" t="str">
        <f aca="false">INDEX(Lists!$N$2:$N$8,MATCH(WEEKDAY(B272,2),Lists!$M$2:$M$8,0))</f>
        <v>السبت</v>
      </c>
      <c r="H272" s="30" t="s">
        <v>46</v>
      </c>
      <c r="I272" s="19" t="str">
        <f aca="false">INDEX(Lists!$B$2:$B$6,MATCH(H272,Lists!$A$2:$A$6,0))</f>
        <v>المنطقة الوسطى</v>
      </c>
      <c r="J272" s="30" t="s">
        <v>109</v>
      </c>
      <c r="K272" s="30" t="s">
        <v>171</v>
      </c>
      <c r="L272" s="31" t="n">
        <v>119</v>
      </c>
      <c r="M272" s="19" t="n">
        <v>1</v>
      </c>
      <c r="N272" s="32" t="n">
        <v>0</v>
      </c>
      <c r="O272" s="30" t="s">
        <v>52</v>
      </c>
      <c r="P272" s="30" t="s">
        <v>47</v>
      </c>
      <c r="Q272" s="30" t="s">
        <v>86</v>
      </c>
      <c r="R272" s="25" t="n">
        <f aca="false">L272*M272*(1-N272)</f>
        <v>119</v>
      </c>
    </row>
    <row r="273" customFormat="false" ht="15" hidden="false" customHeight="false" outlineLevel="0" collapsed="false">
      <c r="A273" s="30" t="s">
        <v>444</v>
      </c>
      <c r="B273" s="44" t="n">
        <v>45388</v>
      </c>
      <c r="C273" s="19" t="n">
        <f aca="false">YEAR(B273)</f>
        <v>2024</v>
      </c>
      <c r="D273" s="19" t="n">
        <f aca="false">MONTH(B273)</f>
        <v>4</v>
      </c>
      <c r="E273" s="30" t="str">
        <f aca="false">INDEX(Lists!$K$2:$K$13,MATCH(D273,Lists!$J$2:$J$13,0))</f>
        <v>أبريل</v>
      </c>
      <c r="F273" s="19" t="str">
        <f aca="false">"Q"&amp;ROUNDUP(D273/3,0)</f>
        <v>Q2</v>
      </c>
      <c r="G273" s="30" t="str">
        <f aca="false">INDEX(Lists!$N$2:$N$8,MATCH(WEEKDAY(B273,2),Lists!$M$2:$M$8,0))</f>
        <v>السبت</v>
      </c>
      <c r="H273" s="30" t="s">
        <v>54</v>
      </c>
      <c r="I273" s="19" t="str">
        <f aca="false">INDEX(Lists!$B$2:$B$6,MATCH(H273,Lists!$A$2:$A$6,0))</f>
        <v>المنطقة الشرقية</v>
      </c>
      <c r="J273" s="30" t="s">
        <v>109</v>
      </c>
      <c r="K273" s="30" t="s">
        <v>93</v>
      </c>
      <c r="L273" s="31" t="n">
        <v>219</v>
      </c>
      <c r="M273" s="19" t="n">
        <v>1</v>
      </c>
      <c r="N273" s="32" t="n">
        <v>0</v>
      </c>
      <c r="O273" s="30" t="s">
        <v>52</v>
      </c>
      <c r="P273" s="30" t="s">
        <v>47</v>
      </c>
      <c r="Q273" s="30" t="s">
        <v>89</v>
      </c>
      <c r="R273" s="25" t="n">
        <f aca="false">L273*M273*(1-N273)</f>
        <v>219</v>
      </c>
    </row>
    <row r="274" customFormat="false" ht="15" hidden="false" customHeight="false" outlineLevel="0" collapsed="false">
      <c r="A274" s="30" t="s">
        <v>445</v>
      </c>
      <c r="B274" s="44" t="n">
        <v>45388</v>
      </c>
      <c r="C274" s="19" t="n">
        <f aca="false">YEAR(B274)</f>
        <v>2024</v>
      </c>
      <c r="D274" s="19" t="n">
        <f aca="false">MONTH(B274)</f>
        <v>4</v>
      </c>
      <c r="E274" s="30" t="str">
        <f aca="false">INDEX(Lists!$K$2:$K$13,MATCH(D274,Lists!$J$2:$J$13,0))</f>
        <v>أبريل</v>
      </c>
      <c r="F274" s="19" t="str">
        <f aca="false">"Q"&amp;ROUNDUP(D274/3,0)</f>
        <v>Q2</v>
      </c>
      <c r="G274" s="30" t="str">
        <f aca="false">INDEX(Lists!$N$2:$N$8,MATCH(WEEKDAY(B274,2),Lists!$M$2:$M$8,0))</f>
        <v>السبت</v>
      </c>
      <c r="H274" s="30" t="s">
        <v>46</v>
      </c>
      <c r="I274" s="19" t="str">
        <f aca="false">INDEX(Lists!$B$2:$B$6,MATCH(H274,Lists!$A$2:$A$6,0))</f>
        <v>المنطقة الوسطى</v>
      </c>
      <c r="J274" s="30" t="s">
        <v>107</v>
      </c>
      <c r="K274" s="30" t="s">
        <v>184</v>
      </c>
      <c r="L274" s="31" t="n">
        <v>3519</v>
      </c>
      <c r="M274" s="19" t="n">
        <v>1</v>
      </c>
      <c r="N274" s="32" t="n">
        <v>0</v>
      </c>
      <c r="O274" s="30" t="s">
        <v>55</v>
      </c>
      <c r="P274" s="30" t="s">
        <v>47</v>
      </c>
      <c r="Q274" s="30" t="s">
        <v>86</v>
      </c>
      <c r="R274" s="25" t="n">
        <f aca="false">L274*M274*(1-N274)</f>
        <v>3519</v>
      </c>
    </row>
    <row r="275" customFormat="false" ht="15" hidden="false" customHeight="false" outlineLevel="0" collapsed="false">
      <c r="A275" s="30" t="s">
        <v>446</v>
      </c>
      <c r="B275" s="44" t="n">
        <v>45388</v>
      </c>
      <c r="C275" s="19" t="n">
        <f aca="false">YEAR(B275)</f>
        <v>2024</v>
      </c>
      <c r="D275" s="19" t="n">
        <f aca="false">MONTH(B275)</f>
        <v>4</v>
      </c>
      <c r="E275" s="30" t="str">
        <f aca="false">INDEX(Lists!$K$2:$K$13,MATCH(D275,Lists!$J$2:$J$13,0))</f>
        <v>أبريل</v>
      </c>
      <c r="F275" s="19" t="str">
        <f aca="false">"Q"&amp;ROUNDUP(D275/3,0)</f>
        <v>Q2</v>
      </c>
      <c r="G275" s="30" t="str">
        <f aca="false">INDEX(Lists!$N$2:$N$8,MATCH(WEEKDAY(B275,2),Lists!$M$2:$M$8,0))</f>
        <v>السبت</v>
      </c>
      <c r="H275" s="30" t="s">
        <v>60</v>
      </c>
      <c r="I275" s="19" t="str">
        <f aca="false">INDEX(Lists!$B$2:$B$6,MATCH(H275,Lists!$A$2:$A$6,0))</f>
        <v>المنطقة الغربية</v>
      </c>
      <c r="J275" s="30" t="s">
        <v>105</v>
      </c>
      <c r="K275" s="30" t="s">
        <v>85</v>
      </c>
      <c r="L275" s="31" t="n">
        <v>2929</v>
      </c>
      <c r="M275" s="19" t="n">
        <v>1</v>
      </c>
      <c r="N275" s="32" t="n">
        <v>0.2</v>
      </c>
      <c r="O275" s="30" t="s">
        <v>58</v>
      </c>
      <c r="P275" s="30" t="s">
        <v>51</v>
      </c>
      <c r="Q275" s="30" t="s">
        <v>76</v>
      </c>
      <c r="R275" s="25" t="n">
        <f aca="false">L275*M275*(1-N275)</f>
        <v>2343.2</v>
      </c>
    </row>
    <row r="276" customFormat="false" ht="15" hidden="false" customHeight="false" outlineLevel="0" collapsed="false">
      <c r="A276" s="30" t="s">
        <v>447</v>
      </c>
      <c r="B276" s="44" t="n">
        <v>45388</v>
      </c>
      <c r="C276" s="19" t="n">
        <f aca="false">YEAR(B276)</f>
        <v>2024</v>
      </c>
      <c r="D276" s="19" t="n">
        <f aca="false">MONTH(B276)</f>
        <v>4</v>
      </c>
      <c r="E276" s="30" t="str">
        <f aca="false">INDEX(Lists!$K$2:$K$13,MATCH(D276,Lists!$J$2:$J$13,0))</f>
        <v>أبريل</v>
      </c>
      <c r="F276" s="19" t="str">
        <f aca="false">"Q"&amp;ROUNDUP(D276/3,0)</f>
        <v>Q2</v>
      </c>
      <c r="G276" s="30" t="str">
        <f aca="false">INDEX(Lists!$N$2:$N$8,MATCH(WEEKDAY(B276,2),Lists!$M$2:$M$8,0))</f>
        <v>السبت</v>
      </c>
      <c r="H276" s="30" t="s">
        <v>46</v>
      </c>
      <c r="I276" s="19" t="str">
        <f aca="false">INDEX(Lists!$B$2:$B$6,MATCH(H276,Lists!$A$2:$A$6,0))</f>
        <v>المنطقة الوسطى</v>
      </c>
      <c r="J276" s="30" t="s">
        <v>113</v>
      </c>
      <c r="K276" s="30" t="s">
        <v>100</v>
      </c>
      <c r="L276" s="31" t="n">
        <v>819</v>
      </c>
      <c r="M276" s="19" t="n">
        <v>1</v>
      </c>
      <c r="N276" s="32" t="n">
        <v>0</v>
      </c>
      <c r="O276" s="30" t="s">
        <v>55</v>
      </c>
      <c r="P276" s="30" t="s">
        <v>47</v>
      </c>
      <c r="Q276" s="30" t="s">
        <v>76</v>
      </c>
      <c r="R276" s="25" t="n">
        <f aca="false">L276*M276*(1-N276)</f>
        <v>819</v>
      </c>
    </row>
    <row r="277" customFormat="false" ht="15" hidden="false" customHeight="false" outlineLevel="0" collapsed="false">
      <c r="A277" s="30" t="s">
        <v>448</v>
      </c>
      <c r="B277" s="44" t="n">
        <v>45389</v>
      </c>
      <c r="C277" s="19" t="n">
        <f aca="false">YEAR(B277)</f>
        <v>2024</v>
      </c>
      <c r="D277" s="19" t="n">
        <f aca="false">MONTH(B277)</f>
        <v>4</v>
      </c>
      <c r="E277" s="30" t="str">
        <f aca="false">INDEX(Lists!$K$2:$K$13,MATCH(D277,Lists!$J$2:$J$13,0))</f>
        <v>أبريل</v>
      </c>
      <c r="F277" s="19" t="str">
        <f aca="false">"Q"&amp;ROUNDUP(D277/3,0)</f>
        <v>Q2</v>
      </c>
      <c r="G277" s="30" t="str">
        <f aca="false">INDEX(Lists!$N$2:$N$8,MATCH(WEEKDAY(B277,2),Lists!$M$2:$M$8,0))</f>
        <v>الأحد</v>
      </c>
      <c r="H277" s="30" t="s">
        <v>60</v>
      </c>
      <c r="I277" s="19" t="str">
        <f aca="false">INDEX(Lists!$B$2:$B$6,MATCH(H277,Lists!$A$2:$A$6,0))</f>
        <v>المنطقة الغربية</v>
      </c>
      <c r="J277" s="30" t="s">
        <v>107</v>
      </c>
      <c r="K277" s="30" t="s">
        <v>114</v>
      </c>
      <c r="L277" s="31" t="n">
        <v>6879</v>
      </c>
      <c r="M277" s="19" t="n">
        <v>2</v>
      </c>
      <c r="N277" s="32" t="n">
        <v>0.05</v>
      </c>
      <c r="O277" s="30" t="s">
        <v>52</v>
      </c>
      <c r="P277" s="30" t="s">
        <v>47</v>
      </c>
      <c r="Q277" s="30" t="s">
        <v>78</v>
      </c>
      <c r="R277" s="25" t="n">
        <f aca="false">L277*M277*(1-N277)</f>
        <v>13070.1</v>
      </c>
    </row>
    <row r="278" customFormat="false" ht="15" hidden="false" customHeight="false" outlineLevel="0" collapsed="false">
      <c r="A278" s="30" t="s">
        <v>449</v>
      </c>
      <c r="B278" s="44" t="n">
        <v>45389</v>
      </c>
      <c r="C278" s="19" t="n">
        <f aca="false">YEAR(B278)</f>
        <v>2024</v>
      </c>
      <c r="D278" s="19" t="n">
        <f aca="false">MONTH(B278)</f>
        <v>4</v>
      </c>
      <c r="E278" s="30" t="str">
        <f aca="false">INDEX(Lists!$K$2:$K$13,MATCH(D278,Lists!$J$2:$J$13,0))</f>
        <v>أبريل</v>
      </c>
      <c r="F278" s="19" t="str">
        <f aca="false">"Q"&amp;ROUNDUP(D278/3,0)</f>
        <v>Q2</v>
      </c>
      <c r="G278" s="30" t="str">
        <f aca="false">INDEX(Lists!$N$2:$N$8,MATCH(WEEKDAY(B278,2),Lists!$M$2:$M$8,0))</f>
        <v>الأحد</v>
      </c>
      <c r="H278" s="30" t="s">
        <v>60</v>
      </c>
      <c r="I278" s="19" t="str">
        <f aca="false">INDEX(Lists!$B$2:$B$6,MATCH(H278,Lists!$A$2:$A$6,0))</f>
        <v>المنطقة الغربية</v>
      </c>
      <c r="J278" s="30" t="s">
        <v>113</v>
      </c>
      <c r="K278" s="30" t="s">
        <v>121</v>
      </c>
      <c r="L278" s="31" t="n">
        <v>269</v>
      </c>
      <c r="M278" s="19" t="n">
        <v>2</v>
      </c>
      <c r="N278" s="32" t="n">
        <v>0.2</v>
      </c>
      <c r="O278" s="30" t="s">
        <v>52</v>
      </c>
      <c r="P278" s="30" t="s">
        <v>47</v>
      </c>
      <c r="Q278" s="30" t="s">
        <v>94</v>
      </c>
      <c r="R278" s="25" t="n">
        <f aca="false">L278*M278*(1-N278)</f>
        <v>430.4</v>
      </c>
    </row>
    <row r="279" customFormat="false" ht="15" hidden="false" customHeight="false" outlineLevel="0" collapsed="false">
      <c r="A279" s="30" t="s">
        <v>450</v>
      </c>
      <c r="B279" s="44" t="n">
        <v>45389</v>
      </c>
      <c r="C279" s="19" t="n">
        <f aca="false">YEAR(B279)</f>
        <v>2024</v>
      </c>
      <c r="D279" s="19" t="n">
        <f aca="false">MONTH(B279)</f>
        <v>4</v>
      </c>
      <c r="E279" s="30" t="str">
        <f aca="false">INDEX(Lists!$K$2:$K$13,MATCH(D279,Lists!$J$2:$J$13,0))</f>
        <v>أبريل</v>
      </c>
      <c r="F279" s="19" t="str">
        <f aca="false">"Q"&amp;ROUNDUP(D279/3,0)</f>
        <v>Q2</v>
      </c>
      <c r="G279" s="30" t="str">
        <f aca="false">INDEX(Lists!$N$2:$N$8,MATCH(WEEKDAY(B279,2),Lists!$M$2:$M$8,0))</f>
        <v>الأحد</v>
      </c>
      <c r="H279" s="30" t="s">
        <v>54</v>
      </c>
      <c r="I279" s="19" t="str">
        <f aca="false">INDEX(Lists!$B$2:$B$6,MATCH(H279,Lists!$A$2:$A$6,0))</f>
        <v>المنطقة الشرقية</v>
      </c>
      <c r="J279" s="30" t="s">
        <v>111</v>
      </c>
      <c r="K279" s="30" t="s">
        <v>120</v>
      </c>
      <c r="L279" s="31" t="n">
        <v>529</v>
      </c>
      <c r="M279" s="19" t="n">
        <v>2</v>
      </c>
      <c r="N279" s="32" t="n">
        <v>0.1</v>
      </c>
      <c r="O279" s="30" t="s">
        <v>48</v>
      </c>
      <c r="P279" s="30" t="s">
        <v>51</v>
      </c>
      <c r="Q279" s="30" t="s">
        <v>99</v>
      </c>
      <c r="R279" s="25" t="n">
        <f aca="false">L279*M279*(1-N279)</f>
        <v>952.2</v>
      </c>
    </row>
    <row r="280" customFormat="false" ht="15" hidden="false" customHeight="false" outlineLevel="0" collapsed="false">
      <c r="A280" s="30" t="s">
        <v>451</v>
      </c>
      <c r="B280" s="44" t="n">
        <v>45389</v>
      </c>
      <c r="C280" s="19" t="n">
        <f aca="false">YEAR(B280)</f>
        <v>2024</v>
      </c>
      <c r="D280" s="19" t="n">
        <f aca="false">MONTH(B280)</f>
        <v>4</v>
      </c>
      <c r="E280" s="30" t="str">
        <f aca="false">INDEX(Lists!$K$2:$K$13,MATCH(D280,Lists!$J$2:$J$13,0))</f>
        <v>أبريل</v>
      </c>
      <c r="F280" s="19" t="str">
        <f aca="false">"Q"&amp;ROUNDUP(D280/3,0)</f>
        <v>Q2</v>
      </c>
      <c r="G280" s="30" t="str">
        <f aca="false">INDEX(Lists!$N$2:$N$8,MATCH(WEEKDAY(B280,2),Lists!$M$2:$M$8,0))</f>
        <v>الأحد</v>
      </c>
      <c r="H280" s="30" t="s">
        <v>50</v>
      </c>
      <c r="I280" s="19" t="str">
        <f aca="false">INDEX(Lists!$B$2:$B$6,MATCH(H280,Lists!$A$2:$A$6,0))</f>
        <v>المنطقة الغربية</v>
      </c>
      <c r="J280" s="30" t="s">
        <v>111</v>
      </c>
      <c r="K280" s="30" t="s">
        <v>120</v>
      </c>
      <c r="L280" s="31" t="n">
        <v>189</v>
      </c>
      <c r="M280" s="19" t="n">
        <v>1</v>
      </c>
      <c r="N280" s="32" t="n">
        <v>0</v>
      </c>
      <c r="O280" s="30" t="s">
        <v>55</v>
      </c>
      <c r="P280" s="30" t="s">
        <v>47</v>
      </c>
      <c r="Q280" s="30" t="s">
        <v>94</v>
      </c>
      <c r="R280" s="25" t="n">
        <f aca="false">L280*M280*(1-N280)</f>
        <v>189</v>
      </c>
    </row>
    <row r="281" customFormat="false" ht="15" hidden="false" customHeight="false" outlineLevel="0" collapsed="false">
      <c r="A281" s="30" t="s">
        <v>452</v>
      </c>
      <c r="B281" s="44" t="n">
        <v>45389</v>
      </c>
      <c r="C281" s="19" t="n">
        <f aca="false">YEAR(B281)</f>
        <v>2024</v>
      </c>
      <c r="D281" s="19" t="n">
        <f aca="false">MONTH(B281)</f>
        <v>4</v>
      </c>
      <c r="E281" s="30" t="str">
        <f aca="false">INDEX(Lists!$K$2:$K$13,MATCH(D281,Lists!$J$2:$J$13,0))</f>
        <v>أبريل</v>
      </c>
      <c r="F281" s="19" t="str">
        <f aca="false">"Q"&amp;ROUNDUP(D281/3,0)</f>
        <v>Q2</v>
      </c>
      <c r="G281" s="30" t="str">
        <f aca="false">INDEX(Lists!$N$2:$N$8,MATCH(WEEKDAY(B281,2),Lists!$M$2:$M$8,0))</f>
        <v>الأحد</v>
      </c>
      <c r="H281" s="30" t="s">
        <v>50</v>
      </c>
      <c r="I281" s="19" t="str">
        <f aca="false">INDEX(Lists!$B$2:$B$6,MATCH(H281,Lists!$A$2:$A$6,0))</f>
        <v>المنطقة الغربية</v>
      </c>
      <c r="J281" s="30" t="s">
        <v>107</v>
      </c>
      <c r="K281" s="30" t="s">
        <v>272</v>
      </c>
      <c r="L281" s="31" t="n">
        <v>6039</v>
      </c>
      <c r="M281" s="19" t="n">
        <v>3</v>
      </c>
      <c r="N281" s="32" t="n">
        <v>0.15</v>
      </c>
      <c r="O281" s="30" t="s">
        <v>52</v>
      </c>
      <c r="P281" s="30" t="s">
        <v>51</v>
      </c>
      <c r="Q281" s="30" t="s">
        <v>84</v>
      </c>
      <c r="R281" s="25" t="n">
        <f aca="false">L281*M281*(1-N281)</f>
        <v>15399.45</v>
      </c>
    </row>
    <row r="282" customFormat="false" ht="15" hidden="false" customHeight="false" outlineLevel="0" collapsed="false">
      <c r="A282" s="30" t="s">
        <v>453</v>
      </c>
      <c r="B282" s="44" t="n">
        <v>45390</v>
      </c>
      <c r="C282" s="19" t="n">
        <f aca="false">YEAR(B282)</f>
        <v>2024</v>
      </c>
      <c r="D282" s="19" t="n">
        <f aca="false">MONTH(B282)</f>
        <v>4</v>
      </c>
      <c r="E282" s="30" t="str">
        <f aca="false">INDEX(Lists!$K$2:$K$13,MATCH(D282,Lists!$J$2:$J$13,0))</f>
        <v>أبريل</v>
      </c>
      <c r="F282" s="19" t="str">
        <f aca="false">"Q"&amp;ROUNDUP(D282/3,0)</f>
        <v>Q2</v>
      </c>
      <c r="G282" s="30" t="str">
        <f aca="false">INDEX(Lists!$N$2:$N$8,MATCH(WEEKDAY(B282,2),Lists!$M$2:$M$8,0))</f>
        <v>الإثنين</v>
      </c>
      <c r="H282" s="30" t="s">
        <v>46</v>
      </c>
      <c r="I282" s="19" t="str">
        <f aca="false">INDEX(Lists!$B$2:$B$6,MATCH(H282,Lists!$A$2:$A$6,0))</f>
        <v>المنطقة الوسطى</v>
      </c>
      <c r="J282" s="30" t="s">
        <v>105</v>
      </c>
      <c r="K282" s="30" t="s">
        <v>82</v>
      </c>
      <c r="L282" s="31" t="n">
        <v>1849</v>
      </c>
      <c r="M282" s="19" t="n">
        <v>2</v>
      </c>
      <c r="N282" s="32" t="n">
        <v>0</v>
      </c>
      <c r="O282" s="30" t="s">
        <v>52</v>
      </c>
      <c r="P282" s="30" t="s">
        <v>47</v>
      </c>
      <c r="Q282" s="30" t="s">
        <v>99</v>
      </c>
      <c r="R282" s="25" t="n">
        <f aca="false">L282*M282*(1-N282)</f>
        <v>3698</v>
      </c>
    </row>
    <row r="283" customFormat="false" ht="15" hidden="false" customHeight="false" outlineLevel="0" collapsed="false">
      <c r="A283" s="30" t="s">
        <v>454</v>
      </c>
      <c r="B283" s="44" t="n">
        <v>45390</v>
      </c>
      <c r="C283" s="19" t="n">
        <f aca="false">YEAR(B283)</f>
        <v>2024</v>
      </c>
      <c r="D283" s="19" t="n">
        <f aca="false">MONTH(B283)</f>
        <v>4</v>
      </c>
      <c r="E283" s="30" t="str">
        <f aca="false">INDEX(Lists!$K$2:$K$13,MATCH(D283,Lists!$J$2:$J$13,0))</f>
        <v>أبريل</v>
      </c>
      <c r="F283" s="19" t="str">
        <f aca="false">"Q"&amp;ROUNDUP(D283/3,0)</f>
        <v>Q2</v>
      </c>
      <c r="G283" s="30" t="str">
        <f aca="false">INDEX(Lists!$N$2:$N$8,MATCH(WEEKDAY(B283,2),Lists!$M$2:$M$8,0))</f>
        <v>الإثنين</v>
      </c>
      <c r="H283" s="30" t="s">
        <v>60</v>
      </c>
      <c r="I283" s="19" t="str">
        <f aca="false">INDEX(Lists!$B$2:$B$6,MATCH(H283,Lists!$A$2:$A$6,0))</f>
        <v>المنطقة الغربية</v>
      </c>
      <c r="J283" s="30" t="s">
        <v>107</v>
      </c>
      <c r="K283" s="30" t="s">
        <v>114</v>
      </c>
      <c r="L283" s="31" t="n">
        <v>7229</v>
      </c>
      <c r="M283" s="19" t="n">
        <v>1</v>
      </c>
      <c r="N283" s="32" t="n">
        <v>0.05</v>
      </c>
      <c r="O283" s="30" t="s">
        <v>48</v>
      </c>
      <c r="P283" s="30" t="s">
        <v>47</v>
      </c>
      <c r="Q283" s="30" t="s">
        <v>99</v>
      </c>
      <c r="R283" s="25" t="n">
        <f aca="false">L283*M283*(1-N283)</f>
        <v>6867.55</v>
      </c>
    </row>
    <row r="284" customFormat="false" ht="15" hidden="false" customHeight="false" outlineLevel="0" collapsed="false">
      <c r="A284" s="30" t="s">
        <v>455</v>
      </c>
      <c r="B284" s="44" t="n">
        <v>45391</v>
      </c>
      <c r="C284" s="19" t="n">
        <f aca="false">YEAR(B284)</f>
        <v>2024</v>
      </c>
      <c r="D284" s="19" t="n">
        <f aca="false">MONTH(B284)</f>
        <v>4</v>
      </c>
      <c r="E284" s="30" t="str">
        <f aca="false">INDEX(Lists!$K$2:$K$13,MATCH(D284,Lists!$J$2:$J$13,0))</f>
        <v>أبريل</v>
      </c>
      <c r="F284" s="19" t="str">
        <f aca="false">"Q"&amp;ROUNDUP(D284/3,0)</f>
        <v>Q2</v>
      </c>
      <c r="G284" s="30" t="str">
        <f aca="false">INDEX(Lists!$N$2:$N$8,MATCH(WEEKDAY(B284,2),Lists!$M$2:$M$8,0))</f>
        <v>الثلاثاء</v>
      </c>
      <c r="H284" s="30" t="s">
        <v>50</v>
      </c>
      <c r="I284" s="19" t="str">
        <f aca="false">INDEX(Lists!$B$2:$B$6,MATCH(H284,Lists!$A$2:$A$6,0))</f>
        <v>المنطقة الغربية</v>
      </c>
      <c r="J284" s="30" t="s">
        <v>105</v>
      </c>
      <c r="K284" s="30" t="s">
        <v>79</v>
      </c>
      <c r="L284" s="31" t="n">
        <v>4449</v>
      </c>
      <c r="M284" s="19" t="n">
        <v>1</v>
      </c>
      <c r="N284" s="32" t="n">
        <v>0.1</v>
      </c>
      <c r="O284" s="30" t="s">
        <v>58</v>
      </c>
      <c r="P284" s="30" t="s">
        <v>51</v>
      </c>
      <c r="Q284" s="30" t="s">
        <v>84</v>
      </c>
      <c r="R284" s="25" t="n">
        <f aca="false">L284*M284*(1-N284)</f>
        <v>4004.1</v>
      </c>
    </row>
    <row r="285" customFormat="false" ht="15" hidden="false" customHeight="false" outlineLevel="0" collapsed="false">
      <c r="A285" s="30" t="s">
        <v>456</v>
      </c>
      <c r="B285" s="44" t="n">
        <v>45391</v>
      </c>
      <c r="C285" s="19" t="n">
        <f aca="false">YEAR(B285)</f>
        <v>2024</v>
      </c>
      <c r="D285" s="19" t="n">
        <f aca="false">MONTH(B285)</f>
        <v>4</v>
      </c>
      <c r="E285" s="30" t="str">
        <f aca="false">INDEX(Lists!$K$2:$K$13,MATCH(D285,Lists!$J$2:$J$13,0))</f>
        <v>أبريل</v>
      </c>
      <c r="F285" s="19" t="str">
        <f aca="false">"Q"&amp;ROUNDUP(D285/3,0)</f>
        <v>Q2</v>
      </c>
      <c r="G285" s="30" t="str">
        <f aca="false">INDEX(Lists!$N$2:$N$8,MATCH(WEEKDAY(B285,2),Lists!$M$2:$M$8,0))</f>
        <v>الثلاثاء</v>
      </c>
      <c r="H285" s="30" t="s">
        <v>46</v>
      </c>
      <c r="I285" s="19" t="str">
        <f aca="false">INDEX(Lists!$B$2:$B$6,MATCH(H285,Lists!$A$2:$A$6,0))</f>
        <v>المنطقة الوسطى</v>
      </c>
      <c r="J285" s="30" t="s">
        <v>111</v>
      </c>
      <c r="K285" s="30" t="s">
        <v>122</v>
      </c>
      <c r="L285" s="31" t="n">
        <v>259</v>
      </c>
      <c r="M285" s="19" t="n">
        <v>1</v>
      </c>
      <c r="N285" s="32" t="n">
        <v>0.1</v>
      </c>
      <c r="O285" s="30" t="s">
        <v>48</v>
      </c>
      <c r="P285" s="30" t="s">
        <v>47</v>
      </c>
      <c r="Q285" s="30" t="s">
        <v>99</v>
      </c>
      <c r="R285" s="25" t="n">
        <f aca="false">L285*M285*(1-N285)</f>
        <v>233.1</v>
      </c>
    </row>
    <row r="286" customFormat="false" ht="15" hidden="false" customHeight="false" outlineLevel="0" collapsed="false">
      <c r="A286" s="30" t="s">
        <v>457</v>
      </c>
      <c r="B286" s="44" t="n">
        <v>45392</v>
      </c>
      <c r="C286" s="19" t="n">
        <f aca="false">YEAR(B286)</f>
        <v>2024</v>
      </c>
      <c r="D286" s="19" t="n">
        <f aca="false">MONTH(B286)</f>
        <v>4</v>
      </c>
      <c r="E286" s="30" t="str">
        <f aca="false">INDEX(Lists!$K$2:$K$13,MATCH(D286,Lists!$J$2:$J$13,0))</f>
        <v>أبريل</v>
      </c>
      <c r="F286" s="19" t="str">
        <f aca="false">"Q"&amp;ROUNDUP(D286/3,0)</f>
        <v>Q2</v>
      </c>
      <c r="G286" s="30" t="str">
        <f aca="false">INDEX(Lists!$N$2:$N$8,MATCH(WEEKDAY(B286,2),Lists!$M$2:$M$8,0))</f>
        <v>الأربعاء</v>
      </c>
      <c r="H286" s="30" t="s">
        <v>46</v>
      </c>
      <c r="I286" s="19" t="str">
        <f aca="false">INDEX(Lists!$B$2:$B$6,MATCH(H286,Lists!$A$2:$A$6,0))</f>
        <v>المنطقة الوسطى</v>
      </c>
      <c r="J286" s="30" t="s">
        <v>107</v>
      </c>
      <c r="K286" s="30" t="s">
        <v>184</v>
      </c>
      <c r="L286" s="31" t="n">
        <v>7129</v>
      </c>
      <c r="M286" s="19" t="n">
        <v>1</v>
      </c>
      <c r="N286" s="32" t="n">
        <v>0.05</v>
      </c>
      <c r="O286" s="30" t="s">
        <v>55</v>
      </c>
      <c r="P286" s="30" t="s">
        <v>47</v>
      </c>
      <c r="Q286" s="30" t="s">
        <v>86</v>
      </c>
      <c r="R286" s="25" t="n">
        <f aca="false">L286*M286*(1-N286)</f>
        <v>6772.55</v>
      </c>
    </row>
    <row r="287" customFormat="false" ht="15" hidden="false" customHeight="false" outlineLevel="0" collapsed="false">
      <c r="A287" s="30" t="s">
        <v>458</v>
      </c>
      <c r="B287" s="44" t="n">
        <v>45392</v>
      </c>
      <c r="C287" s="19" t="n">
        <f aca="false">YEAR(B287)</f>
        <v>2024</v>
      </c>
      <c r="D287" s="19" t="n">
        <f aca="false">MONTH(B287)</f>
        <v>4</v>
      </c>
      <c r="E287" s="30" t="str">
        <f aca="false">INDEX(Lists!$K$2:$K$13,MATCH(D287,Lists!$J$2:$J$13,0))</f>
        <v>أبريل</v>
      </c>
      <c r="F287" s="19" t="str">
        <f aca="false">"Q"&amp;ROUNDUP(D287/3,0)</f>
        <v>Q2</v>
      </c>
      <c r="G287" s="30" t="str">
        <f aca="false">INDEX(Lists!$N$2:$N$8,MATCH(WEEKDAY(B287,2),Lists!$M$2:$M$8,0))</f>
        <v>الأربعاء</v>
      </c>
      <c r="H287" s="30" t="s">
        <v>54</v>
      </c>
      <c r="I287" s="19" t="str">
        <f aca="false">INDEX(Lists!$B$2:$B$6,MATCH(H287,Lists!$A$2:$A$6,0))</f>
        <v>المنطقة الشرقية</v>
      </c>
      <c r="J287" s="30" t="s">
        <v>105</v>
      </c>
      <c r="K287" s="30" t="s">
        <v>85</v>
      </c>
      <c r="L287" s="31" t="n">
        <v>2099</v>
      </c>
      <c r="M287" s="19" t="n">
        <v>1</v>
      </c>
      <c r="N287" s="32" t="n">
        <v>0.1</v>
      </c>
      <c r="O287" s="30" t="s">
        <v>48</v>
      </c>
      <c r="P287" s="30" t="s">
        <v>47</v>
      </c>
      <c r="Q287" s="30" t="s">
        <v>78</v>
      </c>
      <c r="R287" s="25" t="n">
        <f aca="false">L287*M287*(1-N287)</f>
        <v>1889.1</v>
      </c>
    </row>
    <row r="288" customFormat="false" ht="15" hidden="false" customHeight="false" outlineLevel="0" collapsed="false">
      <c r="A288" s="30" t="s">
        <v>459</v>
      </c>
      <c r="B288" s="44" t="n">
        <v>45392</v>
      </c>
      <c r="C288" s="19" t="n">
        <f aca="false">YEAR(B288)</f>
        <v>2024</v>
      </c>
      <c r="D288" s="19" t="n">
        <f aca="false">MONTH(B288)</f>
        <v>4</v>
      </c>
      <c r="E288" s="30" t="str">
        <f aca="false">INDEX(Lists!$K$2:$K$13,MATCH(D288,Lists!$J$2:$J$13,0))</f>
        <v>أبريل</v>
      </c>
      <c r="F288" s="19" t="str">
        <f aca="false">"Q"&amp;ROUNDUP(D288/3,0)</f>
        <v>Q2</v>
      </c>
      <c r="G288" s="30" t="str">
        <f aca="false">INDEX(Lists!$N$2:$N$8,MATCH(WEEKDAY(B288,2),Lists!$M$2:$M$8,0))</f>
        <v>الأربعاء</v>
      </c>
      <c r="H288" s="30" t="s">
        <v>60</v>
      </c>
      <c r="I288" s="19" t="str">
        <f aca="false">INDEX(Lists!$B$2:$B$6,MATCH(H288,Lists!$A$2:$A$6,0))</f>
        <v>المنطقة الغربية</v>
      </c>
      <c r="J288" s="30" t="s">
        <v>109</v>
      </c>
      <c r="K288" s="30" t="s">
        <v>175</v>
      </c>
      <c r="L288" s="31" t="n">
        <v>199</v>
      </c>
      <c r="M288" s="19" t="n">
        <v>1</v>
      </c>
      <c r="N288" s="32" t="n">
        <v>0.1</v>
      </c>
      <c r="O288" s="30" t="s">
        <v>52</v>
      </c>
      <c r="P288" s="30" t="s">
        <v>47</v>
      </c>
      <c r="Q288" s="30" t="s">
        <v>86</v>
      </c>
      <c r="R288" s="25" t="n">
        <f aca="false">L288*M288*(1-N288)</f>
        <v>179.1</v>
      </c>
    </row>
    <row r="289" customFormat="false" ht="15" hidden="false" customHeight="false" outlineLevel="0" collapsed="false">
      <c r="A289" s="30" t="s">
        <v>460</v>
      </c>
      <c r="B289" s="44" t="n">
        <v>45393</v>
      </c>
      <c r="C289" s="19" t="n">
        <f aca="false">YEAR(B289)</f>
        <v>2024</v>
      </c>
      <c r="D289" s="19" t="n">
        <f aca="false">MONTH(B289)</f>
        <v>4</v>
      </c>
      <c r="E289" s="30" t="str">
        <f aca="false">INDEX(Lists!$K$2:$K$13,MATCH(D289,Lists!$J$2:$J$13,0))</f>
        <v>أبريل</v>
      </c>
      <c r="F289" s="19" t="str">
        <f aca="false">"Q"&amp;ROUNDUP(D289/3,0)</f>
        <v>Q2</v>
      </c>
      <c r="G289" s="30" t="str">
        <f aca="false">INDEX(Lists!$N$2:$N$8,MATCH(WEEKDAY(B289,2),Lists!$M$2:$M$8,0))</f>
        <v>الخميس</v>
      </c>
      <c r="H289" s="30" t="s">
        <v>50</v>
      </c>
      <c r="I289" s="19" t="str">
        <f aca="false">INDEX(Lists!$B$2:$B$6,MATCH(H289,Lists!$A$2:$A$6,0))</f>
        <v>المنطقة الغربية</v>
      </c>
      <c r="J289" s="30" t="s">
        <v>105</v>
      </c>
      <c r="K289" s="30" t="s">
        <v>85</v>
      </c>
      <c r="L289" s="31" t="n">
        <v>2689</v>
      </c>
      <c r="M289" s="19" t="n">
        <v>1</v>
      </c>
      <c r="N289" s="32" t="n">
        <v>0.05</v>
      </c>
      <c r="O289" s="30" t="s">
        <v>48</v>
      </c>
      <c r="P289" s="30" t="s">
        <v>47</v>
      </c>
      <c r="Q289" s="30" t="s">
        <v>84</v>
      </c>
      <c r="R289" s="25" t="n">
        <f aca="false">L289*M289*(1-N289)</f>
        <v>2554.55</v>
      </c>
    </row>
    <row r="290" customFormat="false" ht="15" hidden="false" customHeight="false" outlineLevel="0" collapsed="false">
      <c r="A290" s="30" t="s">
        <v>461</v>
      </c>
      <c r="B290" s="44" t="n">
        <v>45395</v>
      </c>
      <c r="C290" s="19" t="n">
        <f aca="false">YEAR(B290)</f>
        <v>2024</v>
      </c>
      <c r="D290" s="19" t="n">
        <f aca="false">MONTH(B290)</f>
        <v>4</v>
      </c>
      <c r="E290" s="30" t="str">
        <f aca="false">INDEX(Lists!$K$2:$K$13,MATCH(D290,Lists!$J$2:$J$13,0))</f>
        <v>أبريل</v>
      </c>
      <c r="F290" s="19" t="str">
        <f aca="false">"Q"&amp;ROUNDUP(D290/3,0)</f>
        <v>Q2</v>
      </c>
      <c r="G290" s="30" t="str">
        <f aca="false">INDEX(Lists!$N$2:$N$8,MATCH(WEEKDAY(B290,2),Lists!$M$2:$M$8,0))</f>
        <v>السبت</v>
      </c>
      <c r="H290" s="30" t="s">
        <v>50</v>
      </c>
      <c r="I290" s="19" t="str">
        <f aca="false">INDEX(Lists!$B$2:$B$6,MATCH(H290,Lists!$A$2:$A$6,0))</f>
        <v>المنطقة الغربية</v>
      </c>
      <c r="J290" s="30" t="s">
        <v>105</v>
      </c>
      <c r="K290" s="30" t="s">
        <v>79</v>
      </c>
      <c r="L290" s="31" t="n">
        <v>4229</v>
      </c>
      <c r="M290" s="19" t="n">
        <v>5</v>
      </c>
      <c r="N290" s="32" t="n">
        <v>0</v>
      </c>
      <c r="O290" s="30" t="s">
        <v>55</v>
      </c>
      <c r="P290" s="30" t="s">
        <v>51</v>
      </c>
      <c r="Q290" s="30" t="s">
        <v>92</v>
      </c>
      <c r="R290" s="25" t="n">
        <f aca="false">L290*M290*(1-N290)</f>
        <v>21145</v>
      </c>
    </row>
    <row r="291" customFormat="false" ht="15" hidden="false" customHeight="false" outlineLevel="0" collapsed="false">
      <c r="A291" s="30" t="s">
        <v>462</v>
      </c>
      <c r="B291" s="44" t="n">
        <v>45395</v>
      </c>
      <c r="C291" s="19" t="n">
        <f aca="false">YEAR(B291)</f>
        <v>2024</v>
      </c>
      <c r="D291" s="19" t="n">
        <f aca="false">MONTH(B291)</f>
        <v>4</v>
      </c>
      <c r="E291" s="30" t="str">
        <f aca="false">INDEX(Lists!$K$2:$K$13,MATCH(D291,Lists!$J$2:$J$13,0))</f>
        <v>أبريل</v>
      </c>
      <c r="F291" s="19" t="str">
        <f aca="false">"Q"&amp;ROUNDUP(D291/3,0)</f>
        <v>Q2</v>
      </c>
      <c r="G291" s="30" t="str">
        <f aca="false">INDEX(Lists!$N$2:$N$8,MATCH(WEEKDAY(B291,2),Lists!$M$2:$M$8,0))</f>
        <v>السبت</v>
      </c>
      <c r="H291" s="30" t="s">
        <v>54</v>
      </c>
      <c r="I291" s="19" t="str">
        <f aca="false">INDEX(Lists!$B$2:$B$6,MATCH(H291,Lists!$A$2:$A$6,0))</f>
        <v>المنطقة الشرقية</v>
      </c>
      <c r="J291" s="30" t="s">
        <v>113</v>
      </c>
      <c r="K291" s="30" t="s">
        <v>95</v>
      </c>
      <c r="L291" s="31" t="n">
        <v>269</v>
      </c>
      <c r="M291" s="19" t="n">
        <v>1</v>
      </c>
      <c r="N291" s="32" t="n">
        <v>0.05</v>
      </c>
      <c r="O291" s="30" t="s">
        <v>52</v>
      </c>
      <c r="P291" s="30" t="s">
        <v>47</v>
      </c>
      <c r="Q291" s="30" t="s">
        <v>81</v>
      </c>
      <c r="R291" s="25" t="n">
        <f aca="false">L291*M291*(1-N291)</f>
        <v>255.55</v>
      </c>
    </row>
    <row r="292" customFormat="false" ht="15" hidden="false" customHeight="false" outlineLevel="0" collapsed="false">
      <c r="A292" s="30" t="s">
        <v>463</v>
      </c>
      <c r="B292" s="44" t="n">
        <v>45396</v>
      </c>
      <c r="C292" s="19" t="n">
        <f aca="false">YEAR(B292)</f>
        <v>2024</v>
      </c>
      <c r="D292" s="19" t="n">
        <f aca="false">MONTH(B292)</f>
        <v>4</v>
      </c>
      <c r="E292" s="30" t="str">
        <f aca="false">INDEX(Lists!$K$2:$K$13,MATCH(D292,Lists!$J$2:$J$13,0))</f>
        <v>أبريل</v>
      </c>
      <c r="F292" s="19" t="str">
        <f aca="false">"Q"&amp;ROUNDUP(D292/3,0)</f>
        <v>Q2</v>
      </c>
      <c r="G292" s="30" t="str">
        <f aca="false">INDEX(Lists!$N$2:$N$8,MATCH(WEEKDAY(B292,2),Lists!$M$2:$M$8,0))</f>
        <v>الأحد</v>
      </c>
      <c r="H292" s="30" t="s">
        <v>46</v>
      </c>
      <c r="I292" s="19" t="str">
        <f aca="false">INDEX(Lists!$B$2:$B$6,MATCH(H292,Lists!$A$2:$A$6,0))</f>
        <v>المنطقة الوسطى</v>
      </c>
      <c r="J292" s="30" t="s">
        <v>109</v>
      </c>
      <c r="K292" s="30" t="s">
        <v>175</v>
      </c>
      <c r="L292" s="31" t="n">
        <v>189</v>
      </c>
      <c r="M292" s="19" t="n">
        <v>3</v>
      </c>
      <c r="N292" s="32" t="n">
        <v>0.05</v>
      </c>
      <c r="O292" s="30" t="s">
        <v>55</v>
      </c>
      <c r="P292" s="30" t="s">
        <v>47</v>
      </c>
      <c r="Q292" s="30" t="s">
        <v>86</v>
      </c>
      <c r="R292" s="25" t="n">
        <f aca="false">L292*M292*(1-N292)</f>
        <v>538.65</v>
      </c>
    </row>
    <row r="293" customFormat="false" ht="15" hidden="false" customHeight="false" outlineLevel="0" collapsed="false">
      <c r="A293" s="30" t="s">
        <v>464</v>
      </c>
      <c r="B293" s="44" t="n">
        <v>45396</v>
      </c>
      <c r="C293" s="19" t="n">
        <f aca="false">YEAR(B293)</f>
        <v>2024</v>
      </c>
      <c r="D293" s="19" t="n">
        <f aca="false">MONTH(B293)</f>
        <v>4</v>
      </c>
      <c r="E293" s="30" t="str">
        <f aca="false">INDEX(Lists!$K$2:$K$13,MATCH(D293,Lists!$J$2:$J$13,0))</f>
        <v>أبريل</v>
      </c>
      <c r="F293" s="19" t="str">
        <f aca="false">"Q"&amp;ROUNDUP(D293/3,0)</f>
        <v>Q2</v>
      </c>
      <c r="G293" s="30" t="str">
        <f aca="false">INDEX(Lists!$N$2:$N$8,MATCH(WEEKDAY(B293,2),Lists!$M$2:$M$8,0))</f>
        <v>الأحد</v>
      </c>
      <c r="H293" s="30" t="s">
        <v>50</v>
      </c>
      <c r="I293" s="19" t="str">
        <f aca="false">INDEX(Lists!$B$2:$B$6,MATCH(H293,Lists!$A$2:$A$6,0))</f>
        <v>المنطقة الغربية</v>
      </c>
      <c r="J293" s="30" t="s">
        <v>107</v>
      </c>
      <c r="K293" s="30" t="s">
        <v>184</v>
      </c>
      <c r="L293" s="31" t="n">
        <v>5909</v>
      </c>
      <c r="M293" s="19" t="n">
        <v>3</v>
      </c>
      <c r="N293" s="32" t="n">
        <v>0</v>
      </c>
      <c r="O293" s="30" t="s">
        <v>52</v>
      </c>
      <c r="P293" s="30" t="s">
        <v>47</v>
      </c>
      <c r="Q293" s="30" t="s">
        <v>96</v>
      </c>
      <c r="R293" s="25" t="n">
        <f aca="false">L293*M293*(1-N293)</f>
        <v>17727</v>
      </c>
    </row>
    <row r="294" customFormat="false" ht="15" hidden="false" customHeight="false" outlineLevel="0" collapsed="false">
      <c r="A294" s="30" t="s">
        <v>465</v>
      </c>
      <c r="B294" s="44" t="n">
        <v>45397</v>
      </c>
      <c r="C294" s="19" t="n">
        <f aca="false">YEAR(B294)</f>
        <v>2024</v>
      </c>
      <c r="D294" s="19" t="n">
        <f aca="false">MONTH(B294)</f>
        <v>4</v>
      </c>
      <c r="E294" s="30" t="str">
        <f aca="false">INDEX(Lists!$K$2:$K$13,MATCH(D294,Lists!$J$2:$J$13,0))</f>
        <v>أبريل</v>
      </c>
      <c r="F294" s="19" t="str">
        <f aca="false">"Q"&amp;ROUNDUP(D294/3,0)</f>
        <v>Q2</v>
      </c>
      <c r="G294" s="30" t="str">
        <f aca="false">INDEX(Lists!$N$2:$N$8,MATCH(WEEKDAY(B294,2),Lists!$M$2:$M$8,0))</f>
        <v>الإثنين</v>
      </c>
      <c r="H294" s="30" t="s">
        <v>46</v>
      </c>
      <c r="I294" s="19" t="str">
        <f aca="false">INDEX(Lists!$B$2:$B$6,MATCH(H294,Lists!$A$2:$A$6,0))</f>
        <v>المنطقة الوسطى</v>
      </c>
      <c r="J294" s="30" t="s">
        <v>113</v>
      </c>
      <c r="K294" s="30" t="s">
        <v>95</v>
      </c>
      <c r="L294" s="31" t="n">
        <v>79</v>
      </c>
      <c r="M294" s="19" t="n">
        <v>2</v>
      </c>
      <c r="N294" s="32" t="n">
        <v>0.1</v>
      </c>
      <c r="O294" s="30" t="s">
        <v>58</v>
      </c>
      <c r="P294" s="30" t="s">
        <v>47</v>
      </c>
      <c r="Q294" s="30" t="s">
        <v>81</v>
      </c>
      <c r="R294" s="25" t="n">
        <f aca="false">L294*M294*(1-N294)</f>
        <v>142.2</v>
      </c>
    </row>
    <row r="295" customFormat="false" ht="15" hidden="false" customHeight="false" outlineLevel="0" collapsed="false">
      <c r="A295" s="30" t="s">
        <v>466</v>
      </c>
      <c r="B295" s="44" t="n">
        <v>45397</v>
      </c>
      <c r="C295" s="19" t="n">
        <f aca="false">YEAR(B295)</f>
        <v>2024</v>
      </c>
      <c r="D295" s="19" t="n">
        <f aca="false">MONTH(B295)</f>
        <v>4</v>
      </c>
      <c r="E295" s="30" t="str">
        <f aca="false">INDEX(Lists!$K$2:$K$13,MATCH(D295,Lists!$J$2:$J$13,0))</f>
        <v>أبريل</v>
      </c>
      <c r="F295" s="19" t="str">
        <f aca="false">"Q"&amp;ROUNDUP(D295/3,0)</f>
        <v>Q2</v>
      </c>
      <c r="G295" s="30" t="str">
        <f aca="false">INDEX(Lists!$N$2:$N$8,MATCH(WEEKDAY(B295,2),Lists!$M$2:$M$8,0))</f>
        <v>الإثنين</v>
      </c>
      <c r="H295" s="30" t="s">
        <v>50</v>
      </c>
      <c r="I295" s="19" t="str">
        <f aca="false">INDEX(Lists!$B$2:$B$6,MATCH(H295,Lists!$A$2:$A$6,0))</f>
        <v>المنطقة الغربية</v>
      </c>
      <c r="J295" s="30" t="s">
        <v>109</v>
      </c>
      <c r="K295" s="30" t="s">
        <v>175</v>
      </c>
      <c r="L295" s="31" t="n">
        <v>139</v>
      </c>
      <c r="M295" s="19" t="n">
        <v>1</v>
      </c>
      <c r="N295" s="32" t="n">
        <v>0</v>
      </c>
      <c r="O295" s="30" t="s">
        <v>55</v>
      </c>
      <c r="P295" s="30" t="s">
        <v>47</v>
      </c>
      <c r="Q295" s="30" t="s">
        <v>84</v>
      </c>
      <c r="R295" s="25" t="n">
        <f aca="false">L295*M295*(1-N295)</f>
        <v>139</v>
      </c>
    </row>
    <row r="296" customFormat="false" ht="15" hidden="false" customHeight="false" outlineLevel="0" collapsed="false">
      <c r="A296" s="30" t="s">
        <v>467</v>
      </c>
      <c r="B296" s="44" t="n">
        <v>45398</v>
      </c>
      <c r="C296" s="19" t="n">
        <f aca="false">YEAR(B296)</f>
        <v>2024</v>
      </c>
      <c r="D296" s="19" t="n">
        <f aca="false">MONTH(B296)</f>
        <v>4</v>
      </c>
      <c r="E296" s="30" t="str">
        <f aca="false">INDEX(Lists!$K$2:$K$13,MATCH(D296,Lists!$J$2:$J$13,0))</f>
        <v>أبريل</v>
      </c>
      <c r="F296" s="19" t="str">
        <f aca="false">"Q"&amp;ROUNDUP(D296/3,0)</f>
        <v>Q2</v>
      </c>
      <c r="G296" s="30" t="str">
        <f aca="false">INDEX(Lists!$N$2:$N$8,MATCH(WEEKDAY(B296,2),Lists!$M$2:$M$8,0))</f>
        <v>الثلاثاء</v>
      </c>
      <c r="H296" s="30" t="s">
        <v>54</v>
      </c>
      <c r="I296" s="19" t="str">
        <f aca="false">INDEX(Lists!$B$2:$B$6,MATCH(H296,Lists!$A$2:$A$6,0))</f>
        <v>المنطقة الشرقية</v>
      </c>
      <c r="J296" s="30" t="s">
        <v>109</v>
      </c>
      <c r="K296" s="30" t="s">
        <v>175</v>
      </c>
      <c r="L296" s="31" t="n">
        <v>129</v>
      </c>
      <c r="M296" s="19" t="n">
        <v>8</v>
      </c>
      <c r="N296" s="32" t="n">
        <v>0.15</v>
      </c>
      <c r="O296" s="30" t="s">
        <v>55</v>
      </c>
      <c r="P296" s="30" t="s">
        <v>51</v>
      </c>
      <c r="Q296" s="30" t="s">
        <v>94</v>
      </c>
      <c r="R296" s="25" t="n">
        <f aca="false">L296*M296*(1-N296)</f>
        <v>877.2</v>
      </c>
    </row>
    <row r="297" customFormat="false" ht="15" hidden="false" customHeight="false" outlineLevel="0" collapsed="false">
      <c r="A297" s="30" t="s">
        <v>468</v>
      </c>
      <c r="B297" s="44" t="n">
        <v>45398</v>
      </c>
      <c r="C297" s="19" t="n">
        <f aca="false">YEAR(B297)</f>
        <v>2024</v>
      </c>
      <c r="D297" s="19" t="n">
        <f aca="false">MONTH(B297)</f>
        <v>4</v>
      </c>
      <c r="E297" s="30" t="str">
        <f aca="false">INDEX(Lists!$K$2:$K$13,MATCH(D297,Lists!$J$2:$J$13,0))</f>
        <v>أبريل</v>
      </c>
      <c r="F297" s="19" t="str">
        <f aca="false">"Q"&amp;ROUNDUP(D297/3,0)</f>
        <v>Q2</v>
      </c>
      <c r="G297" s="30" t="str">
        <f aca="false">INDEX(Lists!$N$2:$N$8,MATCH(WEEKDAY(B297,2),Lists!$M$2:$M$8,0))</f>
        <v>الثلاثاء</v>
      </c>
      <c r="H297" s="30" t="s">
        <v>50</v>
      </c>
      <c r="I297" s="19" t="str">
        <f aca="false">INDEX(Lists!$B$2:$B$6,MATCH(H297,Lists!$A$2:$A$6,0))</f>
        <v>المنطقة الغربية</v>
      </c>
      <c r="J297" s="30" t="s">
        <v>109</v>
      </c>
      <c r="K297" s="30" t="s">
        <v>192</v>
      </c>
      <c r="L297" s="31" t="n">
        <v>329</v>
      </c>
      <c r="M297" s="19" t="n">
        <v>2</v>
      </c>
      <c r="N297" s="32" t="n">
        <v>0.1</v>
      </c>
      <c r="O297" s="30" t="s">
        <v>48</v>
      </c>
      <c r="P297" s="30" t="s">
        <v>51</v>
      </c>
      <c r="Q297" s="30" t="s">
        <v>86</v>
      </c>
      <c r="R297" s="25" t="n">
        <f aca="false">L297*M297*(1-N297)</f>
        <v>592.2</v>
      </c>
    </row>
    <row r="298" customFormat="false" ht="15" hidden="false" customHeight="false" outlineLevel="0" collapsed="false">
      <c r="A298" s="30" t="s">
        <v>469</v>
      </c>
      <c r="B298" s="44" t="n">
        <v>45399</v>
      </c>
      <c r="C298" s="19" t="n">
        <f aca="false">YEAR(B298)</f>
        <v>2024</v>
      </c>
      <c r="D298" s="19" t="n">
        <f aca="false">MONTH(B298)</f>
        <v>4</v>
      </c>
      <c r="E298" s="30" t="str">
        <f aca="false">INDEX(Lists!$K$2:$K$13,MATCH(D298,Lists!$J$2:$J$13,0))</f>
        <v>أبريل</v>
      </c>
      <c r="F298" s="19" t="str">
        <f aca="false">"Q"&amp;ROUNDUP(D298/3,0)</f>
        <v>Q2</v>
      </c>
      <c r="G298" s="30" t="str">
        <f aca="false">INDEX(Lists!$N$2:$N$8,MATCH(WEEKDAY(B298,2),Lists!$M$2:$M$8,0))</f>
        <v>الأربعاء</v>
      </c>
      <c r="H298" s="30" t="s">
        <v>50</v>
      </c>
      <c r="I298" s="19" t="str">
        <f aca="false">INDEX(Lists!$B$2:$B$6,MATCH(H298,Lists!$A$2:$A$6,0))</f>
        <v>المنطقة الغربية</v>
      </c>
      <c r="J298" s="30" t="s">
        <v>105</v>
      </c>
      <c r="K298" s="30" t="s">
        <v>179</v>
      </c>
      <c r="L298" s="31" t="n">
        <v>2869</v>
      </c>
      <c r="M298" s="19" t="n">
        <v>1</v>
      </c>
      <c r="N298" s="32" t="n">
        <v>0</v>
      </c>
      <c r="O298" s="30" t="s">
        <v>48</v>
      </c>
      <c r="P298" s="30" t="s">
        <v>47</v>
      </c>
      <c r="Q298" s="30" t="s">
        <v>78</v>
      </c>
      <c r="R298" s="25" t="n">
        <f aca="false">L298*M298*(1-N298)</f>
        <v>2869</v>
      </c>
    </row>
    <row r="299" customFormat="false" ht="15" hidden="false" customHeight="false" outlineLevel="0" collapsed="false">
      <c r="A299" s="30" t="s">
        <v>470</v>
      </c>
      <c r="B299" s="44" t="n">
        <v>45399</v>
      </c>
      <c r="C299" s="19" t="n">
        <f aca="false">YEAR(B299)</f>
        <v>2024</v>
      </c>
      <c r="D299" s="19" t="n">
        <f aca="false">MONTH(B299)</f>
        <v>4</v>
      </c>
      <c r="E299" s="30" t="str">
        <f aca="false">INDEX(Lists!$K$2:$K$13,MATCH(D299,Lists!$J$2:$J$13,0))</f>
        <v>أبريل</v>
      </c>
      <c r="F299" s="19" t="str">
        <f aca="false">"Q"&amp;ROUNDUP(D299/3,0)</f>
        <v>Q2</v>
      </c>
      <c r="G299" s="30" t="str">
        <f aca="false">INDEX(Lists!$N$2:$N$8,MATCH(WEEKDAY(B299,2),Lists!$M$2:$M$8,0))</f>
        <v>الأربعاء</v>
      </c>
      <c r="H299" s="30" t="s">
        <v>46</v>
      </c>
      <c r="I299" s="19" t="str">
        <f aca="false">INDEX(Lists!$B$2:$B$6,MATCH(H299,Lists!$A$2:$A$6,0))</f>
        <v>المنطقة الوسطى</v>
      </c>
      <c r="J299" s="30" t="s">
        <v>111</v>
      </c>
      <c r="K299" s="30" t="s">
        <v>108</v>
      </c>
      <c r="L299" s="31" t="n">
        <v>549</v>
      </c>
      <c r="M299" s="19" t="n">
        <v>2</v>
      </c>
      <c r="N299" s="32" t="n">
        <v>0.15</v>
      </c>
      <c r="O299" s="30" t="s">
        <v>55</v>
      </c>
      <c r="P299" s="30" t="s">
        <v>47</v>
      </c>
      <c r="Q299" s="30" t="s">
        <v>84</v>
      </c>
      <c r="R299" s="25" t="n">
        <f aca="false">L299*M299*(1-N299)</f>
        <v>933.3</v>
      </c>
    </row>
    <row r="300" customFormat="false" ht="15" hidden="false" customHeight="false" outlineLevel="0" collapsed="false">
      <c r="A300" s="30" t="s">
        <v>471</v>
      </c>
      <c r="B300" s="44" t="n">
        <v>45399</v>
      </c>
      <c r="C300" s="19" t="n">
        <f aca="false">YEAR(B300)</f>
        <v>2024</v>
      </c>
      <c r="D300" s="19" t="n">
        <f aca="false">MONTH(B300)</f>
        <v>4</v>
      </c>
      <c r="E300" s="30" t="str">
        <f aca="false">INDEX(Lists!$K$2:$K$13,MATCH(D300,Lists!$J$2:$J$13,0))</f>
        <v>أبريل</v>
      </c>
      <c r="F300" s="19" t="str">
        <f aca="false">"Q"&amp;ROUNDUP(D300/3,0)</f>
        <v>Q2</v>
      </c>
      <c r="G300" s="30" t="str">
        <f aca="false">INDEX(Lists!$N$2:$N$8,MATCH(WEEKDAY(B300,2),Lists!$M$2:$M$8,0))</f>
        <v>الأربعاء</v>
      </c>
      <c r="H300" s="30" t="s">
        <v>50</v>
      </c>
      <c r="I300" s="19" t="str">
        <f aca="false">INDEX(Lists!$B$2:$B$6,MATCH(H300,Lists!$A$2:$A$6,0))</f>
        <v>المنطقة الغربية</v>
      </c>
      <c r="J300" s="30" t="s">
        <v>107</v>
      </c>
      <c r="K300" s="30" t="s">
        <v>184</v>
      </c>
      <c r="L300" s="31" t="n">
        <v>5669</v>
      </c>
      <c r="M300" s="19" t="n">
        <v>1</v>
      </c>
      <c r="N300" s="32" t="n">
        <v>0</v>
      </c>
      <c r="O300" s="30" t="s">
        <v>52</v>
      </c>
      <c r="P300" s="30" t="s">
        <v>47</v>
      </c>
      <c r="Q300" s="30" t="s">
        <v>84</v>
      </c>
      <c r="R300" s="25" t="n">
        <f aca="false">L300*M300*(1-N300)</f>
        <v>5669</v>
      </c>
    </row>
    <row r="301" customFormat="false" ht="15" hidden="false" customHeight="false" outlineLevel="0" collapsed="false">
      <c r="A301" s="30" t="s">
        <v>472</v>
      </c>
      <c r="B301" s="44" t="n">
        <v>45399</v>
      </c>
      <c r="C301" s="19" t="n">
        <f aca="false">YEAR(B301)</f>
        <v>2024</v>
      </c>
      <c r="D301" s="19" t="n">
        <f aca="false">MONTH(B301)</f>
        <v>4</v>
      </c>
      <c r="E301" s="30" t="str">
        <f aca="false">INDEX(Lists!$K$2:$K$13,MATCH(D301,Lists!$J$2:$J$13,0))</f>
        <v>أبريل</v>
      </c>
      <c r="F301" s="19" t="str">
        <f aca="false">"Q"&amp;ROUNDUP(D301/3,0)</f>
        <v>Q2</v>
      </c>
      <c r="G301" s="30" t="str">
        <f aca="false">INDEX(Lists!$N$2:$N$8,MATCH(WEEKDAY(B301,2),Lists!$M$2:$M$8,0))</f>
        <v>الأربعاء</v>
      </c>
      <c r="H301" s="30" t="s">
        <v>54</v>
      </c>
      <c r="I301" s="19" t="str">
        <f aca="false">INDEX(Lists!$B$2:$B$6,MATCH(H301,Lists!$A$2:$A$6,0))</f>
        <v>المنطقة الشرقية</v>
      </c>
      <c r="J301" s="30" t="s">
        <v>113</v>
      </c>
      <c r="K301" s="30" t="s">
        <v>121</v>
      </c>
      <c r="L301" s="31" t="n">
        <v>899</v>
      </c>
      <c r="M301" s="19" t="n">
        <v>1</v>
      </c>
      <c r="N301" s="32" t="n">
        <v>0</v>
      </c>
      <c r="O301" s="30" t="s">
        <v>48</v>
      </c>
      <c r="P301" s="30" t="s">
        <v>47</v>
      </c>
      <c r="Q301" s="30" t="s">
        <v>78</v>
      </c>
      <c r="R301" s="25" t="n">
        <f aca="false">L301*M301*(1-N301)</f>
        <v>899</v>
      </c>
    </row>
    <row r="302" customFormat="false" ht="15" hidden="false" customHeight="false" outlineLevel="0" collapsed="false">
      <c r="A302" s="30" t="s">
        <v>473</v>
      </c>
      <c r="B302" s="44" t="n">
        <v>45399</v>
      </c>
      <c r="C302" s="19" t="n">
        <f aca="false">YEAR(B302)</f>
        <v>2024</v>
      </c>
      <c r="D302" s="19" t="n">
        <f aca="false">MONTH(B302)</f>
        <v>4</v>
      </c>
      <c r="E302" s="30" t="str">
        <f aca="false">INDEX(Lists!$K$2:$K$13,MATCH(D302,Lists!$J$2:$J$13,0))</f>
        <v>أبريل</v>
      </c>
      <c r="F302" s="19" t="str">
        <f aca="false">"Q"&amp;ROUNDUP(D302/3,0)</f>
        <v>Q2</v>
      </c>
      <c r="G302" s="30" t="str">
        <f aca="false">INDEX(Lists!$N$2:$N$8,MATCH(WEEKDAY(B302,2),Lists!$M$2:$M$8,0))</f>
        <v>الأربعاء</v>
      </c>
      <c r="H302" s="30" t="s">
        <v>57</v>
      </c>
      <c r="I302" s="19" t="str">
        <f aca="false">INDEX(Lists!$B$2:$B$6,MATCH(H302,Lists!$A$2:$A$6,0))</f>
        <v>المنطقة الغربية</v>
      </c>
      <c r="J302" s="30" t="s">
        <v>107</v>
      </c>
      <c r="K302" s="30" t="s">
        <v>272</v>
      </c>
      <c r="L302" s="31" t="n">
        <v>4389</v>
      </c>
      <c r="M302" s="19" t="n">
        <v>1</v>
      </c>
      <c r="N302" s="32" t="n">
        <v>0</v>
      </c>
      <c r="O302" s="30" t="s">
        <v>52</v>
      </c>
      <c r="P302" s="30" t="s">
        <v>47</v>
      </c>
      <c r="Q302" s="30" t="s">
        <v>96</v>
      </c>
      <c r="R302" s="25" t="n">
        <f aca="false">L302*M302*(1-N302)</f>
        <v>4389</v>
      </c>
    </row>
    <row r="303" customFormat="false" ht="15" hidden="false" customHeight="false" outlineLevel="0" collapsed="false">
      <c r="A303" s="30" t="s">
        <v>474</v>
      </c>
      <c r="B303" s="44" t="n">
        <v>45400</v>
      </c>
      <c r="C303" s="19" t="n">
        <f aca="false">YEAR(B303)</f>
        <v>2024</v>
      </c>
      <c r="D303" s="19" t="n">
        <f aca="false">MONTH(B303)</f>
        <v>4</v>
      </c>
      <c r="E303" s="30" t="str">
        <f aca="false">INDEX(Lists!$K$2:$K$13,MATCH(D303,Lists!$J$2:$J$13,0))</f>
        <v>أبريل</v>
      </c>
      <c r="F303" s="19" t="str">
        <f aca="false">"Q"&amp;ROUNDUP(D303/3,0)</f>
        <v>Q2</v>
      </c>
      <c r="G303" s="30" t="str">
        <f aca="false">INDEX(Lists!$N$2:$N$8,MATCH(WEEKDAY(B303,2),Lists!$M$2:$M$8,0))</f>
        <v>الخميس</v>
      </c>
      <c r="H303" s="30" t="s">
        <v>46</v>
      </c>
      <c r="I303" s="19" t="str">
        <f aca="false">INDEX(Lists!$B$2:$B$6,MATCH(H303,Lists!$A$2:$A$6,0))</f>
        <v>المنطقة الوسطى</v>
      </c>
      <c r="J303" s="30" t="s">
        <v>113</v>
      </c>
      <c r="K303" s="30" t="s">
        <v>97</v>
      </c>
      <c r="L303" s="31" t="n">
        <v>309</v>
      </c>
      <c r="M303" s="19" t="n">
        <v>1</v>
      </c>
      <c r="N303" s="32" t="n">
        <v>0</v>
      </c>
      <c r="O303" s="30" t="s">
        <v>48</v>
      </c>
      <c r="P303" s="30" t="s">
        <v>47</v>
      </c>
      <c r="Q303" s="30" t="s">
        <v>78</v>
      </c>
      <c r="R303" s="25" t="n">
        <f aca="false">L303*M303*(1-N303)</f>
        <v>309</v>
      </c>
    </row>
    <row r="304" customFormat="false" ht="15" hidden="false" customHeight="false" outlineLevel="0" collapsed="false">
      <c r="A304" s="30" t="s">
        <v>475</v>
      </c>
      <c r="B304" s="44" t="n">
        <v>45401</v>
      </c>
      <c r="C304" s="19" t="n">
        <f aca="false">YEAR(B304)</f>
        <v>2024</v>
      </c>
      <c r="D304" s="19" t="n">
        <f aca="false">MONTH(B304)</f>
        <v>4</v>
      </c>
      <c r="E304" s="30" t="str">
        <f aca="false">INDEX(Lists!$K$2:$K$13,MATCH(D304,Lists!$J$2:$J$13,0))</f>
        <v>أبريل</v>
      </c>
      <c r="F304" s="19" t="str">
        <f aca="false">"Q"&amp;ROUNDUP(D304/3,0)</f>
        <v>Q2</v>
      </c>
      <c r="G304" s="30" t="str">
        <f aca="false">INDEX(Lists!$N$2:$N$8,MATCH(WEEKDAY(B304,2),Lists!$M$2:$M$8,0))</f>
        <v>الجمعة</v>
      </c>
      <c r="H304" s="30" t="s">
        <v>46</v>
      </c>
      <c r="I304" s="19" t="str">
        <f aca="false">INDEX(Lists!$B$2:$B$6,MATCH(H304,Lists!$A$2:$A$6,0))</f>
        <v>المنطقة الوسطى</v>
      </c>
      <c r="J304" s="30" t="s">
        <v>105</v>
      </c>
      <c r="K304" s="30" t="s">
        <v>85</v>
      </c>
      <c r="L304" s="31" t="n">
        <v>1809</v>
      </c>
      <c r="M304" s="19" t="n">
        <v>1</v>
      </c>
      <c r="N304" s="32" t="n">
        <v>0.15</v>
      </c>
      <c r="O304" s="30" t="s">
        <v>48</v>
      </c>
      <c r="P304" s="30" t="s">
        <v>47</v>
      </c>
      <c r="Q304" s="30" t="s">
        <v>89</v>
      </c>
      <c r="R304" s="25" t="n">
        <f aca="false">L304*M304*(1-N304)</f>
        <v>1537.65</v>
      </c>
    </row>
    <row r="305" customFormat="false" ht="15" hidden="false" customHeight="false" outlineLevel="0" collapsed="false">
      <c r="A305" s="30" t="s">
        <v>476</v>
      </c>
      <c r="B305" s="44" t="n">
        <v>45402</v>
      </c>
      <c r="C305" s="19" t="n">
        <f aca="false">YEAR(B305)</f>
        <v>2024</v>
      </c>
      <c r="D305" s="19" t="n">
        <f aca="false">MONTH(B305)</f>
        <v>4</v>
      </c>
      <c r="E305" s="30" t="str">
        <f aca="false">INDEX(Lists!$K$2:$K$13,MATCH(D305,Lists!$J$2:$J$13,0))</f>
        <v>أبريل</v>
      </c>
      <c r="F305" s="19" t="str">
        <f aca="false">"Q"&amp;ROUNDUP(D305/3,0)</f>
        <v>Q2</v>
      </c>
      <c r="G305" s="30" t="str">
        <f aca="false">INDEX(Lists!$N$2:$N$8,MATCH(WEEKDAY(B305,2),Lists!$M$2:$M$8,0))</f>
        <v>السبت</v>
      </c>
      <c r="H305" s="30" t="s">
        <v>57</v>
      </c>
      <c r="I305" s="19" t="str">
        <f aca="false">INDEX(Lists!$B$2:$B$6,MATCH(H305,Lists!$A$2:$A$6,0))</f>
        <v>المنطقة الغربية</v>
      </c>
      <c r="J305" s="30" t="s">
        <v>105</v>
      </c>
      <c r="K305" s="30" t="s">
        <v>90</v>
      </c>
      <c r="L305" s="31" t="n">
        <v>3359</v>
      </c>
      <c r="M305" s="19" t="n">
        <v>1</v>
      </c>
      <c r="N305" s="32" t="n">
        <v>0.1</v>
      </c>
      <c r="O305" s="30" t="s">
        <v>48</v>
      </c>
      <c r="P305" s="30" t="s">
        <v>47</v>
      </c>
      <c r="Q305" s="30" t="s">
        <v>86</v>
      </c>
      <c r="R305" s="25" t="n">
        <f aca="false">L305*M305*(1-N305)</f>
        <v>3023.1</v>
      </c>
    </row>
    <row r="306" customFormat="false" ht="15" hidden="false" customHeight="false" outlineLevel="0" collapsed="false">
      <c r="A306" s="30" t="s">
        <v>477</v>
      </c>
      <c r="B306" s="44" t="n">
        <v>45404</v>
      </c>
      <c r="C306" s="19" t="n">
        <f aca="false">YEAR(B306)</f>
        <v>2024</v>
      </c>
      <c r="D306" s="19" t="n">
        <f aca="false">MONTH(B306)</f>
        <v>4</v>
      </c>
      <c r="E306" s="30" t="str">
        <f aca="false">INDEX(Lists!$K$2:$K$13,MATCH(D306,Lists!$J$2:$J$13,0))</f>
        <v>أبريل</v>
      </c>
      <c r="F306" s="19" t="str">
        <f aca="false">"Q"&amp;ROUNDUP(D306/3,0)</f>
        <v>Q2</v>
      </c>
      <c r="G306" s="30" t="str">
        <f aca="false">INDEX(Lists!$N$2:$N$8,MATCH(WEEKDAY(B306,2),Lists!$M$2:$M$8,0))</f>
        <v>الإثنين</v>
      </c>
      <c r="H306" s="30" t="s">
        <v>46</v>
      </c>
      <c r="I306" s="19" t="str">
        <f aca="false">INDEX(Lists!$B$2:$B$6,MATCH(H306,Lists!$A$2:$A$6,0))</f>
        <v>المنطقة الوسطى</v>
      </c>
      <c r="J306" s="30" t="s">
        <v>111</v>
      </c>
      <c r="K306" s="30" t="s">
        <v>120</v>
      </c>
      <c r="L306" s="31" t="n">
        <v>299</v>
      </c>
      <c r="M306" s="19" t="n">
        <v>1</v>
      </c>
      <c r="N306" s="32" t="n">
        <v>0.15</v>
      </c>
      <c r="O306" s="30" t="s">
        <v>55</v>
      </c>
      <c r="P306" s="30" t="s">
        <v>47</v>
      </c>
      <c r="Q306" s="30" t="s">
        <v>78</v>
      </c>
      <c r="R306" s="25" t="n">
        <f aca="false">L306*M306*(1-N306)</f>
        <v>254.15</v>
      </c>
    </row>
    <row r="307" customFormat="false" ht="15" hidden="false" customHeight="false" outlineLevel="0" collapsed="false">
      <c r="A307" s="30" t="s">
        <v>478</v>
      </c>
      <c r="B307" s="44" t="n">
        <v>45404</v>
      </c>
      <c r="C307" s="19" t="n">
        <f aca="false">YEAR(B307)</f>
        <v>2024</v>
      </c>
      <c r="D307" s="19" t="n">
        <f aca="false">MONTH(B307)</f>
        <v>4</v>
      </c>
      <c r="E307" s="30" t="str">
        <f aca="false">INDEX(Lists!$K$2:$K$13,MATCH(D307,Lists!$J$2:$J$13,0))</f>
        <v>أبريل</v>
      </c>
      <c r="F307" s="19" t="str">
        <f aca="false">"Q"&amp;ROUNDUP(D307/3,0)</f>
        <v>Q2</v>
      </c>
      <c r="G307" s="30" t="str">
        <f aca="false">INDEX(Lists!$N$2:$N$8,MATCH(WEEKDAY(B307,2),Lists!$M$2:$M$8,0))</f>
        <v>الإثنين</v>
      </c>
      <c r="H307" s="30" t="s">
        <v>60</v>
      </c>
      <c r="I307" s="19" t="str">
        <f aca="false">INDEX(Lists!$B$2:$B$6,MATCH(H307,Lists!$A$2:$A$6,0))</f>
        <v>المنطقة الغربية</v>
      </c>
      <c r="J307" s="30" t="s">
        <v>105</v>
      </c>
      <c r="K307" s="30" t="s">
        <v>85</v>
      </c>
      <c r="L307" s="31" t="n">
        <v>3449</v>
      </c>
      <c r="M307" s="19" t="n">
        <v>1</v>
      </c>
      <c r="N307" s="32" t="n">
        <v>0.2</v>
      </c>
      <c r="O307" s="30" t="s">
        <v>48</v>
      </c>
      <c r="P307" s="30" t="s">
        <v>47</v>
      </c>
      <c r="Q307" s="30" t="s">
        <v>94</v>
      </c>
      <c r="R307" s="25" t="n">
        <f aca="false">L307*M307*(1-N307)</f>
        <v>2759.2</v>
      </c>
    </row>
    <row r="308" customFormat="false" ht="15" hidden="false" customHeight="false" outlineLevel="0" collapsed="false">
      <c r="A308" s="30" t="s">
        <v>479</v>
      </c>
      <c r="B308" s="44" t="n">
        <v>45405</v>
      </c>
      <c r="C308" s="19" t="n">
        <f aca="false">YEAR(B308)</f>
        <v>2024</v>
      </c>
      <c r="D308" s="19" t="n">
        <f aca="false">MONTH(B308)</f>
        <v>4</v>
      </c>
      <c r="E308" s="30" t="str">
        <f aca="false">INDEX(Lists!$K$2:$K$13,MATCH(D308,Lists!$J$2:$J$13,0))</f>
        <v>أبريل</v>
      </c>
      <c r="F308" s="19" t="str">
        <f aca="false">"Q"&amp;ROUNDUP(D308/3,0)</f>
        <v>Q2</v>
      </c>
      <c r="G308" s="30" t="str">
        <f aca="false">INDEX(Lists!$N$2:$N$8,MATCH(WEEKDAY(B308,2),Lists!$M$2:$M$8,0))</f>
        <v>الثلاثاء</v>
      </c>
      <c r="H308" s="30" t="s">
        <v>46</v>
      </c>
      <c r="I308" s="19" t="str">
        <f aca="false">INDEX(Lists!$B$2:$B$6,MATCH(H308,Lists!$A$2:$A$6,0))</f>
        <v>المنطقة الوسطى</v>
      </c>
      <c r="J308" s="30" t="s">
        <v>109</v>
      </c>
      <c r="K308" s="30" t="s">
        <v>93</v>
      </c>
      <c r="L308" s="31" t="n">
        <v>189</v>
      </c>
      <c r="M308" s="19" t="n">
        <v>1</v>
      </c>
      <c r="N308" s="32" t="n">
        <v>0.15</v>
      </c>
      <c r="O308" s="30" t="s">
        <v>48</v>
      </c>
      <c r="P308" s="30" t="s">
        <v>47</v>
      </c>
      <c r="Q308" s="30" t="s">
        <v>84</v>
      </c>
      <c r="R308" s="25" t="n">
        <f aca="false">L308*M308*(1-N308)</f>
        <v>160.65</v>
      </c>
    </row>
    <row r="309" customFormat="false" ht="15" hidden="false" customHeight="false" outlineLevel="0" collapsed="false">
      <c r="A309" s="30" t="s">
        <v>480</v>
      </c>
      <c r="B309" s="44" t="n">
        <v>45405</v>
      </c>
      <c r="C309" s="19" t="n">
        <f aca="false">YEAR(B309)</f>
        <v>2024</v>
      </c>
      <c r="D309" s="19" t="n">
        <f aca="false">MONTH(B309)</f>
        <v>4</v>
      </c>
      <c r="E309" s="30" t="str">
        <f aca="false">INDEX(Lists!$K$2:$K$13,MATCH(D309,Lists!$J$2:$J$13,0))</f>
        <v>أبريل</v>
      </c>
      <c r="F309" s="19" t="str">
        <f aca="false">"Q"&amp;ROUNDUP(D309/3,0)</f>
        <v>Q2</v>
      </c>
      <c r="G309" s="30" t="str">
        <f aca="false">INDEX(Lists!$N$2:$N$8,MATCH(WEEKDAY(B309,2),Lists!$M$2:$M$8,0))</f>
        <v>الثلاثاء</v>
      </c>
      <c r="H309" s="30" t="s">
        <v>50</v>
      </c>
      <c r="I309" s="19" t="str">
        <f aca="false">INDEX(Lists!$B$2:$B$6,MATCH(H309,Lists!$A$2:$A$6,0))</f>
        <v>المنطقة الغربية</v>
      </c>
      <c r="J309" s="30" t="s">
        <v>111</v>
      </c>
      <c r="K309" s="30" t="s">
        <v>118</v>
      </c>
      <c r="L309" s="31" t="n">
        <v>359</v>
      </c>
      <c r="M309" s="19" t="n">
        <v>1</v>
      </c>
      <c r="N309" s="32" t="n">
        <v>0</v>
      </c>
      <c r="O309" s="30" t="s">
        <v>48</v>
      </c>
      <c r="P309" s="30" t="s">
        <v>47</v>
      </c>
      <c r="Q309" s="30" t="s">
        <v>81</v>
      </c>
      <c r="R309" s="25" t="n">
        <f aca="false">L309*M309*(1-N309)</f>
        <v>359</v>
      </c>
    </row>
    <row r="310" customFormat="false" ht="15" hidden="false" customHeight="false" outlineLevel="0" collapsed="false">
      <c r="A310" s="30" t="s">
        <v>481</v>
      </c>
      <c r="B310" s="44" t="n">
        <v>45406</v>
      </c>
      <c r="C310" s="19" t="n">
        <f aca="false">YEAR(B310)</f>
        <v>2024</v>
      </c>
      <c r="D310" s="19" t="n">
        <f aca="false">MONTH(B310)</f>
        <v>4</v>
      </c>
      <c r="E310" s="30" t="str">
        <f aca="false">INDEX(Lists!$K$2:$K$13,MATCH(D310,Lists!$J$2:$J$13,0))</f>
        <v>أبريل</v>
      </c>
      <c r="F310" s="19" t="str">
        <f aca="false">"Q"&amp;ROUNDUP(D310/3,0)</f>
        <v>Q2</v>
      </c>
      <c r="G310" s="30" t="str">
        <f aca="false">INDEX(Lists!$N$2:$N$8,MATCH(WEEKDAY(B310,2),Lists!$M$2:$M$8,0))</f>
        <v>الأربعاء</v>
      </c>
      <c r="H310" s="30" t="s">
        <v>50</v>
      </c>
      <c r="I310" s="19" t="str">
        <f aca="false">INDEX(Lists!$B$2:$B$6,MATCH(H310,Lists!$A$2:$A$6,0))</f>
        <v>المنطقة الغربية</v>
      </c>
      <c r="J310" s="30" t="s">
        <v>107</v>
      </c>
      <c r="K310" s="30" t="s">
        <v>184</v>
      </c>
      <c r="L310" s="31" t="n">
        <v>2289</v>
      </c>
      <c r="M310" s="19" t="n">
        <v>1</v>
      </c>
      <c r="N310" s="32" t="n">
        <v>0.1</v>
      </c>
      <c r="O310" s="30" t="s">
        <v>52</v>
      </c>
      <c r="P310" s="30" t="s">
        <v>47</v>
      </c>
      <c r="Q310" s="30" t="s">
        <v>81</v>
      </c>
      <c r="R310" s="25" t="n">
        <f aca="false">L310*M310*(1-N310)</f>
        <v>2060.1</v>
      </c>
    </row>
    <row r="311" customFormat="false" ht="15" hidden="false" customHeight="false" outlineLevel="0" collapsed="false">
      <c r="A311" s="30" t="s">
        <v>482</v>
      </c>
      <c r="B311" s="44" t="n">
        <v>45406</v>
      </c>
      <c r="C311" s="19" t="n">
        <f aca="false">YEAR(B311)</f>
        <v>2024</v>
      </c>
      <c r="D311" s="19" t="n">
        <f aca="false">MONTH(B311)</f>
        <v>4</v>
      </c>
      <c r="E311" s="30" t="str">
        <f aca="false">INDEX(Lists!$K$2:$K$13,MATCH(D311,Lists!$J$2:$J$13,0))</f>
        <v>أبريل</v>
      </c>
      <c r="F311" s="19" t="str">
        <f aca="false">"Q"&amp;ROUNDUP(D311/3,0)</f>
        <v>Q2</v>
      </c>
      <c r="G311" s="30" t="str">
        <f aca="false">INDEX(Lists!$N$2:$N$8,MATCH(WEEKDAY(B311,2),Lists!$M$2:$M$8,0))</f>
        <v>الأربعاء</v>
      </c>
      <c r="H311" s="30" t="s">
        <v>60</v>
      </c>
      <c r="I311" s="19" t="str">
        <f aca="false">INDEX(Lists!$B$2:$B$6,MATCH(H311,Lists!$A$2:$A$6,0))</f>
        <v>المنطقة الغربية</v>
      </c>
      <c r="J311" s="30" t="s">
        <v>107</v>
      </c>
      <c r="K311" s="30" t="s">
        <v>115</v>
      </c>
      <c r="L311" s="31" t="n">
        <v>2359</v>
      </c>
      <c r="M311" s="19" t="n">
        <v>1</v>
      </c>
      <c r="N311" s="32" t="n">
        <v>0</v>
      </c>
      <c r="O311" s="30" t="s">
        <v>48</v>
      </c>
      <c r="P311" s="30" t="s">
        <v>47</v>
      </c>
      <c r="Q311" s="30" t="s">
        <v>99</v>
      </c>
      <c r="R311" s="25" t="n">
        <f aca="false">L311*M311*(1-N311)</f>
        <v>2359</v>
      </c>
    </row>
    <row r="312" customFormat="false" ht="15" hidden="false" customHeight="false" outlineLevel="0" collapsed="false">
      <c r="A312" s="30" t="s">
        <v>483</v>
      </c>
      <c r="B312" s="44" t="n">
        <v>45406</v>
      </c>
      <c r="C312" s="19" t="n">
        <f aca="false">YEAR(B312)</f>
        <v>2024</v>
      </c>
      <c r="D312" s="19" t="n">
        <f aca="false">MONTH(B312)</f>
        <v>4</v>
      </c>
      <c r="E312" s="30" t="str">
        <f aca="false">INDEX(Lists!$K$2:$K$13,MATCH(D312,Lists!$J$2:$J$13,0))</f>
        <v>أبريل</v>
      </c>
      <c r="F312" s="19" t="str">
        <f aca="false">"Q"&amp;ROUNDUP(D312/3,0)</f>
        <v>Q2</v>
      </c>
      <c r="G312" s="30" t="str">
        <f aca="false">INDEX(Lists!$N$2:$N$8,MATCH(WEEKDAY(B312,2),Lists!$M$2:$M$8,0))</f>
        <v>الأربعاء</v>
      </c>
      <c r="H312" s="30" t="s">
        <v>54</v>
      </c>
      <c r="I312" s="19" t="str">
        <f aca="false">INDEX(Lists!$B$2:$B$6,MATCH(H312,Lists!$A$2:$A$6,0))</f>
        <v>المنطقة الشرقية</v>
      </c>
      <c r="J312" s="30" t="s">
        <v>105</v>
      </c>
      <c r="K312" s="30" t="s">
        <v>90</v>
      </c>
      <c r="L312" s="31" t="n">
        <v>939</v>
      </c>
      <c r="M312" s="19" t="n">
        <v>3</v>
      </c>
      <c r="N312" s="32" t="n">
        <v>0</v>
      </c>
      <c r="O312" s="30" t="s">
        <v>52</v>
      </c>
      <c r="P312" s="30" t="s">
        <v>51</v>
      </c>
      <c r="Q312" s="30" t="s">
        <v>92</v>
      </c>
      <c r="R312" s="25" t="n">
        <f aca="false">L312*M312*(1-N312)</f>
        <v>2817</v>
      </c>
    </row>
    <row r="313" customFormat="false" ht="15" hidden="false" customHeight="false" outlineLevel="0" collapsed="false">
      <c r="A313" s="30" t="s">
        <v>484</v>
      </c>
      <c r="B313" s="44" t="n">
        <v>45406</v>
      </c>
      <c r="C313" s="19" t="n">
        <f aca="false">YEAR(B313)</f>
        <v>2024</v>
      </c>
      <c r="D313" s="19" t="n">
        <f aca="false">MONTH(B313)</f>
        <v>4</v>
      </c>
      <c r="E313" s="30" t="str">
        <f aca="false">INDEX(Lists!$K$2:$K$13,MATCH(D313,Lists!$J$2:$J$13,0))</f>
        <v>أبريل</v>
      </c>
      <c r="F313" s="19" t="str">
        <f aca="false">"Q"&amp;ROUNDUP(D313/3,0)</f>
        <v>Q2</v>
      </c>
      <c r="G313" s="30" t="str">
        <f aca="false">INDEX(Lists!$N$2:$N$8,MATCH(WEEKDAY(B313,2),Lists!$M$2:$M$8,0))</f>
        <v>الأربعاء</v>
      </c>
      <c r="H313" s="30" t="s">
        <v>46</v>
      </c>
      <c r="I313" s="19" t="str">
        <f aca="false">INDEX(Lists!$B$2:$B$6,MATCH(H313,Lists!$A$2:$A$6,0))</f>
        <v>المنطقة الوسطى</v>
      </c>
      <c r="J313" s="30" t="s">
        <v>105</v>
      </c>
      <c r="K313" s="30" t="s">
        <v>179</v>
      </c>
      <c r="L313" s="31" t="n">
        <v>1409</v>
      </c>
      <c r="M313" s="19" t="n">
        <v>2</v>
      </c>
      <c r="N313" s="32" t="n">
        <v>0.15</v>
      </c>
      <c r="O313" s="30" t="s">
        <v>58</v>
      </c>
      <c r="P313" s="30" t="s">
        <v>47</v>
      </c>
      <c r="Q313" s="30" t="s">
        <v>84</v>
      </c>
      <c r="R313" s="25" t="n">
        <f aca="false">L313*M313*(1-N313)</f>
        <v>2395.3</v>
      </c>
    </row>
    <row r="314" customFormat="false" ht="15" hidden="false" customHeight="false" outlineLevel="0" collapsed="false">
      <c r="A314" s="30" t="s">
        <v>485</v>
      </c>
      <c r="B314" s="44" t="n">
        <v>45407</v>
      </c>
      <c r="C314" s="19" t="n">
        <f aca="false">YEAR(B314)</f>
        <v>2024</v>
      </c>
      <c r="D314" s="19" t="n">
        <f aca="false">MONTH(B314)</f>
        <v>4</v>
      </c>
      <c r="E314" s="30" t="str">
        <f aca="false">INDEX(Lists!$K$2:$K$13,MATCH(D314,Lists!$J$2:$J$13,0))</f>
        <v>أبريل</v>
      </c>
      <c r="F314" s="19" t="str">
        <f aca="false">"Q"&amp;ROUNDUP(D314/3,0)</f>
        <v>Q2</v>
      </c>
      <c r="G314" s="30" t="str">
        <f aca="false">INDEX(Lists!$N$2:$N$8,MATCH(WEEKDAY(B314,2),Lists!$M$2:$M$8,0))</f>
        <v>الخميس</v>
      </c>
      <c r="H314" s="30" t="s">
        <v>50</v>
      </c>
      <c r="I314" s="19" t="str">
        <f aca="false">INDEX(Lists!$B$2:$B$6,MATCH(H314,Lists!$A$2:$A$6,0))</f>
        <v>المنطقة الغربية</v>
      </c>
      <c r="J314" s="30" t="s">
        <v>109</v>
      </c>
      <c r="K314" s="30" t="s">
        <v>175</v>
      </c>
      <c r="L314" s="31" t="n">
        <v>159</v>
      </c>
      <c r="M314" s="19" t="n">
        <v>1</v>
      </c>
      <c r="N314" s="32" t="n">
        <v>0.05</v>
      </c>
      <c r="O314" s="30" t="s">
        <v>55</v>
      </c>
      <c r="P314" s="30" t="s">
        <v>47</v>
      </c>
      <c r="Q314" s="30" t="s">
        <v>84</v>
      </c>
      <c r="R314" s="25" t="n">
        <f aca="false">L314*M314*(1-N314)</f>
        <v>151.05</v>
      </c>
    </row>
    <row r="315" customFormat="false" ht="15" hidden="false" customHeight="false" outlineLevel="0" collapsed="false">
      <c r="A315" s="30" t="s">
        <v>486</v>
      </c>
      <c r="B315" s="44" t="n">
        <v>45408</v>
      </c>
      <c r="C315" s="19" t="n">
        <f aca="false">YEAR(B315)</f>
        <v>2024</v>
      </c>
      <c r="D315" s="19" t="n">
        <f aca="false">MONTH(B315)</f>
        <v>4</v>
      </c>
      <c r="E315" s="30" t="str">
        <f aca="false">INDEX(Lists!$K$2:$K$13,MATCH(D315,Lists!$J$2:$J$13,0))</f>
        <v>أبريل</v>
      </c>
      <c r="F315" s="19" t="str">
        <f aca="false">"Q"&amp;ROUNDUP(D315/3,0)</f>
        <v>Q2</v>
      </c>
      <c r="G315" s="30" t="str">
        <f aca="false">INDEX(Lists!$N$2:$N$8,MATCH(WEEKDAY(B315,2),Lists!$M$2:$M$8,0))</f>
        <v>الجمعة</v>
      </c>
      <c r="H315" s="30" t="s">
        <v>54</v>
      </c>
      <c r="I315" s="19" t="str">
        <f aca="false">INDEX(Lists!$B$2:$B$6,MATCH(H315,Lists!$A$2:$A$6,0))</f>
        <v>المنطقة الشرقية</v>
      </c>
      <c r="J315" s="30" t="s">
        <v>113</v>
      </c>
      <c r="K315" s="30" t="s">
        <v>121</v>
      </c>
      <c r="L315" s="31" t="n">
        <v>709</v>
      </c>
      <c r="M315" s="19" t="n">
        <v>1</v>
      </c>
      <c r="N315" s="32" t="n">
        <v>0</v>
      </c>
      <c r="O315" s="30" t="s">
        <v>48</v>
      </c>
      <c r="P315" s="30" t="s">
        <v>47</v>
      </c>
      <c r="Q315" s="30" t="s">
        <v>81</v>
      </c>
      <c r="R315" s="25" t="n">
        <f aca="false">L315*M315*(1-N315)</f>
        <v>709</v>
      </c>
    </row>
    <row r="316" customFormat="false" ht="15" hidden="false" customHeight="false" outlineLevel="0" collapsed="false">
      <c r="A316" s="30" t="s">
        <v>487</v>
      </c>
      <c r="B316" s="44" t="n">
        <v>45408</v>
      </c>
      <c r="C316" s="19" t="n">
        <f aca="false">YEAR(B316)</f>
        <v>2024</v>
      </c>
      <c r="D316" s="19" t="n">
        <f aca="false">MONTH(B316)</f>
        <v>4</v>
      </c>
      <c r="E316" s="30" t="str">
        <f aca="false">INDEX(Lists!$K$2:$K$13,MATCH(D316,Lists!$J$2:$J$13,0))</f>
        <v>أبريل</v>
      </c>
      <c r="F316" s="19" t="str">
        <f aca="false">"Q"&amp;ROUNDUP(D316/3,0)</f>
        <v>Q2</v>
      </c>
      <c r="G316" s="30" t="str">
        <f aca="false">INDEX(Lists!$N$2:$N$8,MATCH(WEEKDAY(B316,2),Lists!$M$2:$M$8,0))</f>
        <v>الجمعة</v>
      </c>
      <c r="H316" s="30" t="s">
        <v>50</v>
      </c>
      <c r="I316" s="19" t="str">
        <f aca="false">INDEX(Lists!$B$2:$B$6,MATCH(H316,Lists!$A$2:$A$6,0))</f>
        <v>المنطقة الغربية</v>
      </c>
      <c r="J316" s="30" t="s">
        <v>105</v>
      </c>
      <c r="K316" s="30" t="s">
        <v>79</v>
      </c>
      <c r="L316" s="31" t="n">
        <v>1909</v>
      </c>
      <c r="M316" s="19" t="n">
        <v>1</v>
      </c>
      <c r="N316" s="32" t="n">
        <v>0</v>
      </c>
      <c r="O316" s="30" t="s">
        <v>58</v>
      </c>
      <c r="P316" s="30" t="s">
        <v>47</v>
      </c>
      <c r="Q316" s="30" t="s">
        <v>86</v>
      </c>
      <c r="R316" s="25" t="n">
        <f aca="false">L316*M316*(1-N316)</f>
        <v>1909</v>
      </c>
    </row>
    <row r="317" customFormat="false" ht="15" hidden="false" customHeight="false" outlineLevel="0" collapsed="false">
      <c r="A317" s="30" t="s">
        <v>488</v>
      </c>
      <c r="B317" s="44" t="n">
        <v>45409</v>
      </c>
      <c r="C317" s="19" t="n">
        <f aca="false">YEAR(B317)</f>
        <v>2024</v>
      </c>
      <c r="D317" s="19" t="n">
        <f aca="false">MONTH(B317)</f>
        <v>4</v>
      </c>
      <c r="E317" s="30" t="str">
        <f aca="false">INDEX(Lists!$K$2:$K$13,MATCH(D317,Lists!$J$2:$J$13,0))</f>
        <v>أبريل</v>
      </c>
      <c r="F317" s="19" t="str">
        <f aca="false">"Q"&amp;ROUNDUP(D317/3,0)</f>
        <v>Q2</v>
      </c>
      <c r="G317" s="30" t="str">
        <f aca="false">INDEX(Lists!$N$2:$N$8,MATCH(WEEKDAY(B317,2),Lists!$M$2:$M$8,0))</f>
        <v>السبت</v>
      </c>
      <c r="H317" s="30" t="s">
        <v>50</v>
      </c>
      <c r="I317" s="19" t="str">
        <f aca="false">INDEX(Lists!$B$2:$B$6,MATCH(H317,Lists!$A$2:$A$6,0))</f>
        <v>المنطقة الغربية</v>
      </c>
      <c r="J317" s="30" t="s">
        <v>111</v>
      </c>
      <c r="K317" s="30" t="s">
        <v>118</v>
      </c>
      <c r="L317" s="31" t="n">
        <v>439</v>
      </c>
      <c r="M317" s="19" t="n">
        <v>2</v>
      </c>
      <c r="N317" s="32" t="n">
        <v>0.05</v>
      </c>
      <c r="O317" s="30" t="s">
        <v>52</v>
      </c>
      <c r="P317" s="30" t="s">
        <v>51</v>
      </c>
      <c r="Q317" s="30" t="s">
        <v>76</v>
      </c>
      <c r="R317" s="25" t="n">
        <f aca="false">L317*M317*(1-N317)</f>
        <v>834.1</v>
      </c>
    </row>
    <row r="318" customFormat="false" ht="15" hidden="false" customHeight="false" outlineLevel="0" collapsed="false">
      <c r="A318" s="30" t="s">
        <v>489</v>
      </c>
      <c r="B318" s="44" t="n">
        <v>45409</v>
      </c>
      <c r="C318" s="19" t="n">
        <f aca="false">YEAR(B318)</f>
        <v>2024</v>
      </c>
      <c r="D318" s="19" t="n">
        <f aca="false">MONTH(B318)</f>
        <v>4</v>
      </c>
      <c r="E318" s="30" t="str">
        <f aca="false">INDEX(Lists!$K$2:$K$13,MATCH(D318,Lists!$J$2:$J$13,0))</f>
        <v>أبريل</v>
      </c>
      <c r="F318" s="19" t="str">
        <f aca="false">"Q"&amp;ROUNDUP(D318/3,0)</f>
        <v>Q2</v>
      </c>
      <c r="G318" s="30" t="str">
        <f aca="false">INDEX(Lists!$N$2:$N$8,MATCH(WEEKDAY(B318,2),Lists!$M$2:$M$8,0))</f>
        <v>السبت</v>
      </c>
      <c r="H318" s="30" t="s">
        <v>57</v>
      </c>
      <c r="I318" s="19" t="str">
        <f aca="false">INDEX(Lists!$B$2:$B$6,MATCH(H318,Lists!$A$2:$A$6,0))</f>
        <v>المنطقة الغربية</v>
      </c>
      <c r="J318" s="30" t="s">
        <v>109</v>
      </c>
      <c r="K318" s="30" t="s">
        <v>171</v>
      </c>
      <c r="L318" s="31" t="n">
        <v>139</v>
      </c>
      <c r="M318" s="19" t="n">
        <v>1</v>
      </c>
      <c r="N318" s="32" t="n">
        <v>0</v>
      </c>
      <c r="O318" s="30" t="s">
        <v>52</v>
      </c>
      <c r="P318" s="30" t="s">
        <v>47</v>
      </c>
      <c r="Q318" s="30" t="s">
        <v>81</v>
      </c>
      <c r="R318" s="25" t="n">
        <f aca="false">L318*M318*(1-N318)</f>
        <v>139</v>
      </c>
    </row>
    <row r="319" customFormat="false" ht="15" hidden="false" customHeight="false" outlineLevel="0" collapsed="false">
      <c r="A319" s="30" t="s">
        <v>490</v>
      </c>
      <c r="B319" s="44" t="n">
        <v>45410</v>
      </c>
      <c r="C319" s="19" t="n">
        <f aca="false">YEAR(B319)</f>
        <v>2024</v>
      </c>
      <c r="D319" s="19" t="n">
        <f aca="false">MONTH(B319)</f>
        <v>4</v>
      </c>
      <c r="E319" s="30" t="str">
        <f aca="false">INDEX(Lists!$K$2:$K$13,MATCH(D319,Lists!$J$2:$J$13,0))</f>
        <v>أبريل</v>
      </c>
      <c r="F319" s="19" t="str">
        <f aca="false">"Q"&amp;ROUNDUP(D319/3,0)</f>
        <v>Q2</v>
      </c>
      <c r="G319" s="30" t="str">
        <f aca="false">INDEX(Lists!$N$2:$N$8,MATCH(WEEKDAY(B319,2),Lists!$M$2:$M$8,0))</f>
        <v>الأحد</v>
      </c>
      <c r="H319" s="30" t="s">
        <v>46</v>
      </c>
      <c r="I319" s="19" t="str">
        <f aca="false">INDEX(Lists!$B$2:$B$6,MATCH(H319,Lists!$A$2:$A$6,0))</f>
        <v>المنطقة الوسطى</v>
      </c>
      <c r="J319" s="30" t="s">
        <v>105</v>
      </c>
      <c r="K319" s="30" t="s">
        <v>79</v>
      </c>
      <c r="L319" s="31" t="n">
        <v>3769</v>
      </c>
      <c r="M319" s="19" t="n">
        <v>3</v>
      </c>
      <c r="N319" s="32" t="n">
        <v>0.15</v>
      </c>
      <c r="O319" s="30" t="s">
        <v>48</v>
      </c>
      <c r="P319" s="30" t="s">
        <v>51</v>
      </c>
      <c r="Q319" s="30" t="s">
        <v>78</v>
      </c>
      <c r="R319" s="25" t="n">
        <f aca="false">L319*M319*(1-N319)</f>
        <v>9610.95</v>
      </c>
    </row>
    <row r="320" customFormat="false" ht="15" hidden="false" customHeight="false" outlineLevel="0" collapsed="false">
      <c r="A320" s="30" t="s">
        <v>491</v>
      </c>
      <c r="B320" s="44" t="n">
        <v>45410</v>
      </c>
      <c r="C320" s="19" t="n">
        <f aca="false">YEAR(B320)</f>
        <v>2024</v>
      </c>
      <c r="D320" s="19" t="n">
        <f aca="false">MONTH(B320)</f>
        <v>4</v>
      </c>
      <c r="E320" s="30" t="str">
        <f aca="false">INDEX(Lists!$K$2:$K$13,MATCH(D320,Lists!$J$2:$J$13,0))</f>
        <v>أبريل</v>
      </c>
      <c r="F320" s="19" t="str">
        <f aca="false">"Q"&amp;ROUNDUP(D320/3,0)</f>
        <v>Q2</v>
      </c>
      <c r="G320" s="30" t="str">
        <f aca="false">INDEX(Lists!$N$2:$N$8,MATCH(WEEKDAY(B320,2),Lists!$M$2:$M$8,0))</f>
        <v>الأحد</v>
      </c>
      <c r="H320" s="30" t="s">
        <v>46</v>
      </c>
      <c r="I320" s="19" t="str">
        <f aca="false">INDEX(Lists!$B$2:$B$6,MATCH(H320,Lists!$A$2:$A$6,0))</f>
        <v>المنطقة الوسطى</v>
      </c>
      <c r="J320" s="30" t="s">
        <v>109</v>
      </c>
      <c r="K320" s="30" t="s">
        <v>175</v>
      </c>
      <c r="L320" s="31" t="n">
        <v>229</v>
      </c>
      <c r="M320" s="19" t="n">
        <v>1</v>
      </c>
      <c r="N320" s="32" t="n">
        <v>0</v>
      </c>
      <c r="O320" s="30" t="s">
        <v>58</v>
      </c>
      <c r="P320" s="30" t="s">
        <v>47</v>
      </c>
      <c r="Q320" s="30" t="s">
        <v>84</v>
      </c>
      <c r="R320" s="25" t="n">
        <f aca="false">L320*M320*(1-N320)</f>
        <v>229</v>
      </c>
    </row>
    <row r="321" customFormat="false" ht="15" hidden="false" customHeight="false" outlineLevel="0" collapsed="false">
      <c r="A321" s="30" t="s">
        <v>492</v>
      </c>
      <c r="B321" s="44" t="n">
        <v>45410</v>
      </c>
      <c r="C321" s="19" t="n">
        <f aca="false">YEAR(B321)</f>
        <v>2024</v>
      </c>
      <c r="D321" s="19" t="n">
        <f aca="false">MONTH(B321)</f>
        <v>4</v>
      </c>
      <c r="E321" s="30" t="str">
        <f aca="false">INDEX(Lists!$K$2:$K$13,MATCH(D321,Lists!$J$2:$J$13,0))</f>
        <v>أبريل</v>
      </c>
      <c r="F321" s="19" t="str">
        <f aca="false">"Q"&amp;ROUNDUP(D321/3,0)</f>
        <v>Q2</v>
      </c>
      <c r="G321" s="30" t="str">
        <f aca="false">INDEX(Lists!$N$2:$N$8,MATCH(WEEKDAY(B321,2),Lists!$M$2:$M$8,0))</f>
        <v>الأحد</v>
      </c>
      <c r="H321" s="30" t="s">
        <v>54</v>
      </c>
      <c r="I321" s="19" t="str">
        <f aca="false">INDEX(Lists!$B$2:$B$6,MATCH(H321,Lists!$A$2:$A$6,0))</f>
        <v>المنطقة الشرقية</v>
      </c>
      <c r="J321" s="30" t="s">
        <v>113</v>
      </c>
      <c r="K321" s="30" t="s">
        <v>121</v>
      </c>
      <c r="L321" s="31" t="n">
        <v>99</v>
      </c>
      <c r="M321" s="19" t="n">
        <v>4</v>
      </c>
      <c r="N321" s="32" t="n">
        <v>0.05</v>
      </c>
      <c r="O321" s="30" t="s">
        <v>52</v>
      </c>
      <c r="P321" s="30" t="s">
        <v>51</v>
      </c>
      <c r="Q321" s="30" t="s">
        <v>86</v>
      </c>
      <c r="R321" s="25" t="n">
        <f aca="false">L321*M321*(1-N321)</f>
        <v>376.2</v>
      </c>
    </row>
    <row r="322" customFormat="false" ht="15" hidden="false" customHeight="false" outlineLevel="0" collapsed="false">
      <c r="A322" s="30" t="s">
        <v>493</v>
      </c>
      <c r="B322" s="44" t="n">
        <v>45412</v>
      </c>
      <c r="C322" s="19" t="n">
        <f aca="false">YEAR(B322)</f>
        <v>2024</v>
      </c>
      <c r="D322" s="19" t="n">
        <f aca="false">MONTH(B322)</f>
        <v>4</v>
      </c>
      <c r="E322" s="30" t="str">
        <f aca="false">INDEX(Lists!$K$2:$K$13,MATCH(D322,Lists!$J$2:$J$13,0))</f>
        <v>أبريل</v>
      </c>
      <c r="F322" s="19" t="str">
        <f aca="false">"Q"&amp;ROUNDUP(D322/3,0)</f>
        <v>Q2</v>
      </c>
      <c r="G322" s="30" t="str">
        <f aca="false">INDEX(Lists!$N$2:$N$8,MATCH(WEEKDAY(B322,2),Lists!$M$2:$M$8,0))</f>
        <v>الثلاثاء</v>
      </c>
      <c r="H322" s="30" t="s">
        <v>54</v>
      </c>
      <c r="I322" s="19" t="str">
        <f aca="false">INDEX(Lists!$B$2:$B$6,MATCH(H322,Lists!$A$2:$A$6,0))</f>
        <v>المنطقة الشرقية</v>
      </c>
      <c r="J322" s="30" t="s">
        <v>105</v>
      </c>
      <c r="K322" s="30" t="s">
        <v>82</v>
      </c>
      <c r="L322" s="31" t="n">
        <v>2949</v>
      </c>
      <c r="M322" s="19" t="n">
        <v>1</v>
      </c>
      <c r="N322" s="32" t="n">
        <v>0</v>
      </c>
      <c r="O322" s="30" t="s">
        <v>55</v>
      </c>
      <c r="P322" s="30" t="s">
        <v>47</v>
      </c>
      <c r="Q322" s="30" t="s">
        <v>81</v>
      </c>
      <c r="R322" s="25" t="n">
        <f aca="false">L322*M322*(1-N322)</f>
        <v>2949</v>
      </c>
    </row>
    <row r="323" customFormat="false" ht="15" hidden="false" customHeight="false" outlineLevel="0" collapsed="false">
      <c r="A323" s="30" t="s">
        <v>494</v>
      </c>
      <c r="B323" s="44" t="n">
        <v>45412</v>
      </c>
      <c r="C323" s="19" t="n">
        <f aca="false">YEAR(B323)</f>
        <v>2024</v>
      </c>
      <c r="D323" s="19" t="n">
        <f aca="false">MONTH(B323)</f>
        <v>4</v>
      </c>
      <c r="E323" s="30" t="str">
        <f aca="false">INDEX(Lists!$K$2:$K$13,MATCH(D323,Lists!$J$2:$J$13,0))</f>
        <v>أبريل</v>
      </c>
      <c r="F323" s="19" t="str">
        <f aca="false">"Q"&amp;ROUNDUP(D323/3,0)</f>
        <v>Q2</v>
      </c>
      <c r="G323" s="30" t="str">
        <f aca="false">INDEX(Lists!$N$2:$N$8,MATCH(WEEKDAY(B323,2),Lists!$M$2:$M$8,0))</f>
        <v>الثلاثاء</v>
      </c>
      <c r="H323" s="30" t="s">
        <v>46</v>
      </c>
      <c r="I323" s="19" t="str">
        <f aca="false">INDEX(Lists!$B$2:$B$6,MATCH(H323,Lists!$A$2:$A$6,0))</f>
        <v>المنطقة الوسطى</v>
      </c>
      <c r="J323" s="30" t="s">
        <v>107</v>
      </c>
      <c r="K323" s="30" t="s">
        <v>114</v>
      </c>
      <c r="L323" s="31" t="n">
        <v>2329</v>
      </c>
      <c r="M323" s="19" t="n">
        <v>1</v>
      </c>
      <c r="N323" s="32" t="n">
        <v>0</v>
      </c>
      <c r="O323" s="30" t="s">
        <v>55</v>
      </c>
      <c r="P323" s="30" t="s">
        <v>47</v>
      </c>
      <c r="Q323" s="30" t="s">
        <v>84</v>
      </c>
      <c r="R323" s="25" t="n">
        <f aca="false">L323*M323*(1-N323)</f>
        <v>2329</v>
      </c>
    </row>
    <row r="324" customFormat="false" ht="15" hidden="false" customHeight="false" outlineLevel="0" collapsed="false">
      <c r="A324" s="30" t="s">
        <v>495</v>
      </c>
      <c r="B324" s="44" t="n">
        <v>45413</v>
      </c>
      <c r="C324" s="19" t="n">
        <f aca="false">YEAR(B324)</f>
        <v>2024</v>
      </c>
      <c r="D324" s="19" t="n">
        <f aca="false">MONTH(B324)</f>
        <v>5</v>
      </c>
      <c r="E324" s="30" t="str">
        <f aca="false">INDEX(Lists!$K$2:$K$13,MATCH(D324,Lists!$J$2:$J$13,0))</f>
        <v>مايو</v>
      </c>
      <c r="F324" s="19" t="str">
        <f aca="false">"Q"&amp;ROUNDUP(D324/3,0)</f>
        <v>Q2</v>
      </c>
      <c r="G324" s="30" t="str">
        <f aca="false">INDEX(Lists!$N$2:$N$8,MATCH(WEEKDAY(B324,2),Lists!$M$2:$M$8,0))</f>
        <v>الأربعاء</v>
      </c>
      <c r="H324" s="30" t="s">
        <v>57</v>
      </c>
      <c r="I324" s="19" t="str">
        <f aca="false">INDEX(Lists!$B$2:$B$6,MATCH(H324,Lists!$A$2:$A$6,0))</f>
        <v>المنطقة الغربية</v>
      </c>
      <c r="J324" s="30" t="s">
        <v>111</v>
      </c>
      <c r="K324" s="30" t="s">
        <v>108</v>
      </c>
      <c r="L324" s="31" t="n">
        <v>439</v>
      </c>
      <c r="M324" s="19" t="n">
        <v>3</v>
      </c>
      <c r="N324" s="32" t="n">
        <v>0</v>
      </c>
      <c r="O324" s="30" t="s">
        <v>52</v>
      </c>
      <c r="P324" s="30" t="s">
        <v>51</v>
      </c>
      <c r="Q324" s="30" t="s">
        <v>89</v>
      </c>
      <c r="R324" s="25" t="n">
        <f aca="false">L324*M324*(1-N324)</f>
        <v>1317</v>
      </c>
    </row>
    <row r="325" customFormat="false" ht="15" hidden="false" customHeight="false" outlineLevel="0" collapsed="false">
      <c r="A325" s="30" t="s">
        <v>496</v>
      </c>
      <c r="B325" s="44" t="n">
        <v>45414</v>
      </c>
      <c r="C325" s="19" t="n">
        <f aca="false">YEAR(B325)</f>
        <v>2024</v>
      </c>
      <c r="D325" s="19" t="n">
        <f aca="false">MONTH(B325)</f>
        <v>5</v>
      </c>
      <c r="E325" s="30" t="str">
        <f aca="false">INDEX(Lists!$K$2:$K$13,MATCH(D325,Lists!$J$2:$J$13,0))</f>
        <v>مايو</v>
      </c>
      <c r="F325" s="19" t="str">
        <f aca="false">"Q"&amp;ROUNDUP(D325/3,0)</f>
        <v>Q2</v>
      </c>
      <c r="G325" s="30" t="str">
        <f aca="false">INDEX(Lists!$N$2:$N$8,MATCH(WEEKDAY(B325,2),Lists!$M$2:$M$8,0))</f>
        <v>الخميس</v>
      </c>
      <c r="H325" s="30" t="s">
        <v>46</v>
      </c>
      <c r="I325" s="19" t="str">
        <f aca="false">INDEX(Lists!$B$2:$B$6,MATCH(H325,Lists!$A$2:$A$6,0))</f>
        <v>المنطقة الوسطى</v>
      </c>
      <c r="J325" s="30" t="s">
        <v>113</v>
      </c>
      <c r="K325" s="30" t="s">
        <v>95</v>
      </c>
      <c r="L325" s="31" t="n">
        <v>349</v>
      </c>
      <c r="M325" s="19" t="n">
        <v>1</v>
      </c>
      <c r="N325" s="32" t="n">
        <v>0.1</v>
      </c>
      <c r="O325" s="30" t="s">
        <v>48</v>
      </c>
      <c r="P325" s="30" t="s">
        <v>47</v>
      </c>
      <c r="Q325" s="30" t="s">
        <v>94</v>
      </c>
      <c r="R325" s="25" t="n">
        <f aca="false">L325*M325*(1-N325)</f>
        <v>314.1</v>
      </c>
    </row>
    <row r="326" customFormat="false" ht="15" hidden="false" customHeight="false" outlineLevel="0" collapsed="false">
      <c r="A326" s="30" t="s">
        <v>497</v>
      </c>
      <c r="B326" s="44" t="n">
        <v>45414</v>
      </c>
      <c r="C326" s="19" t="n">
        <f aca="false">YEAR(B326)</f>
        <v>2024</v>
      </c>
      <c r="D326" s="19" t="n">
        <f aca="false">MONTH(B326)</f>
        <v>5</v>
      </c>
      <c r="E326" s="30" t="str">
        <f aca="false">INDEX(Lists!$K$2:$K$13,MATCH(D326,Lists!$J$2:$J$13,0))</f>
        <v>مايو</v>
      </c>
      <c r="F326" s="19" t="str">
        <f aca="false">"Q"&amp;ROUNDUP(D326/3,0)</f>
        <v>Q2</v>
      </c>
      <c r="G326" s="30" t="str">
        <f aca="false">INDEX(Lists!$N$2:$N$8,MATCH(WEEKDAY(B326,2),Lists!$M$2:$M$8,0))</f>
        <v>الخميس</v>
      </c>
      <c r="H326" s="30" t="s">
        <v>57</v>
      </c>
      <c r="I326" s="19" t="str">
        <f aca="false">INDEX(Lists!$B$2:$B$6,MATCH(H326,Lists!$A$2:$A$6,0))</f>
        <v>المنطقة الغربية</v>
      </c>
      <c r="J326" s="30" t="s">
        <v>107</v>
      </c>
      <c r="K326" s="30" t="s">
        <v>184</v>
      </c>
      <c r="L326" s="31" t="n">
        <v>6349</v>
      </c>
      <c r="M326" s="19" t="n">
        <v>6</v>
      </c>
      <c r="N326" s="32" t="n">
        <v>0.15</v>
      </c>
      <c r="O326" s="30" t="s">
        <v>52</v>
      </c>
      <c r="P326" s="30" t="s">
        <v>51</v>
      </c>
      <c r="Q326" s="30" t="s">
        <v>94</v>
      </c>
      <c r="R326" s="25" t="n">
        <f aca="false">L326*M326*(1-N326)</f>
        <v>32379.9</v>
      </c>
    </row>
    <row r="327" customFormat="false" ht="15" hidden="false" customHeight="false" outlineLevel="0" collapsed="false">
      <c r="A327" s="30" t="s">
        <v>498</v>
      </c>
      <c r="B327" s="44" t="n">
        <v>45414</v>
      </c>
      <c r="C327" s="19" t="n">
        <f aca="false">YEAR(B327)</f>
        <v>2024</v>
      </c>
      <c r="D327" s="19" t="n">
        <f aca="false">MONTH(B327)</f>
        <v>5</v>
      </c>
      <c r="E327" s="30" t="str">
        <f aca="false">INDEX(Lists!$K$2:$K$13,MATCH(D327,Lists!$J$2:$J$13,0))</f>
        <v>مايو</v>
      </c>
      <c r="F327" s="19" t="str">
        <f aca="false">"Q"&amp;ROUNDUP(D327/3,0)</f>
        <v>Q2</v>
      </c>
      <c r="G327" s="30" t="str">
        <f aca="false">INDEX(Lists!$N$2:$N$8,MATCH(WEEKDAY(B327,2),Lists!$M$2:$M$8,0))</f>
        <v>الخميس</v>
      </c>
      <c r="H327" s="30" t="s">
        <v>46</v>
      </c>
      <c r="I327" s="19" t="str">
        <f aca="false">INDEX(Lists!$B$2:$B$6,MATCH(H327,Lists!$A$2:$A$6,0))</f>
        <v>المنطقة الوسطى</v>
      </c>
      <c r="J327" s="30" t="s">
        <v>105</v>
      </c>
      <c r="K327" s="30" t="s">
        <v>90</v>
      </c>
      <c r="L327" s="31" t="n">
        <v>3439</v>
      </c>
      <c r="M327" s="19" t="n">
        <v>1</v>
      </c>
      <c r="N327" s="32" t="n">
        <v>0</v>
      </c>
      <c r="O327" s="30" t="s">
        <v>48</v>
      </c>
      <c r="P327" s="30" t="s">
        <v>47</v>
      </c>
      <c r="Q327" s="30" t="s">
        <v>99</v>
      </c>
      <c r="R327" s="25" t="n">
        <f aca="false">L327*M327*(1-N327)</f>
        <v>3439</v>
      </c>
    </row>
    <row r="328" customFormat="false" ht="15" hidden="false" customHeight="false" outlineLevel="0" collapsed="false">
      <c r="A328" s="30" t="s">
        <v>499</v>
      </c>
      <c r="B328" s="44" t="n">
        <v>45414</v>
      </c>
      <c r="C328" s="19" t="n">
        <f aca="false">YEAR(B328)</f>
        <v>2024</v>
      </c>
      <c r="D328" s="19" t="n">
        <f aca="false">MONTH(B328)</f>
        <v>5</v>
      </c>
      <c r="E328" s="30" t="str">
        <f aca="false">INDEX(Lists!$K$2:$K$13,MATCH(D328,Lists!$J$2:$J$13,0))</f>
        <v>مايو</v>
      </c>
      <c r="F328" s="19" t="str">
        <f aca="false">"Q"&amp;ROUNDUP(D328/3,0)</f>
        <v>Q2</v>
      </c>
      <c r="G328" s="30" t="str">
        <f aca="false">INDEX(Lists!$N$2:$N$8,MATCH(WEEKDAY(B328,2),Lists!$M$2:$M$8,0))</f>
        <v>الخميس</v>
      </c>
      <c r="H328" s="30" t="s">
        <v>46</v>
      </c>
      <c r="I328" s="19" t="str">
        <f aca="false">INDEX(Lists!$B$2:$B$6,MATCH(H328,Lists!$A$2:$A$6,0))</f>
        <v>المنطقة الوسطى</v>
      </c>
      <c r="J328" s="30" t="s">
        <v>109</v>
      </c>
      <c r="K328" s="30" t="s">
        <v>110</v>
      </c>
      <c r="L328" s="31" t="n">
        <v>169</v>
      </c>
      <c r="M328" s="19" t="n">
        <v>1</v>
      </c>
      <c r="N328" s="32" t="n">
        <v>0</v>
      </c>
      <c r="O328" s="30" t="s">
        <v>58</v>
      </c>
      <c r="P328" s="30" t="s">
        <v>47</v>
      </c>
      <c r="Q328" s="30" t="s">
        <v>84</v>
      </c>
      <c r="R328" s="25" t="n">
        <f aca="false">L328*M328*(1-N328)</f>
        <v>169</v>
      </c>
    </row>
    <row r="329" customFormat="false" ht="15" hidden="false" customHeight="false" outlineLevel="0" collapsed="false">
      <c r="A329" s="30" t="s">
        <v>500</v>
      </c>
      <c r="B329" s="44" t="n">
        <v>45414</v>
      </c>
      <c r="C329" s="19" t="n">
        <f aca="false">YEAR(B329)</f>
        <v>2024</v>
      </c>
      <c r="D329" s="19" t="n">
        <f aca="false">MONTH(B329)</f>
        <v>5</v>
      </c>
      <c r="E329" s="30" t="str">
        <f aca="false">INDEX(Lists!$K$2:$K$13,MATCH(D329,Lists!$J$2:$J$13,0))</f>
        <v>مايو</v>
      </c>
      <c r="F329" s="19" t="str">
        <f aca="false">"Q"&amp;ROUNDUP(D329/3,0)</f>
        <v>Q2</v>
      </c>
      <c r="G329" s="30" t="str">
        <f aca="false">INDEX(Lists!$N$2:$N$8,MATCH(WEEKDAY(B329,2),Lists!$M$2:$M$8,0))</f>
        <v>الخميس</v>
      </c>
      <c r="H329" s="30" t="s">
        <v>46</v>
      </c>
      <c r="I329" s="19" t="str">
        <f aca="false">INDEX(Lists!$B$2:$B$6,MATCH(H329,Lists!$A$2:$A$6,0))</f>
        <v>المنطقة الوسطى</v>
      </c>
      <c r="J329" s="30" t="s">
        <v>105</v>
      </c>
      <c r="K329" s="30" t="s">
        <v>85</v>
      </c>
      <c r="L329" s="31" t="n">
        <v>3609</v>
      </c>
      <c r="M329" s="19" t="n">
        <v>1</v>
      </c>
      <c r="N329" s="32" t="n">
        <v>0</v>
      </c>
      <c r="O329" s="30" t="s">
        <v>52</v>
      </c>
      <c r="P329" s="30" t="s">
        <v>47</v>
      </c>
      <c r="Q329" s="30" t="s">
        <v>78</v>
      </c>
      <c r="R329" s="25" t="n">
        <f aca="false">L329*M329*(1-N329)</f>
        <v>3609</v>
      </c>
    </row>
    <row r="330" customFormat="false" ht="15" hidden="false" customHeight="false" outlineLevel="0" collapsed="false">
      <c r="A330" s="30" t="s">
        <v>501</v>
      </c>
      <c r="B330" s="44" t="n">
        <v>45416</v>
      </c>
      <c r="C330" s="19" t="n">
        <f aca="false">YEAR(B330)</f>
        <v>2024</v>
      </c>
      <c r="D330" s="19" t="n">
        <f aca="false">MONTH(B330)</f>
        <v>5</v>
      </c>
      <c r="E330" s="30" t="str">
        <f aca="false">INDEX(Lists!$K$2:$K$13,MATCH(D330,Lists!$J$2:$J$13,0))</f>
        <v>مايو</v>
      </c>
      <c r="F330" s="19" t="str">
        <f aca="false">"Q"&amp;ROUNDUP(D330/3,0)</f>
        <v>Q2</v>
      </c>
      <c r="G330" s="30" t="str">
        <f aca="false">INDEX(Lists!$N$2:$N$8,MATCH(WEEKDAY(B330,2),Lists!$M$2:$M$8,0))</f>
        <v>السبت</v>
      </c>
      <c r="H330" s="30" t="s">
        <v>57</v>
      </c>
      <c r="I330" s="19" t="str">
        <f aca="false">INDEX(Lists!$B$2:$B$6,MATCH(H330,Lists!$A$2:$A$6,0))</f>
        <v>المنطقة الغربية</v>
      </c>
      <c r="J330" s="30" t="s">
        <v>113</v>
      </c>
      <c r="K330" s="30" t="s">
        <v>95</v>
      </c>
      <c r="L330" s="31" t="n">
        <v>619</v>
      </c>
      <c r="M330" s="19" t="n">
        <v>1</v>
      </c>
      <c r="N330" s="32" t="n">
        <v>0.1</v>
      </c>
      <c r="O330" s="30" t="s">
        <v>48</v>
      </c>
      <c r="P330" s="30" t="s">
        <v>47</v>
      </c>
      <c r="Q330" s="30" t="s">
        <v>84</v>
      </c>
      <c r="R330" s="25" t="n">
        <f aca="false">L330*M330*(1-N330)</f>
        <v>557.1</v>
      </c>
    </row>
    <row r="331" customFormat="false" ht="15" hidden="false" customHeight="false" outlineLevel="0" collapsed="false">
      <c r="A331" s="30" t="s">
        <v>502</v>
      </c>
      <c r="B331" s="44" t="n">
        <v>45416</v>
      </c>
      <c r="C331" s="19" t="n">
        <f aca="false">YEAR(B331)</f>
        <v>2024</v>
      </c>
      <c r="D331" s="19" t="n">
        <f aca="false">MONTH(B331)</f>
        <v>5</v>
      </c>
      <c r="E331" s="30" t="str">
        <f aca="false">INDEX(Lists!$K$2:$K$13,MATCH(D331,Lists!$J$2:$J$13,0))</f>
        <v>مايو</v>
      </c>
      <c r="F331" s="19" t="str">
        <f aca="false">"Q"&amp;ROUNDUP(D331/3,0)</f>
        <v>Q2</v>
      </c>
      <c r="G331" s="30" t="str">
        <f aca="false">INDEX(Lists!$N$2:$N$8,MATCH(WEEKDAY(B331,2),Lists!$M$2:$M$8,0))</f>
        <v>السبت</v>
      </c>
      <c r="H331" s="30" t="s">
        <v>54</v>
      </c>
      <c r="I331" s="19" t="str">
        <f aca="false">INDEX(Lists!$B$2:$B$6,MATCH(H331,Lists!$A$2:$A$6,0))</f>
        <v>المنطقة الشرقية</v>
      </c>
      <c r="J331" s="30" t="s">
        <v>109</v>
      </c>
      <c r="K331" s="30" t="s">
        <v>171</v>
      </c>
      <c r="L331" s="31" t="n">
        <v>149</v>
      </c>
      <c r="M331" s="19" t="n">
        <v>3</v>
      </c>
      <c r="N331" s="32" t="n">
        <v>0</v>
      </c>
      <c r="O331" s="30" t="s">
        <v>52</v>
      </c>
      <c r="P331" s="30" t="s">
        <v>47</v>
      </c>
      <c r="Q331" s="30" t="s">
        <v>84</v>
      </c>
      <c r="R331" s="25" t="n">
        <f aca="false">L331*M331*(1-N331)</f>
        <v>447</v>
      </c>
    </row>
    <row r="332" customFormat="false" ht="15" hidden="false" customHeight="false" outlineLevel="0" collapsed="false">
      <c r="A332" s="30" t="s">
        <v>503</v>
      </c>
      <c r="B332" s="44" t="n">
        <v>45416</v>
      </c>
      <c r="C332" s="19" t="n">
        <f aca="false">YEAR(B332)</f>
        <v>2024</v>
      </c>
      <c r="D332" s="19" t="n">
        <f aca="false">MONTH(B332)</f>
        <v>5</v>
      </c>
      <c r="E332" s="30" t="str">
        <f aca="false">INDEX(Lists!$K$2:$K$13,MATCH(D332,Lists!$J$2:$J$13,0))</f>
        <v>مايو</v>
      </c>
      <c r="F332" s="19" t="str">
        <f aca="false">"Q"&amp;ROUNDUP(D332/3,0)</f>
        <v>Q2</v>
      </c>
      <c r="G332" s="30" t="str">
        <f aca="false">INDEX(Lists!$N$2:$N$8,MATCH(WEEKDAY(B332,2),Lists!$M$2:$M$8,0))</f>
        <v>السبت</v>
      </c>
      <c r="H332" s="30" t="s">
        <v>54</v>
      </c>
      <c r="I332" s="19" t="str">
        <f aca="false">INDEX(Lists!$B$2:$B$6,MATCH(H332,Lists!$A$2:$A$6,0))</f>
        <v>المنطقة الشرقية</v>
      </c>
      <c r="J332" s="30" t="s">
        <v>109</v>
      </c>
      <c r="K332" s="30" t="s">
        <v>171</v>
      </c>
      <c r="L332" s="31" t="n">
        <v>119</v>
      </c>
      <c r="M332" s="19" t="n">
        <v>1</v>
      </c>
      <c r="N332" s="32" t="n">
        <v>0</v>
      </c>
      <c r="O332" s="30" t="s">
        <v>52</v>
      </c>
      <c r="P332" s="30" t="s">
        <v>47</v>
      </c>
      <c r="Q332" s="30" t="s">
        <v>84</v>
      </c>
      <c r="R332" s="25" t="n">
        <f aca="false">L332*M332*(1-N332)</f>
        <v>119</v>
      </c>
    </row>
    <row r="333" customFormat="false" ht="15" hidden="false" customHeight="false" outlineLevel="0" collapsed="false">
      <c r="A333" s="30" t="s">
        <v>504</v>
      </c>
      <c r="B333" s="44" t="n">
        <v>45416</v>
      </c>
      <c r="C333" s="19" t="n">
        <f aca="false">YEAR(B333)</f>
        <v>2024</v>
      </c>
      <c r="D333" s="19" t="n">
        <f aca="false">MONTH(B333)</f>
        <v>5</v>
      </c>
      <c r="E333" s="30" t="str">
        <f aca="false">INDEX(Lists!$K$2:$K$13,MATCH(D333,Lists!$J$2:$J$13,0))</f>
        <v>مايو</v>
      </c>
      <c r="F333" s="19" t="str">
        <f aca="false">"Q"&amp;ROUNDUP(D333/3,0)</f>
        <v>Q2</v>
      </c>
      <c r="G333" s="30" t="str">
        <f aca="false">INDEX(Lists!$N$2:$N$8,MATCH(WEEKDAY(B333,2),Lists!$M$2:$M$8,0))</f>
        <v>السبت</v>
      </c>
      <c r="H333" s="30" t="s">
        <v>46</v>
      </c>
      <c r="I333" s="19" t="str">
        <f aca="false">INDEX(Lists!$B$2:$B$6,MATCH(H333,Lists!$A$2:$A$6,0))</f>
        <v>المنطقة الوسطى</v>
      </c>
      <c r="J333" s="30" t="s">
        <v>113</v>
      </c>
      <c r="K333" s="30" t="s">
        <v>95</v>
      </c>
      <c r="L333" s="31" t="n">
        <v>619</v>
      </c>
      <c r="M333" s="19" t="n">
        <v>2</v>
      </c>
      <c r="N333" s="32" t="n">
        <v>0.05</v>
      </c>
      <c r="O333" s="30" t="s">
        <v>52</v>
      </c>
      <c r="P333" s="30" t="s">
        <v>51</v>
      </c>
      <c r="Q333" s="30" t="s">
        <v>92</v>
      </c>
      <c r="R333" s="25" t="n">
        <f aca="false">L333*M333*(1-N333)</f>
        <v>1176.1</v>
      </c>
    </row>
    <row r="334" customFormat="false" ht="15" hidden="false" customHeight="false" outlineLevel="0" collapsed="false">
      <c r="A334" s="30" t="s">
        <v>505</v>
      </c>
      <c r="B334" s="44" t="n">
        <v>45416</v>
      </c>
      <c r="C334" s="19" t="n">
        <f aca="false">YEAR(B334)</f>
        <v>2024</v>
      </c>
      <c r="D334" s="19" t="n">
        <f aca="false">MONTH(B334)</f>
        <v>5</v>
      </c>
      <c r="E334" s="30" t="str">
        <f aca="false">INDEX(Lists!$K$2:$K$13,MATCH(D334,Lists!$J$2:$J$13,0))</f>
        <v>مايو</v>
      </c>
      <c r="F334" s="19" t="str">
        <f aca="false">"Q"&amp;ROUNDUP(D334/3,0)</f>
        <v>Q2</v>
      </c>
      <c r="G334" s="30" t="str">
        <f aca="false">INDEX(Lists!$N$2:$N$8,MATCH(WEEKDAY(B334,2),Lists!$M$2:$M$8,0))</f>
        <v>السبت</v>
      </c>
      <c r="H334" s="30" t="s">
        <v>50</v>
      </c>
      <c r="I334" s="19" t="str">
        <f aca="false">INDEX(Lists!$B$2:$B$6,MATCH(H334,Lists!$A$2:$A$6,0))</f>
        <v>المنطقة الغربية</v>
      </c>
      <c r="J334" s="30" t="s">
        <v>109</v>
      </c>
      <c r="K334" s="30" t="s">
        <v>110</v>
      </c>
      <c r="L334" s="31" t="n">
        <v>149</v>
      </c>
      <c r="M334" s="19" t="n">
        <v>1</v>
      </c>
      <c r="N334" s="32" t="n">
        <v>0</v>
      </c>
      <c r="O334" s="30" t="s">
        <v>52</v>
      </c>
      <c r="P334" s="30" t="s">
        <v>47</v>
      </c>
      <c r="Q334" s="30" t="s">
        <v>86</v>
      </c>
      <c r="R334" s="25" t="n">
        <f aca="false">L334*M334*(1-N334)</f>
        <v>149</v>
      </c>
    </row>
    <row r="335" customFormat="false" ht="15" hidden="false" customHeight="false" outlineLevel="0" collapsed="false">
      <c r="A335" s="30" t="s">
        <v>506</v>
      </c>
      <c r="B335" s="44" t="n">
        <v>45417</v>
      </c>
      <c r="C335" s="19" t="n">
        <f aca="false">YEAR(B335)</f>
        <v>2024</v>
      </c>
      <c r="D335" s="19" t="n">
        <f aca="false">MONTH(B335)</f>
        <v>5</v>
      </c>
      <c r="E335" s="30" t="str">
        <f aca="false">INDEX(Lists!$K$2:$K$13,MATCH(D335,Lists!$J$2:$J$13,0))</f>
        <v>مايو</v>
      </c>
      <c r="F335" s="19" t="str">
        <f aca="false">"Q"&amp;ROUNDUP(D335/3,0)</f>
        <v>Q2</v>
      </c>
      <c r="G335" s="30" t="str">
        <f aca="false">INDEX(Lists!$N$2:$N$8,MATCH(WEEKDAY(B335,2),Lists!$M$2:$M$8,0))</f>
        <v>الأحد</v>
      </c>
      <c r="H335" s="30" t="s">
        <v>54</v>
      </c>
      <c r="I335" s="19" t="str">
        <f aca="false">INDEX(Lists!$B$2:$B$6,MATCH(H335,Lists!$A$2:$A$6,0))</f>
        <v>المنطقة الشرقية</v>
      </c>
      <c r="J335" s="30" t="s">
        <v>105</v>
      </c>
      <c r="K335" s="30" t="s">
        <v>79</v>
      </c>
      <c r="L335" s="31" t="n">
        <v>919</v>
      </c>
      <c r="M335" s="19" t="n">
        <v>5</v>
      </c>
      <c r="N335" s="32" t="n">
        <v>0</v>
      </c>
      <c r="O335" s="30" t="s">
        <v>52</v>
      </c>
      <c r="P335" s="30" t="s">
        <v>51</v>
      </c>
      <c r="Q335" s="30" t="s">
        <v>92</v>
      </c>
      <c r="R335" s="25" t="n">
        <f aca="false">L335*M335*(1-N335)</f>
        <v>4595</v>
      </c>
    </row>
    <row r="336" customFormat="false" ht="15" hidden="false" customHeight="false" outlineLevel="0" collapsed="false">
      <c r="A336" s="30" t="s">
        <v>507</v>
      </c>
      <c r="B336" s="44" t="n">
        <v>45417</v>
      </c>
      <c r="C336" s="19" t="n">
        <f aca="false">YEAR(B336)</f>
        <v>2024</v>
      </c>
      <c r="D336" s="19" t="n">
        <f aca="false">MONTH(B336)</f>
        <v>5</v>
      </c>
      <c r="E336" s="30" t="str">
        <f aca="false">INDEX(Lists!$K$2:$K$13,MATCH(D336,Lists!$J$2:$J$13,0))</f>
        <v>مايو</v>
      </c>
      <c r="F336" s="19" t="str">
        <f aca="false">"Q"&amp;ROUNDUP(D336/3,0)</f>
        <v>Q2</v>
      </c>
      <c r="G336" s="30" t="str">
        <f aca="false">INDEX(Lists!$N$2:$N$8,MATCH(WEEKDAY(B336,2),Lists!$M$2:$M$8,0))</f>
        <v>الأحد</v>
      </c>
      <c r="H336" s="30" t="s">
        <v>46</v>
      </c>
      <c r="I336" s="19" t="str">
        <f aca="false">INDEX(Lists!$B$2:$B$6,MATCH(H336,Lists!$A$2:$A$6,0))</f>
        <v>المنطقة الوسطى</v>
      </c>
      <c r="J336" s="30" t="s">
        <v>105</v>
      </c>
      <c r="K336" s="30" t="s">
        <v>79</v>
      </c>
      <c r="L336" s="31" t="n">
        <v>2369</v>
      </c>
      <c r="M336" s="19" t="n">
        <v>3</v>
      </c>
      <c r="N336" s="32" t="n">
        <v>0</v>
      </c>
      <c r="O336" s="30" t="s">
        <v>48</v>
      </c>
      <c r="P336" s="30" t="s">
        <v>51</v>
      </c>
      <c r="Q336" s="30" t="s">
        <v>89</v>
      </c>
      <c r="R336" s="25" t="n">
        <f aca="false">L336*M336*(1-N336)</f>
        <v>7107</v>
      </c>
    </row>
    <row r="337" customFormat="false" ht="15" hidden="false" customHeight="false" outlineLevel="0" collapsed="false">
      <c r="A337" s="30" t="s">
        <v>508</v>
      </c>
      <c r="B337" s="44" t="n">
        <v>45417</v>
      </c>
      <c r="C337" s="19" t="n">
        <f aca="false">YEAR(B337)</f>
        <v>2024</v>
      </c>
      <c r="D337" s="19" t="n">
        <f aca="false">MONTH(B337)</f>
        <v>5</v>
      </c>
      <c r="E337" s="30" t="str">
        <f aca="false">INDEX(Lists!$K$2:$K$13,MATCH(D337,Lists!$J$2:$J$13,0))</f>
        <v>مايو</v>
      </c>
      <c r="F337" s="19" t="str">
        <f aca="false">"Q"&amp;ROUNDUP(D337/3,0)</f>
        <v>Q2</v>
      </c>
      <c r="G337" s="30" t="str">
        <f aca="false">INDEX(Lists!$N$2:$N$8,MATCH(WEEKDAY(B337,2),Lists!$M$2:$M$8,0))</f>
        <v>الأحد</v>
      </c>
      <c r="H337" s="30" t="s">
        <v>57</v>
      </c>
      <c r="I337" s="19" t="str">
        <f aca="false">INDEX(Lists!$B$2:$B$6,MATCH(H337,Lists!$A$2:$A$6,0))</f>
        <v>المنطقة الغربية</v>
      </c>
      <c r="J337" s="30" t="s">
        <v>113</v>
      </c>
      <c r="K337" s="30" t="s">
        <v>95</v>
      </c>
      <c r="L337" s="31" t="n">
        <v>419</v>
      </c>
      <c r="M337" s="19" t="n">
        <v>3</v>
      </c>
      <c r="N337" s="32" t="n">
        <v>0.2</v>
      </c>
      <c r="O337" s="30" t="s">
        <v>48</v>
      </c>
      <c r="P337" s="30" t="s">
        <v>51</v>
      </c>
      <c r="Q337" s="30" t="s">
        <v>89</v>
      </c>
      <c r="R337" s="25" t="n">
        <f aca="false">L337*M337*(1-N337)</f>
        <v>1005.6</v>
      </c>
    </row>
    <row r="338" customFormat="false" ht="15" hidden="false" customHeight="false" outlineLevel="0" collapsed="false">
      <c r="A338" s="30" t="s">
        <v>509</v>
      </c>
      <c r="B338" s="44" t="n">
        <v>45418</v>
      </c>
      <c r="C338" s="19" t="n">
        <f aca="false">YEAR(B338)</f>
        <v>2024</v>
      </c>
      <c r="D338" s="19" t="n">
        <f aca="false">MONTH(B338)</f>
        <v>5</v>
      </c>
      <c r="E338" s="30" t="str">
        <f aca="false">INDEX(Lists!$K$2:$K$13,MATCH(D338,Lists!$J$2:$J$13,0))</f>
        <v>مايو</v>
      </c>
      <c r="F338" s="19" t="str">
        <f aca="false">"Q"&amp;ROUNDUP(D338/3,0)</f>
        <v>Q2</v>
      </c>
      <c r="G338" s="30" t="str">
        <f aca="false">INDEX(Lists!$N$2:$N$8,MATCH(WEEKDAY(B338,2),Lists!$M$2:$M$8,0))</f>
        <v>الإثنين</v>
      </c>
      <c r="H338" s="30" t="s">
        <v>46</v>
      </c>
      <c r="I338" s="19" t="str">
        <f aca="false">INDEX(Lists!$B$2:$B$6,MATCH(H338,Lists!$A$2:$A$6,0))</f>
        <v>المنطقة الوسطى</v>
      </c>
      <c r="J338" s="30" t="s">
        <v>105</v>
      </c>
      <c r="K338" s="30" t="s">
        <v>85</v>
      </c>
      <c r="L338" s="31" t="n">
        <v>3459</v>
      </c>
      <c r="M338" s="19" t="n">
        <v>2</v>
      </c>
      <c r="N338" s="32" t="n">
        <v>0</v>
      </c>
      <c r="O338" s="30" t="s">
        <v>48</v>
      </c>
      <c r="P338" s="30" t="s">
        <v>51</v>
      </c>
      <c r="Q338" s="30" t="s">
        <v>86</v>
      </c>
      <c r="R338" s="25" t="n">
        <f aca="false">L338*M338*(1-N338)</f>
        <v>6918</v>
      </c>
    </row>
    <row r="339" customFormat="false" ht="15" hidden="false" customHeight="false" outlineLevel="0" collapsed="false">
      <c r="A339" s="30" t="s">
        <v>510</v>
      </c>
      <c r="B339" s="44" t="n">
        <v>45419</v>
      </c>
      <c r="C339" s="19" t="n">
        <f aca="false">YEAR(B339)</f>
        <v>2024</v>
      </c>
      <c r="D339" s="19" t="n">
        <f aca="false">MONTH(B339)</f>
        <v>5</v>
      </c>
      <c r="E339" s="30" t="str">
        <f aca="false">INDEX(Lists!$K$2:$K$13,MATCH(D339,Lists!$J$2:$J$13,0))</f>
        <v>مايو</v>
      </c>
      <c r="F339" s="19" t="str">
        <f aca="false">"Q"&amp;ROUNDUP(D339/3,0)</f>
        <v>Q2</v>
      </c>
      <c r="G339" s="30" t="str">
        <f aca="false">INDEX(Lists!$N$2:$N$8,MATCH(WEEKDAY(B339,2),Lists!$M$2:$M$8,0))</f>
        <v>الثلاثاء</v>
      </c>
      <c r="H339" s="30" t="s">
        <v>46</v>
      </c>
      <c r="I339" s="19" t="str">
        <f aca="false">INDEX(Lists!$B$2:$B$6,MATCH(H339,Lists!$A$2:$A$6,0))</f>
        <v>المنطقة الوسطى</v>
      </c>
      <c r="J339" s="30" t="s">
        <v>109</v>
      </c>
      <c r="K339" s="30" t="s">
        <v>171</v>
      </c>
      <c r="L339" s="31" t="n">
        <v>279</v>
      </c>
      <c r="M339" s="19" t="n">
        <v>6</v>
      </c>
      <c r="N339" s="32" t="n">
        <v>0</v>
      </c>
      <c r="O339" s="30" t="s">
        <v>52</v>
      </c>
      <c r="P339" s="30" t="s">
        <v>51</v>
      </c>
      <c r="Q339" s="30" t="s">
        <v>94</v>
      </c>
      <c r="R339" s="25" t="n">
        <f aca="false">L339*M339*(1-N339)</f>
        <v>1674</v>
      </c>
    </row>
    <row r="340" customFormat="false" ht="15" hidden="false" customHeight="false" outlineLevel="0" collapsed="false">
      <c r="A340" s="30" t="s">
        <v>511</v>
      </c>
      <c r="B340" s="44" t="n">
        <v>45420</v>
      </c>
      <c r="C340" s="19" t="n">
        <f aca="false">YEAR(B340)</f>
        <v>2024</v>
      </c>
      <c r="D340" s="19" t="n">
        <f aca="false">MONTH(B340)</f>
        <v>5</v>
      </c>
      <c r="E340" s="30" t="str">
        <f aca="false">INDEX(Lists!$K$2:$K$13,MATCH(D340,Lists!$J$2:$J$13,0))</f>
        <v>مايو</v>
      </c>
      <c r="F340" s="19" t="str">
        <f aca="false">"Q"&amp;ROUNDUP(D340/3,0)</f>
        <v>Q2</v>
      </c>
      <c r="G340" s="30" t="str">
        <f aca="false">INDEX(Lists!$N$2:$N$8,MATCH(WEEKDAY(B340,2),Lists!$M$2:$M$8,0))</f>
        <v>الأربعاء</v>
      </c>
      <c r="H340" s="30" t="s">
        <v>50</v>
      </c>
      <c r="I340" s="19" t="str">
        <f aca="false">INDEX(Lists!$B$2:$B$6,MATCH(H340,Lists!$A$2:$A$6,0))</f>
        <v>المنطقة الغربية</v>
      </c>
      <c r="J340" s="30" t="s">
        <v>105</v>
      </c>
      <c r="K340" s="30" t="s">
        <v>82</v>
      </c>
      <c r="L340" s="31" t="n">
        <v>959</v>
      </c>
      <c r="M340" s="19" t="n">
        <v>1</v>
      </c>
      <c r="N340" s="32" t="n">
        <v>0</v>
      </c>
      <c r="O340" s="30" t="s">
        <v>48</v>
      </c>
      <c r="P340" s="30" t="s">
        <v>47</v>
      </c>
      <c r="Q340" s="30" t="s">
        <v>89</v>
      </c>
      <c r="R340" s="25" t="n">
        <f aca="false">L340*M340*(1-N340)</f>
        <v>959</v>
      </c>
    </row>
    <row r="341" customFormat="false" ht="15" hidden="false" customHeight="false" outlineLevel="0" collapsed="false">
      <c r="A341" s="30" t="s">
        <v>512</v>
      </c>
      <c r="B341" s="44" t="n">
        <v>45420</v>
      </c>
      <c r="C341" s="19" t="n">
        <f aca="false">YEAR(B341)</f>
        <v>2024</v>
      </c>
      <c r="D341" s="19" t="n">
        <f aca="false">MONTH(B341)</f>
        <v>5</v>
      </c>
      <c r="E341" s="30" t="str">
        <f aca="false">INDEX(Lists!$K$2:$K$13,MATCH(D341,Lists!$J$2:$J$13,0))</f>
        <v>مايو</v>
      </c>
      <c r="F341" s="19" t="str">
        <f aca="false">"Q"&amp;ROUNDUP(D341/3,0)</f>
        <v>Q2</v>
      </c>
      <c r="G341" s="30" t="str">
        <f aca="false">INDEX(Lists!$N$2:$N$8,MATCH(WEEKDAY(B341,2),Lists!$M$2:$M$8,0))</f>
        <v>الأربعاء</v>
      </c>
      <c r="H341" s="30" t="s">
        <v>60</v>
      </c>
      <c r="I341" s="19" t="str">
        <f aca="false">INDEX(Lists!$B$2:$B$6,MATCH(H341,Lists!$A$2:$A$6,0))</f>
        <v>المنطقة الغربية</v>
      </c>
      <c r="J341" s="30" t="s">
        <v>105</v>
      </c>
      <c r="K341" s="30" t="s">
        <v>79</v>
      </c>
      <c r="L341" s="31" t="n">
        <v>1459</v>
      </c>
      <c r="M341" s="19" t="n">
        <v>1</v>
      </c>
      <c r="N341" s="32" t="n">
        <v>0</v>
      </c>
      <c r="O341" s="30" t="s">
        <v>58</v>
      </c>
      <c r="P341" s="30" t="s">
        <v>47</v>
      </c>
      <c r="Q341" s="30" t="s">
        <v>81</v>
      </c>
      <c r="R341" s="25" t="n">
        <f aca="false">L341*M341*(1-N341)</f>
        <v>1459</v>
      </c>
    </row>
    <row r="342" customFormat="false" ht="15" hidden="false" customHeight="false" outlineLevel="0" collapsed="false">
      <c r="A342" s="30" t="s">
        <v>513</v>
      </c>
      <c r="B342" s="44" t="n">
        <v>45420</v>
      </c>
      <c r="C342" s="19" t="n">
        <f aca="false">YEAR(B342)</f>
        <v>2024</v>
      </c>
      <c r="D342" s="19" t="n">
        <f aca="false">MONTH(B342)</f>
        <v>5</v>
      </c>
      <c r="E342" s="30" t="str">
        <f aca="false">INDEX(Lists!$K$2:$K$13,MATCH(D342,Lists!$J$2:$J$13,0))</f>
        <v>مايو</v>
      </c>
      <c r="F342" s="19" t="str">
        <f aca="false">"Q"&amp;ROUNDUP(D342/3,0)</f>
        <v>Q2</v>
      </c>
      <c r="G342" s="30" t="str">
        <f aca="false">INDEX(Lists!$N$2:$N$8,MATCH(WEEKDAY(B342,2),Lists!$M$2:$M$8,0))</f>
        <v>الأربعاء</v>
      </c>
      <c r="H342" s="30" t="s">
        <v>46</v>
      </c>
      <c r="I342" s="19" t="str">
        <f aca="false">INDEX(Lists!$B$2:$B$6,MATCH(H342,Lists!$A$2:$A$6,0))</f>
        <v>المنطقة الوسطى</v>
      </c>
      <c r="J342" s="30" t="s">
        <v>107</v>
      </c>
      <c r="K342" s="30" t="s">
        <v>184</v>
      </c>
      <c r="L342" s="31" t="n">
        <v>2529</v>
      </c>
      <c r="M342" s="19" t="n">
        <v>3</v>
      </c>
      <c r="N342" s="32" t="n">
        <v>0</v>
      </c>
      <c r="O342" s="30" t="s">
        <v>55</v>
      </c>
      <c r="P342" s="30" t="s">
        <v>51</v>
      </c>
      <c r="Q342" s="30" t="s">
        <v>78</v>
      </c>
      <c r="R342" s="25" t="n">
        <f aca="false">L342*M342*(1-N342)</f>
        <v>7587</v>
      </c>
    </row>
    <row r="343" customFormat="false" ht="15" hidden="false" customHeight="false" outlineLevel="0" collapsed="false">
      <c r="A343" s="30" t="s">
        <v>514</v>
      </c>
      <c r="B343" s="44" t="n">
        <v>45420</v>
      </c>
      <c r="C343" s="19" t="n">
        <f aca="false">YEAR(B343)</f>
        <v>2024</v>
      </c>
      <c r="D343" s="19" t="n">
        <f aca="false">MONTH(B343)</f>
        <v>5</v>
      </c>
      <c r="E343" s="30" t="str">
        <f aca="false">INDEX(Lists!$K$2:$K$13,MATCH(D343,Lists!$J$2:$J$13,0))</f>
        <v>مايو</v>
      </c>
      <c r="F343" s="19" t="str">
        <f aca="false">"Q"&amp;ROUNDUP(D343/3,0)</f>
        <v>Q2</v>
      </c>
      <c r="G343" s="30" t="str">
        <f aca="false">INDEX(Lists!$N$2:$N$8,MATCH(WEEKDAY(B343,2),Lists!$M$2:$M$8,0))</f>
        <v>الأربعاء</v>
      </c>
      <c r="H343" s="30" t="s">
        <v>57</v>
      </c>
      <c r="I343" s="19" t="str">
        <f aca="false">INDEX(Lists!$B$2:$B$6,MATCH(H343,Lists!$A$2:$A$6,0))</f>
        <v>المنطقة الغربية</v>
      </c>
      <c r="J343" s="30" t="s">
        <v>109</v>
      </c>
      <c r="K343" s="30" t="s">
        <v>110</v>
      </c>
      <c r="L343" s="31" t="n">
        <v>259</v>
      </c>
      <c r="M343" s="19" t="n">
        <v>1</v>
      </c>
      <c r="N343" s="32" t="n">
        <v>0</v>
      </c>
      <c r="O343" s="30" t="s">
        <v>48</v>
      </c>
      <c r="P343" s="30" t="s">
        <v>47</v>
      </c>
      <c r="Q343" s="30" t="s">
        <v>92</v>
      </c>
      <c r="R343" s="25" t="n">
        <f aca="false">L343*M343*(1-N343)</f>
        <v>259</v>
      </c>
    </row>
    <row r="344" customFormat="false" ht="15" hidden="false" customHeight="false" outlineLevel="0" collapsed="false">
      <c r="A344" s="30" t="s">
        <v>515</v>
      </c>
      <c r="B344" s="44" t="n">
        <v>45420</v>
      </c>
      <c r="C344" s="19" t="n">
        <f aca="false">YEAR(B344)</f>
        <v>2024</v>
      </c>
      <c r="D344" s="19" t="n">
        <f aca="false">MONTH(B344)</f>
        <v>5</v>
      </c>
      <c r="E344" s="30" t="str">
        <f aca="false">INDEX(Lists!$K$2:$K$13,MATCH(D344,Lists!$J$2:$J$13,0))</f>
        <v>مايو</v>
      </c>
      <c r="F344" s="19" t="str">
        <f aca="false">"Q"&amp;ROUNDUP(D344/3,0)</f>
        <v>Q2</v>
      </c>
      <c r="G344" s="30" t="str">
        <f aca="false">INDEX(Lists!$N$2:$N$8,MATCH(WEEKDAY(B344,2),Lists!$M$2:$M$8,0))</f>
        <v>الأربعاء</v>
      </c>
      <c r="H344" s="30" t="s">
        <v>46</v>
      </c>
      <c r="I344" s="19" t="str">
        <f aca="false">INDEX(Lists!$B$2:$B$6,MATCH(H344,Lists!$A$2:$A$6,0))</f>
        <v>المنطقة الوسطى</v>
      </c>
      <c r="J344" s="30" t="s">
        <v>113</v>
      </c>
      <c r="K344" s="30" t="s">
        <v>95</v>
      </c>
      <c r="L344" s="31" t="n">
        <v>829</v>
      </c>
      <c r="M344" s="19" t="n">
        <v>2</v>
      </c>
      <c r="N344" s="32" t="n">
        <v>0</v>
      </c>
      <c r="O344" s="30" t="s">
        <v>52</v>
      </c>
      <c r="P344" s="30" t="s">
        <v>47</v>
      </c>
      <c r="Q344" s="30" t="s">
        <v>84</v>
      </c>
      <c r="R344" s="25" t="n">
        <f aca="false">L344*M344*(1-N344)</f>
        <v>1658</v>
      </c>
    </row>
    <row r="345" customFormat="false" ht="15" hidden="false" customHeight="false" outlineLevel="0" collapsed="false">
      <c r="A345" s="30" t="s">
        <v>516</v>
      </c>
      <c r="B345" s="44" t="n">
        <v>45420</v>
      </c>
      <c r="C345" s="19" t="n">
        <f aca="false">YEAR(B345)</f>
        <v>2024</v>
      </c>
      <c r="D345" s="19" t="n">
        <f aca="false">MONTH(B345)</f>
        <v>5</v>
      </c>
      <c r="E345" s="30" t="str">
        <f aca="false">INDEX(Lists!$K$2:$K$13,MATCH(D345,Lists!$J$2:$J$13,0))</f>
        <v>مايو</v>
      </c>
      <c r="F345" s="19" t="str">
        <f aca="false">"Q"&amp;ROUNDUP(D345/3,0)</f>
        <v>Q2</v>
      </c>
      <c r="G345" s="30" t="str">
        <f aca="false">INDEX(Lists!$N$2:$N$8,MATCH(WEEKDAY(B345,2),Lists!$M$2:$M$8,0))</f>
        <v>الأربعاء</v>
      </c>
      <c r="H345" s="30" t="s">
        <v>60</v>
      </c>
      <c r="I345" s="19" t="str">
        <f aca="false">INDEX(Lists!$B$2:$B$6,MATCH(H345,Lists!$A$2:$A$6,0))</f>
        <v>المنطقة الغربية</v>
      </c>
      <c r="J345" s="30" t="s">
        <v>105</v>
      </c>
      <c r="K345" s="30" t="s">
        <v>82</v>
      </c>
      <c r="L345" s="31" t="n">
        <v>3079</v>
      </c>
      <c r="M345" s="19" t="n">
        <v>1</v>
      </c>
      <c r="N345" s="32" t="n">
        <v>0</v>
      </c>
      <c r="O345" s="30" t="s">
        <v>48</v>
      </c>
      <c r="P345" s="30" t="s">
        <v>47</v>
      </c>
      <c r="Q345" s="30" t="s">
        <v>89</v>
      </c>
      <c r="R345" s="25" t="n">
        <f aca="false">L345*M345*(1-N345)</f>
        <v>3079</v>
      </c>
    </row>
    <row r="346" customFormat="false" ht="15" hidden="false" customHeight="false" outlineLevel="0" collapsed="false">
      <c r="A346" s="30" t="s">
        <v>517</v>
      </c>
      <c r="B346" s="44" t="n">
        <v>45421</v>
      </c>
      <c r="C346" s="19" t="n">
        <f aca="false">YEAR(B346)</f>
        <v>2024</v>
      </c>
      <c r="D346" s="19" t="n">
        <f aca="false">MONTH(B346)</f>
        <v>5</v>
      </c>
      <c r="E346" s="30" t="str">
        <f aca="false">INDEX(Lists!$K$2:$K$13,MATCH(D346,Lists!$J$2:$J$13,0))</f>
        <v>مايو</v>
      </c>
      <c r="F346" s="19" t="str">
        <f aca="false">"Q"&amp;ROUNDUP(D346/3,0)</f>
        <v>Q2</v>
      </c>
      <c r="G346" s="30" t="str">
        <f aca="false">INDEX(Lists!$N$2:$N$8,MATCH(WEEKDAY(B346,2),Lists!$M$2:$M$8,0))</f>
        <v>الخميس</v>
      </c>
      <c r="H346" s="30" t="s">
        <v>54</v>
      </c>
      <c r="I346" s="19" t="str">
        <f aca="false">INDEX(Lists!$B$2:$B$6,MATCH(H346,Lists!$A$2:$A$6,0))</f>
        <v>المنطقة الشرقية</v>
      </c>
      <c r="J346" s="30" t="s">
        <v>113</v>
      </c>
      <c r="K346" s="30" t="s">
        <v>121</v>
      </c>
      <c r="L346" s="31" t="n">
        <v>569</v>
      </c>
      <c r="M346" s="19" t="n">
        <v>2</v>
      </c>
      <c r="N346" s="32" t="n">
        <v>0.05</v>
      </c>
      <c r="O346" s="30" t="s">
        <v>48</v>
      </c>
      <c r="P346" s="30" t="s">
        <v>51</v>
      </c>
      <c r="Q346" s="30" t="s">
        <v>86</v>
      </c>
      <c r="R346" s="25" t="n">
        <f aca="false">L346*M346*(1-N346)</f>
        <v>1081.1</v>
      </c>
    </row>
    <row r="347" customFormat="false" ht="15" hidden="false" customHeight="false" outlineLevel="0" collapsed="false">
      <c r="A347" s="30" t="s">
        <v>518</v>
      </c>
      <c r="B347" s="44" t="n">
        <v>45421</v>
      </c>
      <c r="C347" s="19" t="n">
        <f aca="false">YEAR(B347)</f>
        <v>2024</v>
      </c>
      <c r="D347" s="19" t="n">
        <f aca="false">MONTH(B347)</f>
        <v>5</v>
      </c>
      <c r="E347" s="30" t="str">
        <f aca="false">INDEX(Lists!$K$2:$K$13,MATCH(D347,Lists!$J$2:$J$13,0))</f>
        <v>مايو</v>
      </c>
      <c r="F347" s="19" t="str">
        <f aca="false">"Q"&amp;ROUNDUP(D347/3,0)</f>
        <v>Q2</v>
      </c>
      <c r="G347" s="30" t="str">
        <f aca="false">INDEX(Lists!$N$2:$N$8,MATCH(WEEKDAY(B347,2),Lists!$M$2:$M$8,0))</f>
        <v>الخميس</v>
      </c>
      <c r="H347" s="30" t="s">
        <v>46</v>
      </c>
      <c r="I347" s="19" t="str">
        <f aca="false">INDEX(Lists!$B$2:$B$6,MATCH(H347,Lists!$A$2:$A$6,0))</f>
        <v>المنطقة الوسطى</v>
      </c>
      <c r="J347" s="30" t="s">
        <v>107</v>
      </c>
      <c r="K347" s="30" t="s">
        <v>184</v>
      </c>
      <c r="L347" s="31" t="n">
        <v>3919</v>
      </c>
      <c r="M347" s="19" t="n">
        <v>1</v>
      </c>
      <c r="N347" s="32" t="n">
        <v>0</v>
      </c>
      <c r="O347" s="30" t="s">
        <v>55</v>
      </c>
      <c r="P347" s="30" t="s">
        <v>47</v>
      </c>
      <c r="Q347" s="30" t="s">
        <v>96</v>
      </c>
      <c r="R347" s="25" t="n">
        <f aca="false">L347*M347*(1-N347)</f>
        <v>3919</v>
      </c>
    </row>
    <row r="348" customFormat="false" ht="15" hidden="false" customHeight="false" outlineLevel="0" collapsed="false">
      <c r="A348" s="30" t="s">
        <v>519</v>
      </c>
      <c r="B348" s="44" t="n">
        <v>45421</v>
      </c>
      <c r="C348" s="19" t="n">
        <f aca="false">YEAR(B348)</f>
        <v>2024</v>
      </c>
      <c r="D348" s="19" t="n">
        <f aca="false">MONTH(B348)</f>
        <v>5</v>
      </c>
      <c r="E348" s="30" t="str">
        <f aca="false">INDEX(Lists!$K$2:$K$13,MATCH(D348,Lists!$J$2:$J$13,0))</f>
        <v>مايو</v>
      </c>
      <c r="F348" s="19" t="str">
        <f aca="false">"Q"&amp;ROUNDUP(D348/3,0)</f>
        <v>Q2</v>
      </c>
      <c r="G348" s="30" t="str">
        <f aca="false">INDEX(Lists!$N$2:$N$8,MATCH(WEEKDAY(B348,2),Lists!$M$2:$M$8,0))</f>
        <v>الخميس</v>
      </c>
      <c r="H348" s="30" t="s">
        <v>50</v>
      </c>
      <c r="I348" s="19" t="str">
        <f aca="false">INDEX(Lists!$B$2:$B$6,MATCH(H348,Lists!$A$2:$A$6,0))</f>
        <v>المنطقة الغربية</v>
      </c>
      <c r="J348" s="30" t="s">
        <v>109</v>
      </c>
      <c r="K348" s="30" t="s">
        <v>110</v>
      </c>
      <c r="L348" s="31" t="n">
        <v>149</v>
      </c>
      <c r="M348" s="19" t="n">
        <v>10</v>
      </c>
      <c r="N348" s="32" t="n">
        <v>0</v>
      </c>
      <c r="O348" s="30" t="s">
        <v>52</v>
      </c>
      <c r="P348" s="30" t="s">
        <v>51</v>
      </c>
      <c r="Q348" s="30" t="s">
        <v>94</v>
      </c>
      <c r="R348" s="25" t="n">
        <f aca="false">L348*M348*(1-N348)</f>
        <v>1490</v>
      </c>
    </row>
    <row r="349" customFormat="false" ht="15" hidden="false" customHeight="false" outlineLevel="0" collapsed="false">
      <c r="A349" s="30" t="s">
        <v>520</v>
      </c>
      <c r="B349" s="44" t="n">
        <v>45422</v>
      </c>
      <c r="C349" s="19" t="n">
        <f aca="false">YEAR(B349)</f>
        <v>2024</v>
      </c>
      <c r="D349" s="19" t="n">
        <f aca="false">MONTH(B349)</f>
        <v>5</v>
      </c>
      <c r="E349" s="30" t="str">
        <f aca="false">INDEX(Lists!$K$2:$K$13,MATCH(D349,Lists!$J$2:$J$13,0))</f>
        <v>مايو</v>
      </c>
      <c r="F349" s="19" t="str">
        <f aca="false">"Q"&amp;ROUNDUP(D349/3,0)</f>
        <v>Q2</v>
      </c>
      <c r="G349" s="30" t="str">
        <f aca="false">INDEX(Lists!$N$2:$N$8,MATCH(WEEKDAY(B349,2),Lists!$M$2:$M$8,0))</f>
        <v>الجمعة</v>
      </c>
      <c r="H349" s="30" t="s">
        <v>57</v>
      </c>
      <c r="I349" s="19" t="str">
        <f aca="false">INDEX(Lists!$B$2:$B$6,MATCH(H349,Lists!$A$2:$A$6,0))</f>
        <v>المنطقة الغربية</v>
      </c>
      <c r="J349" s="30" t="s">
        <v>109</v>
      </c>
      <c r="K349" s="30" t="s">
        <v>93</v>
      </c>
      <c r="L349" s="31" t="n">
        <v>299</v>
      </c>
      <c r="M349" s="19" t="n">
        <v>1</v>
      </c>
      <c r="N349" s="32" t="n">
        <v>0</v>
      </c>
      <c r="O349" s="30" t="s">
        <v>48</v>
      </c>
      <c r="P349" s="30" t="s">
        <v>47</v>
      </c>
      <c r="Q349" s="30" t="s">
        <v>94</v>
      </c>
      <c r="R349" s="25" t="n">
        <f aca="false">L349*M349*(1-N349)</f>
        <v>299</v>
      </c>
    </row>
    <row r="350" customFormat="false" ht="15" hidden="false" customHeight="false" outlineLevel="0" collapsed="false">
      <c r="A350" s="30" t="s">
        <v>521</v>
      </c>
      <c r="B350" s="44" t="n">
        <v>45422</v>
      </c>
      <c r="C350" s="19" t="n">
        <f aca="false">YEAR(B350)</f>
        <v>2024</v>
      </c>
      <c r="D350" s="19" t="n">
        <f aca="false">MONTH(B350)</f>
        <v>5</v>
      </c>
      <c r="E350" s="30" t="str">
        <f aca="false">INDEX(Lists!$K$2:$K$13,MATCH(D350,Lists!$J$2:$J$13,0))</f>
        <v>مايو</v>
      </c>
      <c r="F350" s="19" t="str">
        <f aca="false">"Q"&amp;ROUNDUP(D350/3,0)</f>
        <v>Q2</v>
      </c>
      <c r="G350" s="30" t="str">
        <f aca="false">INDEX(Lists!$N$2:$N$8,MATCH(WEEKDAY(B350,2),Lists!$M$2:$M$8,0))</f>
        <v>الجمعة</v>
      </c>
      <c r="H350" s="30" t="s">
        <v>60</v>
      </c>
      <c r="I350" s="19" t="str">
        <f aca="false">INDEX(Lists!$B$2:$B$6,MATCH(H350,Lists!$A$2:$A$6,0))</f>
        <v>المنطقة الغربية</v>
      </c>
      <c r="J350" s="30" t="s">
        <v>113</v>
      </c>
      <c r="K350" s="30" t="s">
        <v>100</v>
      </c>
      <c r="L350" s="31" t="n">
        <v>749</v>
      </c>
      <c r="M350" s="19" t="n">
        <v>2</v>
      </c>
      <c r="N350" s="32" t="n">
        <v>0.05</v>
      </c>
      <c r="O350" s="30" t="s">
        <v>48</v>
      </c>
      <c r="P350" s="30" t="s">
        <v>51</v>
      </c>
      <c r="Q350" s="30" t="s">
        <v>86</v>
      </c>
      <c r="R350" s="25" t="n">
        <f aca="false">L350*M350*(1-N350)</f>
        <v>1423.1</v>
      </c>
    </row>
    <row r="351" customFormat="false" ht="15" hidden="false" customHeight="false" outlineLevel="0" collapsed="false">
      <c r="A351" s="30" t="s">
        <v>522</v>
      </c>
      <c r="B351" s="44" t="n">
        <v>45422</v>
      </c>
      <c r="C351" s="19" t="n">
        <f aca="false">YEAR(B351)</f>
        <v>2024</v>
      </c>
      <c r="D351" s="19" t="n">
        <f aca="false">MONTH(B351)</f>
        <v>5</v>
      </c>
      <c r="E351" s="30" t="str">
        <f aca="false">INDEX(Lists!$K$2:$K$13,MATCH(D351,Lists!$J$2:$J$13,0))</f>
        <v>مايو</v>
      </c>
      <c r="F351" s="19" t="str">
        <f aca="false">"Q"&amp;ROUNDUP(D351/3,0)</f>
        <v>Q2</v>
      </c>
      <c r="G351" s="30" t="str">
        <f aca="false">INDEX(Lists!$N$2:$N$8,MATCH(WEEKDAY(B351,2),Lists!$M$2:$M$8,0))</f>
        <v>الجمعة</v>
      </c>
      <c r="H351" s="30" t="s">
        <v>60</v>
      </c>
      <c r="I351" s="19" t="str">
        <f aca="false">INDEX(Lists!$B$2:$B$6,MATCH(H351,Lists!$A$2:$A$6,0))</f>
        <v>المنطقة الغربية</v>
      </c>
      <c r="J351" s="30" t="s">
        <v>105</v>
      </c>
      <c r="K351" s="30" t="s">
        <v>82</v>
      </c>
      <c r="L351" s="31" t="n">
        <v>2499</v>
      </c>
      <c r="M351" s="19" t="n">
        <v>1</v>
      </c>
      <c r="N351" s="32" t="n">
        <v>0</v>
      </c>
      <c r="O351" s="30" t="s">
        <v>55</v>
      </c>
      <c r="P351" s="30" t="s">
        <v>47</v>
      </c>
      <c r="Q351" s="30" t="s">
        <v>76</v>
      </c>
      <c r="R351" s="25" t="n">
        <f aca="false">L351*M351*(1-N351)</f>
        <v>2499</v>
      </c>
    </row>
    <row r="352" customFormat="false" ht="15" hidden="false" customHeight="false" outlineLevel="0" collapsed="false">
      <c r="A352" s="30" t="s">
        <v>523</v>
      </c>
      <c r="B352" s="44" t="n">
        <v>45422</v>
      </c>
      <c r="C352" s="19" t="n">
        <f aca="false">YEAR(B352)</f>
        <v>2024</v>
      </c>
      <c r="D352" s="19" t="n">
        <f aca="false">MONTH(B352)</f>
        <v>5</v>
      </c>
      <c r="E352" s="30" t="str">
        <f aca="false">INDEX(Lists!$K$2:$K$13,MATCH(D352,Lists!$J$2:$J$13,0))</f>
        <v>مايو</v>
      </c>
      <c r="F352" s="19" t="str">
        <f aca="false">"Q"&amp;ROUNDUP(D352/3,0)</f>
        <v>Q2</v>
      </c>
      <c r="G352" s="30" t="str">
        <f aca="false">INDEX(Lists!$N$2:$N$8,MATCH(WEEKDAY(B352,2),Lists!$M$2:$M$8,0))</f>
        <v>الجمعة</v>
      </c>
      <c r="H352" s="30" t="s">
        <v>54</v>
      </c>
      <c r="I352" s="19" t="str">
        <f aca="false">INDEX(Lists!$B$2:$B$6,MATCH(H352,Lists!$A$2:$A$6,0))</f>
        <v>المنطقة الشرقية</v>
      </c>
      <c r="J352" s="30" t="s">
        <v>105</v>
      </c>
      <c r="K352" s="30" t="s">
        <v>82</v>
      </c>
      <c r="L352" s="31" t="n">
        <v>1449</v>
      </c>
      <c r="M352" s="19" t="n">
        <v>2</v>
      </c>
      <c r="N352" s="32" t="n">
        <v>0.1</v>
      </c>
      <c r="O352" s="30" t="s">
        <v>48</v>
      </c>
      <c r="P352" s="30" t="s">
        <v>51</v>
      </c>
      <c r="Q352" s="30" t="s">
        <v>96</v>
      </c>
      <c r="R352" s="25" t="n">
        <f aca="false">L352*M352*(1-N352)</f>
        <v>2608.2</v>
      </c>
    </row>
    <row r="353" customFormat="false" ht="15" hidden="false" customHeight="false" outlineLevel="0" collapsed="false">
      <c r="A353" s="30" t="s">
        <v>524</v>
      </c>
      <c r="B353" s="44" t="n">
        <v>45422</v>
      </c>
      <c r="C353" s="19" t="n">
        <f aca="false">YEAR(B353)</f>
        <v>2024</v>
      </c>
      <c r="D353" s="19" t="n">
        <f aca="false">MONTH(B353)</f>
        <v>5</v>
      </c>
      <c r="E353" s="30" t="str">
        <f aca="false">INDEX(Lists!$K$2:$K$13,MATCH(D353,Lists!$J$2:$J$13,0))</f>
        <v>مايو</v>
      </c>
      <c r="F353" s="19" t="str">
        <f aca="false">"Q"&amp;ROUNDUP(D353/3,0)</f>
        <v>Q2</v>
      </c>
      <c r="G353" s="30" t="str">
        <f aca="false">INDEX(Lists!$N$2:$N$8,MATCH(WEEKDAY(B353,2),Lists!$M$2:$M$8,0))</f>
        <v>الجمعة</v>
      </c>
      <c r="H353" s="30" t="s">
        <v>46</v>
      </c>
      <c r="I353" s="19" t="str">
        <f aca="false">INDEX(Lists!$B$2:$B$6,MATCH(H353,Lists!$A$2:$A$6,0))</f>
        <v>المنطقة الوسطى</v>
      </c>
      <c r="J353" s="30" t="s">
        <v>105</v>
      </c>
      <c r="K353" s="30" t="s">
        <v>82</v>
      </c>
      <c r="L353" s="31" t="n">
        <v>3369</v>
      </c>
      <c r="M353" s="19" t="n">
        <v>1</v>
      </c>
      <c r="N353" s="32" t="n">
        <v>0</v>
      </c>
      <c r="O353" s="30" t="s">
        <v>52</v>
      </c>
      <c r="P353" s="30" t="s">
        <v>47</v>
      </c>
      <c r="Q353" s="30" t="s">
        <v>92</v>
      </c>
      <c r="R353" s="25" t="n">
        <f aca="false">L353*M353*(1-N353)</f>
        <v>3369</v>
      </c>
    </row>
    <row r="354" customFormat="false" ht="15" hidden="false" customHeight="false" outlineLevel="0" collapsed="false">
      <c r="A354" s="30" t="s">
        <v>525</v>
      </c>
      <c r="B354" s="44" t="n">
        <v>45422</v>
      </c>
      <c r="C354" s="19" t="n">
        <f aca="false">YEAR(B354)</f>
        <v>2024</v>
      </c>
      <c r="D354" s="19" t="n">
        <f aca="false">MONTH(B354)</f>
        <v>5</v>
      </c>
      <c r="E354" s="30" t="str">
        <f aca="false">INDEX(Lists!$K$2:$K$13,MATCH(D354,Lists!$J$2:$J$13,0))</f>
        <v>مايو</v>
      </c>
      <c r="F354" s="19" t="str">
        <f aca="false">"Q"&amp;ROUNDUP(D354/3,0)</f>
        <v>Q2</v>
      </c>
      <c r="G354" s="30" t="str">
        <f aca="false">INDEX(Lists!$N$2:$N$8,MATCH(WEEKDAY(B354,2),Lists!$M$2:$M$8,0))</f>
        <v>الجمعة</v>
      </c>
      <c r="H354" s="30" t="s">
        <v>46</v>
      </c>
      <c r="I354" s="19" t="str">
        <f aca="false">INDEX(Lists!$B$2:$B$6,MATCH(H354,Lists!$A$2:$A$6,0))</f>
        <v>المنطقة الوسطى</v>
      </c>
      <c r="J354" s="30" t="s">
        <v>109</v>
      </c>
      <c r="K354" s="30" t="s">
        <v>93</v>
      </c>
      <c r="L354" s="31" t="n">
        <v>79</v>
      </c>
      <c r="M354" s="19" t="n">
        <v>1</v>
      </c>
      <c r="N354" s="32" t="n">
        <v>0.05</v>
      </c>
      <c r="O354" s="30" t="s">
        <v>48</v>
      </c>
      <c r="P354" s="30" t="s">
        <v>47</v>
      </c>
      <c r="Q354" s="30" t="s">
        <v>99</v>
      </c>
      <c r="R354" s="25" t="n">
        <f aca="false">L354*M354*(1-N354)</f>
        <v>75.05</v>
      </c>
    </row>
    <row r="355" customFormat="false" ht="15" hidden="false" customHeight="false" outlineLevel="0" collapsed="false">
      <c r="A355" s="30" t="s">
        <v>526</v>
      </c>
      <c r="B355" s="44" t="n">
        <v>45423</v>
      </c>
      <c r="C355" s="19" t="n">
        <f aca="false">YEAR(B355)</f>
        <v>2024</v>
      </c>
      <c r="D355" s="19" t="n">
        <f aca="false">MONTH(B355)</f>
        <v>5</v>
      </c>
      <c r="E355" s="30" t="str">
        <f aca="false">INDEX(Lists!$K$2:$K$13,MATCH(D355,Lists!$J$2:$J$13,0))</f>
        <v>مايو</v>
      </c>
      <c r="F355" s="19" t="str">
        <f aca="false">"Q"&amp;ROUNDUP(D355/3,0)</f>
        <v>Q2</v>
      </c>
      <c r="G355" s="30" t="str">
        <f aca="false">INDEX(Lists!$N$2:$N$8,MATCH(WEEKDAY(B355,2),Lists!$M$2:$M$8,0))</f>
        <v>السبت</v>
      </c>
      <c r="H355" s="30" t="s">
        <v>46</v>
      </c>
      <c r="I355" s="19" t="str">
        <f aca="false">INDEX(Lists!$B$2:$B$6,MATCH(H355,Lists!$A$2:$A$6,0))</f>
        <v>المنطقة الوسطى</v>
      </c>
      <c r="J355" s="30" t="s">
        <v>109</v>
      </c>
      <c r="K355" s="30" t="s">
        <v>171</v>
      </c>
      <c r="L355" s="31" t="n">
        <v>39</v>
      </c>
      <c r="M355" s="19" t="n">
        <v>1</v>
      </c>
      <c r="N355" s="32" t="n">
        <v>0.15</v>
      </c>
      <c r="O355" s="30" t="s">
        <v>48</v>
      </c>
      <c r="P355" s="30" t="s">
        <v>47</v>
      </c>
      <c r="Q355" s="30" t="s">
        <v>92</v>
      </c>
      <c r="R355" s="25" t="n">
        <f aca="false">L355*M355*(1-N355)</f>
        <v>33.15</v>
      </c>
    </row>
    <row r="356" customFormat="false" ht="15" hidden="false" customHeight="false" outlineLevel="0" collapsed="false">
      <c r="A356" s="30" t="s">
        <v>527</v>
      </c>
      <c r="B356" s="44" t="n">
        <v>45423</v>
      </c>
      <c r="C356" s="19" t="n">
        <f aca="false">YEAR(B356)</f>
        <v>2024</v>
      </c>
      <c r="D356" s="19" t="n">
        <f aca="false">MONTH(B356)</f>
        <v>5</v>
      </c>
      <c r="E356" s="30" t="str">
        <f aca="false">INDEX(Lists!$K$2:$K$13,MATCH(D356,Lists!$J$2:$J$13,0))</f>
        <v>مايو</v>
      </c>
      <c r="F356" s="19" t="str">
        <f aca="false">"Q"&amp;ROUNDUP(D356/3,0)</f>
        <v>Q2</v>
      </c>
      <c r="G356" s="30" t="str">
        <f aca="false">INDEX(Lists!$N$2:$N$8,MATCH(WEEKDAY(B356,2),Lists!$M$2:$M$8,0))</f>
        <v>السبت</v>
      </c>
      <c r="H356" s="30" t="s">
        <v>46</v>
      </c>
      <c r="I356" s="19" t="str">
        <f aca="false">INDEX(Lists!$B$2:$B$6,MATCH(H356,Lists!$A$2:$A$6,0))</f>
        <v>المنطقة الوسطى</v>
      </c>
      <c r="J356" s="30" t="s">
        <v>107</v>
      </c>
      <c r="K356" s="30" t="s">
        <v>184</v>
      </c>
      <c r="L356" s="31" t="n">
        <v>6799</v>
      </c>
      <c r="M356" s="19" t="n">
        <v>3</v>
      </c>
      <c r="N356" s="32" t="n">
        <v>0</v>
      </c>
      <c r="O356" s="30" t="s">
        <v>55</v>
      </c>
      <c r="P356" s="30" t="s">
        <v>51</v>
      </c>
      <c r="Q356" s="30" t="s">
        <v>76</v>
      </c>
      <c r="R356" s="25" t="n">
        <f aca="false">L356*M356*(1-N356)</f>
        <v>20397</v>
      </c>
    </row>
    <row r="357" customFormat="false" ht="15" hidden="false" customHeight="false" outlineLevel="0" collapsed="false">
      <c r="A357" s="30" t="s">
        <v>528</v>
      </c>
      <c r="B357" s="44" t="n">
        <v>45423</v>
      </c>
      <c r="C357" s="19" t="n">
        <f aca="false">YEAR(B357)</f>
        <v>2024</v>
      </c>
      <c r="D357" s="19" t="n">
        <f aca="false">MONTH(B357)</f>
        <v>5</v>
      </c>
      <c r="E357" s="30" t="str">
        <f aca="false">INDEX(Lists!$K$2:$K$13,MATCH(D357,Lists!$J$2:$J$13,0))</f>
        <v>مايو</v>
      </c>
      <c r="F357" s="19" t="str">
        <f aca="false">"Q"&amp;ROUNDUP(D357/3,0)</f>
        <v>Q2</v>
      </c>
      <c r="G357" s="30" t="str">
        <f aca="false">INDEX(Lists!$N$2:$N$8,MATCH(WEEKDAY(B357,2),Lists!$M$2:$M$8,0))</f>
        <v>السبت</v>
      </c>
      <c r="H357" s="30" t="s">
        <v>60</v>
      </c>
      <c r="I357" s="19" t="str">
        <f aca="false">INDEX(Lists!$B$2:$B$6,MATCH(H357,Lists!$A$2:$A$6,0))</f>
        <v>المنطقة الغربية</v>
      </c>
      <c r="J357" s="30" t="s">
        <v>109</v>
      </c>
      <c r="K357" s="30" t="s">
        <v>171</v>
      </c>
      <c r="L357" s="31" t="n">
        <v>39</v>
      </c>
      <c r="M357" s="19" t="n">
        <v>1</v>
      </c>
      <c r="N357" s="32" t="n">
        <v>0</v>
      </c>
      <c r="O357" s="30" t="s">
        <v>48</v>
      </c>
      <c r="P357" s="30" t="s">
        <v>47</v>
      </c>
      <c r="Q357" s="30" t="s">
        <v>99</v>
      </c>
      <c r="R357" s="25" t="n">
        <f aca="false">L357*M357*(1-N357)</f>
        <v>39</v>
      </c>
    </row>
    <row r="358" customFormat="false" ht="15" hidden="false" customHeight="false" outlineLevel="0" collapsed="false">
      <c r="A358" s="30" t="s">
        <v>529</v>
      </c>
      <c r="B358" s="44" t="n">
        <v>45425</v>
      </c>
      <c r="C358" s="19" t="n">
        <f aca="false">YEAR(B358)</f>
        <v>2024</v>
      </c>
      <c r="D358" s="19" t="n">
        <f aca="false">MONTH(B358)</f>
        <v>5</v>
      </c>
      <c r="E358" s="30" t="str">
        <f aca="false">INDEX(Lists!$K$2:$K$13,MATCH(D358,Lists!$J$2:$J$13,0))</f>
        <v>مايو</v>
      </c>
      <c r="F358" s="19" t="str">
        <f aca="false">"Q"&amp;ROUNDUP(D358/3,0)</f>
        <v>Q2</v>
      </c>
      <c r="G358" s="30" t="str">
        <f aca="false">INDEX(Lists!$N$2:$N$8,MATCH(WEEKDAY(B358,2),Lists!$M$2:$M$8,0))</f>
        <v>الإثنين</v>
      </c>
      <c r="H358" s="30" t="s">
        <v>46</v>
      </c>
      <c r="I358" s="19" t="str">
        <f aca="false">INDEX(Lists!$B$2:$B$6,MATCH(H358,Lists!$A$2:$A$6,0))</f>
        <v>المنطقة الوسطى</v>
      </c>
      <c r="J358" s="30" t="s">
        <v>105</v>
      </c>
      <c r="K358" s="30" t="s">
        <v>179</v>
      </c>
      <c r="L358" s="31" t="n">
        <v>2159</v>
      </c>
      <c r="M358" s="19" t="n">
        <v>2</v>
      </c>
      <c r="N358" s="32" t="n">
        <v>0.2</v>
      </c>
      <c r="O358" s="30" t="s">
        <v>58</v>
      </c>
      <c r="P358" s="30" t="s">
        <v>47</v>
      </c>
      <c r="Q358" s="30" t="s">
        <v>76</v>
      </c>
      <c r="R358" s="25" t="n">
        <f aca="false">L358*M358*(1-N358)</f>
        <v>3454.4</v>
      </c>
    </row>
    <row r="359" customFormat="false" ht="15" hidden="false" customHeight="false" outlineLevel="0" collapsed="false">
      <c r="A359" s="30" t="s">
        <v>530</v>
      </c>
      <c r="B359" s="44" t="n">
        <v>45425</v>
      </c>
      <c r="C359" s="19" t="n">
        <f aca="false">YEAR(B359)</f>
        <v>2024</v>
      </c>
      <c r="D359" s="19" t="n">
        <f aca="false">MONTH(B359)</f>
        <v>5</v>
      </c>
      <c r="E359" s="30" t="str">
        <f aca="false">INDEX(Lists!$K$2:$K$13,MATCH(D359,Lists!$J$2:$J$13,0))</f>
        <v>مايو</v>
      </c>
      <c r="F359" s="19" t="str">
        <f aca="false">"Q"&amp;ROUNDUP(D359/3,0)</f>
        <v>Q2</v>
      </c>
      <c r="G359" s="30" t="str">
        <f aca="false">INDEX(Lists!$N$2:$N$8,MATCH(WEEKDAY(B359,2),Lists!$M$2:$M$8,0))</f>
        <v>الإثنين</v>
      </c>
      <c r="H359" s="30" t="s">
        <v>57</v>
      </c>
      <c r="I359" s="19" t="str">
        <f aca="false">INDEX(Lists!$B$2:$B$6,MATCH(H359,Lists!$A$2:$A$6,0))</f>
        <v>المنطقة الغربية</v>
      </c>
      <c r="J359" s="30" t="s">
        <v>105</v>
      </c>
      <c r="K359" s="30" t="s">
        <v>82</v>
      </c>
      <c r="L359" s="31" t="n">
        <v>1059</v>
      </c>
      <c r="M359" s="19" t="n">
        <v>3</v>
      </c>
      <c r="N359" s="32" t="n">
        <v>0.05</v>
      </c>
      <c r="O359" s="30" t="s">
        <v>48</v>
      </c>
      <c r="P359" s="30" t="s">
        <v>47</v>
      </c>
      <c r="Q359" s="30" t="s">
        <v>92</v>
      </c>
      <c r="R359" s="25" t="n">
        <f aca="false">L359*M359*(1-N359)</f>
        <v>3018.15</v>
      </c>
    </row>
    <row r="360" customFormat="false" ht="15" hidden="false" customHeight="false" outlineLevel="0" collapsed="false">
      <c r="A360" s="30" t="s">
        <v>531</v>
      </c>
      <c r="B360" s="44" t="n">
        <v>45425</v>
      </c>
      <c r="C360" s="19" t="n">
        <f aca="false">YEAR(B360)</f>
        <v>2024</v>
      </c>
      <c r="D360" s="19" t="n">
        <f aca="false">MONTH(B360)</f>
        <v>5</v>
      </c>
      <c r="E360" s="30" t="str">
        <f aca="false">INDEX(Lists!$K$2:$K$13,MATCH(D360,Lists!$J$2:$J$13,0))</f>
        <v>مايو</v>
      </c>
      <c r="F360" s="19" t="str">
        <f aca="false">"Q"&amp;ROUNDUP(D360/3,0)</f>
        <v>Q2</v>
      </c>
      <c r="G360" s="30" t="str">
        <f aca="false">INDEX(Lists!$N$2:$N$8,MATCH(WEEKDAY(B360,2),Lists!$M$2:$M$8,0))</f>
        <v>الإثنين</v>
      </c>
      <c r="H360" s="30" t="s">
        <v>50</v>
      </c>
      <c r="I360" s="19" t="str">
        <f aca="false">INDEX(Lists!$B$2:$B$6,MATCH(H360,Lists!$A$2:$A$6,0))</f>
        <v>المنطقة الغربية</v>
      </c>
      <c r="J360" s="30" t="s">
        <v>109</v>
      </c>
      <c r="K360" s="30" t="s">
        <v>93</v>
      </c>
      <c r="L360" s="31" t="n">
        <v>189</v>
      </c>
      <c r="M360" s="19" t="n">
        <v>1</v>
      </c>
      <c r="N360" s="32" t="n">
        <v>0.1</v>
      </c>
      <c r="O360" s="30" t="s">
        <v>55</v>
      </c>
      <c r="P360" s="30" t="s">
        <v>47</v>
      </c>
      <c r="Q360" s="30" t="s">
        <v>86</v>
      </c>
      <c r="R360" s="25" t="n">
        <f aca="false">L360*M360*(1-N360)</f>
        <v>170.1</v>
      </c>
    </row>
    <row r="361" customFormat="false" ht="15" hidden="false" customHeight="false" outlineLevel="0" collapsed="false">
      <c r="A361" s="30" t="s">
        <v>532</v>
      </c>
      <c r="B361" s="44" t="n">
        <v>45425</v>
      </c>
      <c r="C361" s="19" t="n">
        <f aca="false">YEAR(B361)</f>
        <v>2024</v>
      </c>
      <c r="D361" s="19" t="n">
        <f aca="false">MONTH(B361)</f>
        <v>5</v>
      </c>
      <c r="E361" s="30" t="str">
        <f aca="false">INDEX(Lists!$K$2:$K$13,MATCH(D361,Lists!$J$2:$J$13,0))</f>
        <v>مايو</v>
      </c>
      <c r="F361" s="19" t="str">
        <f aca="false">"Q"&amp;ROUNDUP(D361/3,0)</f>
        <v>Q2</v>
      </c>
      <c r="G361" s="30" t="str">
        <f aca="false">INDEX(Lists!$N$2:$N$8,MATCH(WEEKDAY(B361,2),Lists!$M$2:$M$8,0))</f>
        <v>الإثنين</v>
      </c>
      <c r="H361" s="30" t="s">
        <v>54</v>
      </c>
      <c r="I361" s="19" t="str">
        <f aca="false">INDEX(Lists!$B$2:$B$6,MATCH(H361,Lists!$A$2:$A$6,0))</f>
        <v>المنطقة الشرقية</v>
      </c>
      <c r="J361" s="30" t="s">
        <v>107</v>
      </c>
      <c r="K361" s="30" t="s">
        <v>115</v>
      </c>
      <c r="L361" s="31" t="n">
        <v>6109</v>
      </c>
      <c r="M361" s="19" t="n">
        <v>1</v>
      </c>
      <c r="N361" s="32" t="n">
        <v>0.15</v>
      </c>
      <c r="O361" s="30" t="s">
        <v>48</v>
      </c>
      <c r="P361" s="30" t="s">
        <v>47</v>
      </c>
      <c r="Q361" s="30" t="s">
        <v>86</v>
      </c>
      <c r="R361" s="25" t="n">
        <f aca="false">L361*M361*(1-N361)</f>
        <v>5192.65</v>
      </c>
    </row>
    <row r="362" customFormat="false" ht="15" hidden="false" customHeight="false" outlineLevel="0" collapsed="false">
      <c r="A362" s="30" t="s">
        <v>533</v>
      </c>
      <c r="B362" s="44" t="n">
        <v>45426</v>
      </c>
      <c r="C362" s="19" t="n">
        <f aca="false">YEAR(B362)</f>
        <v>2024</v>
      </c>
      <c r="D362" s="19" t="n">
        <f aca="false">MONTH(B362)</f>
        <v>5</v>
      </c>
      <c r="E362" s="30" t="str">
        <f aca="false">INDEX(Lists!$K$2:$K$13,MATCH(D362,Lists!$J$2:$J$13,0))</f>
        <v>مايو</v>
      </c>
      <c r="F362" s="19" t="str">
        <f aca="false">"Q"&amp;ROUNDUP(D362/3,0)</f>
        <v>Q2</v>
      </c>
      <c r="G362" s="30" t="str">
        <f aca="false">INDEX(Lists!$N$2:$N$8,MATCH(WEEKDAY(B362,2),Lists!$M$2:$M$8,0))</f>
        <v>الثلاثاء</v>
      </c>
      <c r="H362" s="30" t="s">
        <v>50</v>
      </c>
      <c r="I362" s="19" t="str">
        <f aca="false">INDEX(Lists!$B$2:$B$6,MATCH(H362,Lists!$A$2:$A$6,0))</f>
        <v>المنطقة الغربية</v>
      </c>
      <c r="J362" s="30" t="s">
        <v>105</v>
      </c>
      <c r="K362" s="30" t="s">
        <v>82</v>
      </c>
      <c r="L362" s="31" t="n">
        <v>1409</v>
      </c>
      <c r="M362" s="19" t="n">
        <v>1</v>
      </c>
      <c r="N362" s="32" t="n">
        <v>0</v>
      </c>
      <c r="O362" s="30" t="s">
        <v>48</v>
      </c>
      <c r="P362" s="30" t="s">
        <v>47</v>
      </c>
      <c r="Q362" s="30" t="s">
        <v>96</v>
      </c>
      <c r="R362" s="25" t="n">
        <f aca="false">L362*M362*(1-N362)</f>
        <v>1409</v>
      </c>
    </row>
    <row r="363" customFormat="false" ht="15" hidden="false" customHeight="false" outlineLevel="0" collapsed="false">
      <c r="A363" s="30" t="s">
        <v>534</v>
      </c>
      <c r="B363" s="44" t="n">
        <v>45426</v>
      </c>
      <c r="C363" s="19" t="n">
        <f aca="false">YEAR(B363)</f>
        <v>2024</v>
      </c>
      <c r="D363" s="19" t="n">
        <f aca="false">MONTH(B363)</f>
        <v>5</v>
      </c>
      <c r="E363" s="30" t="str">
        <f aca="false">INDEX(Lists!$K$2:$K$13,MATCH(D363,Lists!$J$2:$J$13,0))</f>
        <v>مايو</v>
      </c>
      <c r="F363" s="19" t="str">
        <f aca="false">"Q"&amp;ROUNDUP(D363/3,0)</f>
        <v>Q2</v>
      </c>
      <c r="G363" s="30" t="str">
        <f aca="false">INDEX(Lists!$N$2:$N$8,MATCH(WEEKDAY(B363,2),Lists!$M$2:$M$8,0))</f>
        <v>الثلاثاء</v>
      </c>
      <c r="H363" s="30" t="s">
        <v>50</v>
      </c>
      <c r="I363" s="19" t="str">
        <f aca="false">INDEX(Lists!$B$2:$B$6,MATCH(H363,Lists!$A$2:$A$6,0))</f>
        <v>المنطقة الغربية</v>
      </c>
      <c r="J363" s="30" t="s">
        <v>109</v>
      </c>
      <c r="K363" s="30" t="s">
        <v>192</v>
      </c>
      <c r="L363" s="31" t="n">
        <v>79</v>
      </c>
      <c r="M363" s="19" t="n">
        <v>1</v>
      </c>
      <c r="N363" s="32" t="n">
        <v>0.1</v>
      </c>
      <c r="O363" s="30" t="s">
        <v>48</v>
      </c>
      <c r="P363" s="30" t="s">
        <v>47</v>
      </c>
      <c r="Q363" s="30" t="s">
        <v>84</v>
      </c>
      <c r="R363" s="25" t="n">
        <f aca="false">L363*M363*(1-N363)</f>
        <v>71.1</v>
      </c>
    </row>
    <row r="364" customFormat="false" ht="15" hidden="false" customHeight="false" outlineLevel="0" collapsed="false">
      <c r="A364" s="30" t="s">
        <v>535</v>
      </c>
      <c r="B364" s="44" t="n">
        <v>45426</v>
      </c>
      <c r="C364" s="19" t="n">
        <f aca="false">YEAR(B364)</f>
        <v>2024</v>
      </c>
      <c r="D364" s="19" t="n">
        <f aca="false">MONTH(B364)</f>
        <v>5</v>
      </c>
      <c r="E364" s="30" t="str">
        <f aca="false">INDEX(Lists!$K$2:$K$13,MATCH(D364,Lists!$J$2:$J$13,0))</f>
        <v>مايو</v>
      </c>
      <c r="F364" s="19" t="str">
        <f aca="false">"Q"&amp;ROUNDUP(D364/3,0)</f>
        <v>Q2</v>
      </c>
      <c r="G364" s="30" t="str">
        <f aca="false">INDEX(Lists!$N$2:$N$8,MATCH(WEEKDAY(B364,2),Lists!$M$2:$M$8,0))</f>
        <v>الثلاثاء</v>
      </c>
      <c r="H364" s="30" t="s">
        <v>54</v>
      </c>
      <c r="I364" s="19" t="str">
        <f aca="false">INDEX(Lists!$B$2:$B$6,MATCH(H364,Lists!$A$2:$A$6,0))</f>
        <v>المنطقة الشرقية</v>
      </c>
      <c r="J364" s="30" t="s">
        <v>107</v>
      </c>
      <c r="K364" s="30" t="s">
        <v>184</v>
      </c>
      <c r="L364" s="31" t="n">
        <v>2189</v>
      </c>
      <c r="M364" s="19" t="n">
        <v>2</v>
      </c>
      <c r="N364" s="32" t="n">
        <v>0</v>
      </c>
      <c r="O364" s="30" t="s">
        <v>52</v>
      </c>
      <c r="P364" s="30" t="s">
        <v>51</v>
      </c>
      <c r="Q364" s="30" t="s">
        <v>94</v>
      </c>
      <c r="R364" s="25" t="n">
        <f aca="false">L364*M364*(1-N364)</f>
        <v>4378</v>
      </c>
    </row>
    <row r="365" customFormat="false" ht="15" hidden="false" customHeight="false" outlineLevel="0" collapsed="false">
      <c r="A365" s="30" t="s">
        <v>536</v>
      </c>
      <c r="B365" s="44" t="n">
        <v>45426</v>
      </c>
      <c r="C365" s="19" t="n">
        <f aca="false">YEAR(B365)</f>
        <v>2024</v>
      </c>
      <c r="D365" s="19" t="n">
        <f aca="false">MONTH(B365)</f>
        <v>5</v>
      </c>
      <c r="E365" s="30" t="str">
        <f aca="false">INDEX(Lists!$K$2:$K$13,MATCH(D365,Lists!$J$2:$J$13,0))</f>
        <v>مايو</v>
      </c>
      <c r="F365" s="19" t="str">
        <f aca="false">"Q"&amp;ROUNDUP(D365/3,0)</f>
        <v>Q2</v>
      </c>
      <c r="G365" s="30" t="str">
        <f aca="false">INDEX(Lists!$N$2:$N$8,MATCH(WEEKDAY(B365,2),Lists!$M$2:$M$8,0))</f>
        <v>الثلاثاء</v>
      </c>
      <c r="H365" s="30" t="s">
        <v>54</v>
      </c>
      <c r="I365" s="19" t="str">
        <f aca="false">INDEX(Lists!$B$2:$B$6,MATCH(H365,Lists!$A$2:$A$6,0))</f>
        <v>المنطقة الشرقية</v>
      </c>
      <c r="J365" s="30" t="s">
        <v>105</v>
      </c>
      <c r="K365" s="30" t="s">
        <v>85</v>
      </c>
      <c r="L365" s="31" t="n">
        <v>2989</v>
      </c>
      <c r="M365" s="19" t="n">
        <v>6</v>
      </c>
      <c r="N365" s="32" t="n">
        <v>0.15</v>
      </c>
      <c r="O365" s="30" t="s">
        <v>58</v>
      </c>
      <c r="P365" s="30" t="s">
        <v>51</v>
      </c>
      <c r="Q365" s="30" t="s">
        <v>86</v>
      </c>
      <c r="R365" s="25" t="n">
        <f aca="false">L365*M365*(1-N365)</f>
        <v>15243.9</v>
      </c>
    </row>
    <row r="366" customFormat="false" ht="15" hidden="false" customHeight="false" outlineLevel="0" collapsed="false">
      <c r="A366" s="30" t="s">
        <v>537</v>
      </c>
      <c r="B366" s="44" t="n">
        <v>45427</v>
      </c>
      <c r="C366" s="19" t="n">
        <f aca="false">YEAR(B366)</f>
        <v>2024</v>
      </c>
      <c r="D366" s="19" t="n">
        <f aca="false">MONTH(B366)</f>
        <v>5</v>
      </c>
      <c r="E366" s="30" t="str">
        <f aca="false">INDEX(Lists!$K$2:$K$13,MATCH(D366,Lists!$J$2:$J$13,0))</f>
        <v>مايو</v>
      </c>
      <c r="F366" s="19" t="str">
        <f aca="false">"Q"&amp;ROUNDUP(D366/3,0)</f>
        <v>Q2</v>
      </c>
      <c r="G366" s="30" t="str">
        <f aca="false">INDEX(Lists!$N$2:$N$8,MATCH(WEEKDAY(B366,2),Lists!$M$2:$M$8,0))</f>
        <v>الأربعاء</v>
      </c>
      <c r="H366" s="30" t="s">
        <v>54</v>
      </c>
      <c r="I366" s="19" t="str">
        <f aca="false">INDEX(Lists!$B$2:$B$6,MATCH(H366,Lists!$A$2:$A$6,0))</f>
        <v>المنطقة الشرقية</v>
      </c>
      <c r="J366" s="30" t="s">
        <v>113</v>
      </c>
      <c r="K366" s="30" t="s">
        <v>95</v>
      </c>
      <c r="L366" s="31" t="n">
        <v>869</v>
      </c>
      <c r="M366" s="19" t="n">
        <v>1</v>
      </c>
      <c r="N366" s="32" t="n">
        <v>0</v>
      </c>
      <c r="O366" s="30" t="s">
        <v>58</v>
      </c>
      <c r="P366" s="30" t="s">
        <v>47</v>
      </c>
      <c r="Q366" s="30" t="s">
        <v>84</v>
      </c>
      <c r="R366" s="25" t="n">
        <f aca="false">L366*M366*(1-N366)</f>
        <v>869</v>
      </c>
    </row>
    <row r="367" customFormat="false" ht="15" hidden="false" customHeight="false" outlineLevel="0" collapsed="false">
      <c r="A367" s="30" t="s">
        <v>538</v>
      </c>
      <c r="B367" s="44" t="n">
        <v>45427</v>
      </c>
      <c r="C367" s="19" t="n">
        <f aca="false">YEAR(B367)</f>
        <v>2024</v>
      </c>
      <c r="D367" s="19" t="n">
        <f aca="false">MONTH(B367)</f>
        <v>5</v>
      </c>
      <c r="E367" s="30" t="str">
        <f aca="false">INDEX(Lists!$K$2:$K$13,MATCH(D367,Lists!$J$2:$J$13,0))</f>
        <v>مايو</v>
      </c>
      <c r="F367" s="19" t="str">
        <f aca="false">"Q"&amp;ROUNDUP(D367/3,0)</f>
        <v>Q2</v>
      </c>
      <c r="G367" s="30" t="str">
        <f aca="false">INDEX(Lists!$N$2:$N$8,MATCH(WEEKDAY(B367,2),Lists!$M$2:$M$8,0))</f>
        <v>الأربعاء</v>
      </c>
      <c r="H367" s="30" t="s">
        <v>46</v>
      </c>
      <c r="I367" s="19" t="str">
        <f aca="false">INDEX(Lists!$B$2:$B$6,MATCH(H367,Lists!$A$2:$A$6,0))</f>
        <v>المنطقة الوسطى</v>
      </c>
      <c r="J367" s="30" t="s">
        <v>105</v>
      </c>
      <c r="K367" s="30" t="s">
        <v>90</v>
      </c>
      <c r="L367" s="31" t="n">
        <v>4459</v>
      </c>
      <c r="M367" s="19" t="n">
        <v>2</v>
      </c>
      <c r="N367" s="32" t="n">
        <v>0</v>
      </c>
      <c r="O367" s="30" t="s">
        <v>52</v>
      </c>
      <c r="P367" s="30" t="s">
        <v>47</v>
      </c>
      <c r="Q367" s="30" t="s">
        <v>92</v>
      </c>
      <c r="R367" s="25" t="n">
        <f aca="false">L367*M367*(1-N367)</f>
        <v>8918</v>
      </c>
    </row>
    <row r="368" customFormat="false" ht="15" hidden="false" customHeight="false" outlineLevel="0" collapsed="false">
      <c r="A368" s="30" t="s">
        <v>539</v>
      </c>
      <c r="B368" s="44" t="n">
        <v>45427</v>
      </c>
      <c r="C368" s="19" t="n">
        <f aca="false">YEAR(B368)</f>
        <v>2024</v>
      </c>
      <c r="D368" s="19" t="n">
        <f aca="false">MONTH(B368)</f>
        <v>5</v>
      </c>
      <c r="E368" s="30" t="str">
        <f aca="false">INDEX(Lists!$K$2:$K$13,MATCH(D368,Lists!$J$2:$J$13,0))</f>
        <v>مايو</v>
      </c>
      <c r="F368" s="19" t="str">
        <f aca="false">"Q"&amp;ROUNDUP(D368/3,0)</f>
        <v>Q2</v>
      </c>
      <c r="G368" s="30" t="str">
        <f aca="false">INDEX(Lists!$N$2:$N$8,MATCH(WEEKDAY(B368,2),Lists!$M$2:$M$8,0))</f>
        <v>الأربعاء</v>
      </c>
      <c r="H368" s="30" t="s">
        <v>57</v>
      </c>
      <c r="I368" s="19" t="str">
        <f aca="false">INDEX(Lists!$B$2:$B$6,MATCH(H368,Lists!$A$2:$A$6,0))</f>
        <v>المنطقة الغربية</v>
      </c>
      <c r="J368" s="30" t="s">
        <v>105</v>
      </c>
      <c r="K368" s="30" t="s">
        <v>82</v>
      </c>
      <c r="L368" s="31" t="n">
        <v>2029</v>
      </c>
      <c r="M368" s="19" t="n">
        <v>1</v>
      </c>
      <c r="N368" s="32" t="n">
        <v>0.15</v>
      </c>
      <c r="O368" s="30" t="s">
        <v>48</v>
      </c>
      <c r="P368" s="30" t="s">
        <v>47</v>
      </c>
      <c r="Q368" s="30" t="s">
        <v>94</v>
      </c>
      <c r="R368" s="25" t="n">
        <f aca="false">L368*M368*(1-N368)</f>
        <v>1724.65</v>
      </c>
    </row>
    <row r="369" customFormat="false" ht="15" hidden="false" customHeight="false" outlineLevel="0" collapsed="false">
      <c r="A369" s="30" t="s">
        <v>540</v>
      </c>
      <c r="B369" s="44" t="n">
        <v>45427</v>
      </c>
      <c r="C369" s="19" t="n">
        <f aca="false">YEAR(B369)</f>
        <v>2024</v>
      </c>
      <c r="D369" s="19" t="n">
        <f aca="false">MONTH(B369)</f>
        <v>5</v>
      </c>
      <c r="E369" s="30" t="str">
        <f aca="false">INDEX(Lists!$K$2:$K$13,MATCH(D369,Lists!$J$2:$J$13,0))</f>
        <v>مايو</v>
      </c>
      <c r="F369" s="19" t="str">
        <f aca="false">"Q"&amp;ROUNDUP(D369/3,0)</f>
        <v>Q2</v>
      </c>
      <c r="G369" s="30" t="str">
        <f aca="false">INDEX(Lists!$N$2:$N$8,MATCH(WEEKDAY(B369,2),Lists!$M$2:$M$8,0))</f>
        <v>الأربعاء</v>
      </c>
      <c r="H369" s="30" t="s">
        <v>60</v>
      </c>
      <c r="I369" s="19" t="str">
        <f aca="false">INDEX(Lists!$B$2:$B$6,MATCH(H369,Lists!$A$2:$A$6,0))</f>
        <v>المنطقة الغربية</v>
      </c>
      <c r="J369" s="30" t="s">
        <v>113</v>
      </c>
      <c r="K369" s="30" t="s">
        <v>97</v>
      </c>
      <c r="L369" s="31" t="n">
        <v>339</v>
      </c>
      <c r="M369" s="19" t="n">
        <v>2</v>
      </c>
      <c r="N369" s="32" t="n">
        <v>0</v>
      </c>
      <c r="O369" s="30" t="s">
        <v>48</v>
      </c>
      <c r="P369" s="30" t="s">
        <v>47</v>
      </c>
      <c r="Q369" s="30" t="s">
        <v>86</v>
      </c>
      <c r="R369" s="25" t="n">
        <f aca="false">L369*M369*(1-N369)</f>
        <v>678</v>
      </c>
    </row>
    <row r="370" customFormat="false" ht="15" hidden="false" customHeight="false" outlineLevel="0" collapsed="false">
      <c r="A370" s="30" t="s">
        <v>541</v>
      </c>
      <c r="B370" s="44" t="n">
        <v>45427</v>
      </c>
      <c r="C370" s="19" t="n">
        <f aca="false">YEAR(B370)</f>
        <v>2024</v>
      </c>
      <c r="D370" s="19" t="n">
        <f aca="false">MONTH(B370)</f>
        <v>5</v>
      </c>
      <c r="E370" s="30" t="str">
        <f aca="false">INDEX(Lists!$K$2:$K$13,MATCH(D370,Lists!$J$2:$J$13,0))</f>
        <v>مايو</v>
      </c>
      <c r="F370" s="19" t="str">
        <f aca="false">"Q"&amp;ROUNDUP(D370/3,0)</f>
        <v>Q2</v>
      </c>
      <c r="G370" s="30" t="str">
        <f aca="false">INDEX(Lists!$N$2:$N$8,MATCH(WEEKDAY(B370,2),Lists!$M$2:$M$8,0))</f>
        <v>الأربعاء</v>
      </c>
      <c r="H370" s="30" t="s">
        <v>46</v>
      </c>
      <c r="I370" s="19" t="str">
        <f aca="false">INDEX(Lists!$B$2:$B$6,MATCH(H370,Lists!$A$2:$A$6,0))</f>
        <v>المنطقة الوسطى</v>
      </c>
      <c r="J370" s="30" t="s">
        <v>113</v>
      </c>
      <c r="K370" s="30" t="s">
        <v>121</v>
      </c>
      <c r="L370" s="31" t="n">
        <v>749</v>
      </c>
      <c r="M370" s="19" t="n">
        <v>8</v>
      </c>
      <c r="N370" s="32" t="n">
        <v>0</v>
      </c>
      <c r="O370" s="30" t="s">
        <v>48</v>
      </c>
      <c r="P370" s="30" t="s">
        <v>51</v>
      </c>
      <c r="Q370" s="30" t="s">
        <v>86</v>
      </c>
      <c r="R370" s="25" t="n">
        <f aca="false">L370*M370*(1-N370)</f>
        <v>5992</v>
      </c>
    </row>
    <row r="371" customFormat="false" ht="15" hidden="false" customHeight="false" outlineLevel="0" collapsed="false">
      <c r="A371" s="30" t="s">
        <v>542</v>
      </c>
      <c r="B371" s="44" t="n">
        <v>45427</v>
      </c>
      <c r="C371" s="19" t="n">
        <f aca="false">YEAR(B371)</f>
        <v>2024</v>
      </c>
      <c r="D371" s="19" t="n">
        <f aca="false">MONTH(B371)</f>
        <v>5</v>
      </c>
      <c r="E371" s="30" t="str">
        <f aca="false">INDEX(Lists!$K$2:$K$13,MATCH(D371,Lists!$J$2:$J$13,0))</f>
        <v>مايو</v>
      </c>
      <c r="F371" s="19" t="str">
        <f aca="false">"Q"&amp;ROUNDUP(D371/3,0)</f>
        <v>Q2</v>
      </c>
      <c r="G371" s="30" t="str">
        <f aca="false">INDEX(Lists!$N$2:$N$8,MATCH(WEEKDAY(B371,2),Lists!$M$2:$M$8,0))</f>
        <v>الأربعاء</v>
      </c>
      <c r="H371" s="30" t="s">
        <v>60</v>
      </c>
      <c r="I371" s="19" t="str">
        <f aca="false">INDEX(Lists!$B$2:$B$6,MATCH(H371,Lists!$A$2:$A$6,0))</f>
        <v>المنطقة الغربية</v>
      </c>
      <c r="J371" s="30" t="s">
        <v>105</v>
      </c>
      <c r="K371" s="30" t="s">
        <v>79</v>
      </c>
      <c r="L371" s="31" t="n">
        <v>2839</v>
      </c>
      <c r="M371" s="19" t="n">
        <v>1</v>
      </c>
      <c r="N371" s="32" t="n">
        <v>0</v>
      </c>
      <c r="O371" s="30" t="s">
        <v>58</v>
      </c>
      <c r="P371" s="30" t="s">
        <v>47</v>
      </c>
      <c r="Q371" s="30" t="s">
        <v>78</v>
      </c>
      <c r="R371" s="25" t="n">
        <f aca="false">L371*M371*(1-N371)</f>
        <v>2839</v>
      </c>
    </row>
    <row r="372" customFormat="false" ht="15" hidden="false" customHeight="false" outlineLevel="0" collapsed="false">
      <c r="A372" s="30" t="s">
        <v>543</v>
      </c>
      <c r="B372" s="44" t="n">
        <v>45428</v>
      </c>
      <c r="C372" s="19" t="n">
        <f aca="false">YEAR(B372)</f>
        <v>2024</v>
      </c>
      <c r="D372" s="19" t="n">
        <f aca="false">MONTH(B372)</f>
        <v>5</v>
      </c>
      <c r="E372" s="30" t="str">
        <f aca="false">INDEX(Lists!$K$2:$K$13,MATCH(D372,Lists!$J$2:$J$13,0))</f>
        <v>مايو</v>
      </c>
      <c r="F372" s="19" t="str">
        <f aca="false">"Q"&amp;ROUNDUP(D372/3,0)</f>
        <v>Q2</v>
      </c>
      <c r="G372" s="30" t="str">
        <f aca="false">INDEX(Lists!$N$2:$N$8,MATCH(WEEKDAY(B372,2),Lists!$M$2:$M$8,0))</f>
        <v>الخميس</v>
      </c>
      <c r="H372" s="30" t="s">
        <v>50</v>
      </c>
      <c r="I372" s="19" t="str">
        <f aca="false">INDEX(Lists!$B$2:$B$6,MATCH(H372,Lists!$A$2:$A$6,0))</f>
        <v>المنطقة الغربية</v>
      </c>
      <c r="J372" s="30" t="s">
        <v>109</v>
      </c>
      <c r="K372" s="30" t="s">
        <v>110</v>
      </c>
      <c r="L372" s="31" t="n">
        <v>179</v>
      </c>
      <c r="M372" s="19" t="n">
        <v>1</v>
      </c>
      <c r="N372" s="32" t="n">
        <v>0.05</v>
      </c>
      <c r="O372" s="30" t="s">
        <v>48</v>
      </c>
      <c r="P372" s="30" t="s">
        <v>47</v>
      </c>
      <c r="Q372" s="30" t="s">
        <v>94</v>
      </c>
      <c r="R372" s="25" t="n">
        <f aca="false">L372*M372*(1-N372)</f>
        <v>170.05</v>
      </c>
    </row>
    <row r="373" customFormat="false" ht="15" hidden="false" customHeight="false" outlineLevel="0" collapsed="false">
      <c r="A373" s="30" t="s">
        <v>544</v>
      </c>
      <c r="B373" s="44" t="n">
        <v>45429</v>
      </c>
      <c r="C373" s="19" t="n">
        <f aca="false">YEAR(B373)</f>
        <v>2024</v>
      </c>
      <c r="D373" s="19" t="n">
        <f aca="false">MONTH(B373)</f>
        <v>5</v>
      </c>
      <c r="E373" s="30" t="str">
        <f aca="false">INDEX(Lists!$K$2:$K$13,MATCH(D373,Lists!$J$2:$J$13,0))</f>
        <v>مايو</v>
      </c>
      <c r="F373" s="19" t="str">
        <f aca="false">"Q"&amp;ROUNDUP(D373/3,0)</f>
        <v>Q2</v>
      </c>
      <c r="G373" s="30" t="str">
        <f aca="false">INDEX(Lists!$N$2:$N$8,MATCH(WEEKDAY(B373,2),Lists!$M$2:$M$8,0))</f>
        <v>الجمعة</v>
      </c>
      <c r="H373" s="30" t="s">
        <v>50</v>
      </c>
      <c r="I373" s="19" t="str">
        <f aca="false">INDEX(Lists!$B$2:$B$6,MATCH(H373,Lists!$A$2:$A$6,0))</f>
        <v>المنطقة الغربية</v>
      </c>
      <c r="J373" s="30" t="s">
        <v>107</v>
      </c>
      <c r="K373" s="30" t="s">
        <v>115</v>
      </c>
      <c r="L373" s="31" t="n">
        <v>5109</v>
      </c>
      <c r="M373" s="19" t="n">
        <v>1</v>
      </c>
      <c r="N373" s="32" t="n">
        <v>0.1</v>
      </c>
      <c r="O373" s="30" t="s">
        <v>55</v>
      </c>
      <c r="P373" s="30" t="s">
        <v>47</v>
      </c>
      <c r="Q373" s="30" t="s">
        <v>89</v>
      </c>
      <c r="R373" s="25" t="n">
        <f aca="false">L373*M373*(1-N373)</f>
        <v>4598.1</v>
      </c>
    </row>
    <row r="374" customFormat="false" ht="15" hidden="false" customHeight="false" outlineLevel="0" collapsed="false">
      <c r="A374" s="30" t="s">
        <v>545</v>
      </c>
      <c r="B374" s="44" t="n">
        <v>45429</v>
      </c>
      <c r="C374" s="19" t="n">
        <f aca="false">YEAR(B374)</f>
        <v>2024</v>
      </c>
      <c r="D374" s="19" t="n">
        <f aca="false">MONTH(B374)</f>
        <v>5</v>
      </c>
      <c r="E374" s="30" t="str">
        <f aca="false">INDEX(Lists!$K$2:$K$13,MATCH(D374,Lists!$J$2:$J$13,0))</f>
        <v>مايو</v>
      </c>
      <c r="F374" s="19" t="str">
        <f aca="false">"Q"&amp;ROUNDUP(D374/3,0)</f>
        <v>Q2</v>
      </c>
      <c r="G374" s="30" t="str">
        <f aca="false">INDEX(Lists!$N$2:$N$8,MATCH(WEEKDAY(B374,2),Lists!$M$2:$M$8,0))</f>
        <v>الجمعة</v>
      </c>
      <c r="H374" s="30" t="s">
        <v>46</v>
      </c>
      <c r="I374" s="19" t="str">
        <f aca="false">INDEX(Lists!$B$2:$B$6,MATCH(H374,Lists!$A$2:$A$6,0))</f>
        <v>المنطقة الوسطى</v>
      </c>
      <c r="J374" s="30" t="s">
        <v>113</v>
      </c>
      <c r="K374" s="30" t="s">
        <v>97</v>
      </c>
      <c r="L374" s="31" t="n">
        <v>799</v>
      </c>
      <c r="M374" s="19" t="n">
        <v>1</v>
      </c>
      <c r="N374" s="32" t="n">
        <v>0.1</v>
      </c>
      <c r="O374" s="30" t="s">
        <v>52</v>
      </c>
      <c r="P374" s="30" t="s">
        <v>47</v>
      </c>
      <c r="Q374" s="30" t="s">
        <v>78</v>
      </c>
      <c r="R374" s="25" t="n">
        <f aca="false">L374*M374*(1-N374)</f>
        <v>719.1</v>
      </c>
    </row>
    <row r="375" customFormat="false" ht="15" hidden="false" customHeight="false" outlineLevel="0" collapsed="false">
      <c r="A375" s="30" t="s">
        <v>546</v>
      </c>
      <c r="B375" s="44" t="n">
        <v>45429</v>
      </c>
      <c r="C375" s="19" t="n">
        <f aca="false">YEAR(B375)</f>
        <v>2024</v>
      </c>
      <c r="D375" s="19" t="n">
        <f aca="false">MONTH(B375)</f>
        <v>5</v>
      </c>
      <c r="E375" s="30" t="str">
        <f aca="false">INDEX(Lists!$K$2:$K$13,MATCH(D375,Lists!$J$2:$J$13,0))</f>
        <v>مايو</v>
      </c>
      <c r="F375" s="19" t="str">
        <f aca="false">"Q"&amp;ROUNDUP(D375/3,0)</f>
        <v>Q2</v>
      </c>
      <c r="G375" s="30" t="str">
        <f aca="false">INDEX(Lists!$N$2:$N$8,MATCH(WEEKDAY(B375,2),Lists!$M$2:$M$8,0))</f>
        <v>الجمعة</v>
      </c>
      <c r="H375" s="30" t="s">
        <v>54</v>
      </c>
      <c r="I375" s="19" t="str">
        <f aca="false">INDEX(Lists!$B$2:$B$6,MATCH(H375,Lists!$A$2:$A$6,0))</f>
        <v>المنطقة الشرقية</v>
      </c>
      <c r="J375" s="30" t="s">
        <v>105</v>
      </c>
      <c r="K375" s="30" t="s">
        <v>90</v>
      </c>
      <c r="L375" s="31" t="n">
        <v>3519</v>
      </c>
      <c r="M375" s="19" t="n">
        <v>2</v>
      </c>
      <c r="N375" s="32" t="n">
        <v>0.2</v>
      </c>
      <c r="O375" s="30" t="s">
        <v>58</v>
      </c>
      <c r="P375" s="30" t="s">
        <v>47</v>
      </c>
      <c r="Q375" s="30" t="s">
        <v>76</v>
      </c>
      <c r="R375" s="25" t="n">
        <f aca="false">L375*M375*(1-N375)</f>
        <v>5630.4</v>
      </c>
    </row>
    <row r="376" customFormat="false" ht="15" hidden="false" customHeight="false" outlineLevel="0" collapsed="false">
      <c r="A376" s="30" t="s">
        <v>547</v>
      </c>
      <c r="B376" s="44" t="n">
        <v>45429</v>
      </c>
      <c r="C376" s="19" t="n">
        <f aca="false">YEAR(B376)</f>
        <v>2024</v>
      </c>
      <c r="D376" s="19" t="n">
        <f aca="false">MONTH(B376)</f>
        <v>5</v>
      </c>
      <c r="E376" s="30" t="str">
        <f aca="false">INDEX(Lists!$K$2:$K$13,MATCH(D376,Lists!$J$2:$J$13,0))</f>
        <v>مايو</v>
      </c>
      <c r="F376" s="19" t="str">
        <f aca="false">"Q"&amp;ROUNDUP(D376/3,0)</f>
        <v>Q2</v>
      </c>
      <c r="G376" s="30" t="str">
        <f aca="false">INDEX(Lists!$N$2:$N$8,MATCH(WEEKDAY(B376,2),Lists!$M$2:$M$8,0))</f>
        <v>الجمعة</v>
      </c>
      <c r="H376" s="30" t="s">
        <v>57</v>
      </c>
      <c r="I376" s="19" t="str">
        <f aca="false">INDEX(Lists!$B$2:$B$6,MATCH(H376,Lists!$A$2:$A$6,0))</f>
        <v>المنطقة الغربية</v>
      </c>
      <c r="J376" s="30" t="s">
        <v>113</v>
      </c>
      <c r="K376" s="30" t="s">
        <v>95</v>
      </c>
      <c r="L376" s="31" t="n">
        <v>489</v>
      </c>
      <c r="M376" s="19" t="n">
        <v>1</v>
      </c>
      <c r="N376" s="32" t="n">
        <v>0.15</v>
      </c>
      <c r="O376" s="30" t="s">
        <v>48</v>
      </c>
      <c r="P376" s="30" t="s">
        <v>47</v>
      </c>
      <c r="Q376" s="30" t="s">
        <v>81</v>
      </c>
      <c r="R376" s="25" t="n">
        <f aca="false">L376*M376*(1-N376)</f>
        <v>415.65</v>
      </c>
    </row>
    <row r="377" customFormat="false" ht="15" hidden="false" customHeight="false" outlineLevel="0" collapsed="false">
      <c r="A377" s="30" t="s">
        <v>548</v>
      </c>
      <c r="B377" s="44" t="n">
        <v>45430</v>
      </c>
      <c r="C377" s="19" t="n">
        <f aca="false">YEAR(B377)</f>
        <v>2024</v>
      </c>
      <c r="D377" s="19" t="n">
        <f aca="false">MONTH(B377)</f>
        <v>5</v>
      </c>
      <c r="E377" s="30" t="str">
        <f aca="false">INDEX(Lists!$K$2:$K$13,MATCH(D377,Lists!$J$2:$J$13,0))</f>
        <v>مايو</v>
      </c>
      <c r="F377" s="19" t="str">
        <f aca="false">"Q"&amp;ROUNDUP(D377/3,0)</f>
        <v>Q2</v>
      </c>
      <c r="G377" s="30" t="str">
        <f aca="false">INDEX(Lists!$N$2:$N$8,MATCH(WEEKDAY(B377,2),Lists!$M$2:$M$8,0))</f>
        <v>السبت</v>
      </c>
      <c r="H377" s="30" t="s">
        <v>46</v>
      </c>
      <c r="I377" s="19" t="str">
        <f aca="false">INDEX(Lists!$B$2:$B$6,MATCH(H377,Lists!$A$2:$A$6,0))</f>
        <v>المنطقة الوسطى</v>
      </c>
      <c r="J377" s="30" t="s">
        <v>105</v>
      </c>
      <c r="K377" s="30" t="s">
        <v>90</v>
      </c>
      <c r="L377" s="31" t="n">
        <v>3879</v>
      </c>
      <c r="M377" s="19" t="n">
        <v>4</v>
      </c>
      <c r="N377" s="32" t="n">
        <v>0</v>
      </c>
      <c r="O377" s="30" t="s">
        <v>48</v>
      </c>
      <c r="P377" s="30" t="s">
        <v>51</v>
      </c>
      <c r="Q377" s="30" t="s">
        <v>89</v>
      </c>
      <c r="R377" s="25" t="n">
        <f aca="false">L377*M377*(1-N377)</f>
        <v>15516</v>
      </c>
    </row>
    <row r="378" customFormat="false" ht="15" hidden="false" customHeight="false" outlineLevel="0" collapsed="false">
      <c r="A378" s="30" t="s">
        <v>549</v>
      </c>
      <c r="B378" s="44" t="n">
        <v>45431</v>
      </c>
      <c r="C378" s="19" t="n">
        <f aca="false">YEAR(B378)</f>
        <v>2024</v>
      </c>
      <c r="D378" s="19" t="n">
        <f aca="false">MONTH(B378)</f>
        <v>5</v>
      </c>
      <c r="E378" s="30" t="str">
        <f aca="false">INDEX(Lists!$K$2:$K$13,MATCH(D378,Lists!$J$2:$J$13,0))</f>
        <v>مايو</v>
      </c>
      <c r="F378" s="19" t="str">
        <f aca="false">"Q"&amp;ROUNDUP(D378/3,0)</f>
        <v>Q2</v>
      </c>
      <c r="G378" s="30" t="str">
        <f aca="false">INDEX(Lists!$N$2:$N$8,MATCH(WEEKDAY(B378,2),Lists!$M$2:$M$8,0))</f>
        <v>الأحد</v>
      </c>
      <c r="H378" s="30" t="s">
        <v>46</v>
      </c>
      <c r="I378" s="19" t="str">
        <f aca="false">INDEX(Lists!$B$2:$B$6,MATCH(H378,Lists!$A$2:$A$6,0))</f>
        <v>المنطقة الوسطى</v>
      </c>
      <c r="J378" s="30" t="s">
        <v>113</v>
      </c>
      <c r="K378" s="30" t="s">
        <v>100</v>
      </c>
      <c r="L378" s="31" t="n">
        <v>549</v>
      </c>
      <c r="M378" s="19" t="n">
        <v>1</v>
      </c>
      <c r="N378" s="32" t="n">
        <v>0.15</v>
      </c>
      <c r="O378" s="30" t="s">
        <v>48</v>
      </c>
      <c r="P378" s="30" t="s">
        <v>47</v>
      </c>
      <c r="Q378" s="30" t="s">
        <v>96</v>
      </c>
      <c r="R378" s="25" t="n">
        <f aca="false">L378*M378*(1-N378)</f>
        <v>466.65</v>
      </c>
    </row>
    <row r="379" customFormat="false" ht="15" hidden="false" customHeight="false" outlineLevel="0" collapsed="false">
      <c r="A379" s="30" t="s">
        <v>550</v>
      </c>
      <c r="B379" s="44" t="n">
        <v>45431</v>
      </c>
      <c r="C379" s="19" t="n">
        <f aca="false">YEAR(B379)</f>
        <v>2024</v>
      </c>
      <c r="D379" s="19" t="n">
        <f aca="false">MONTH(B379)</f>
        <v>5</v>
      </c>
      <c r="E379" s="30" t="str">
        <f aca="false">INDEX(Lists!$K$2:$K$13,MATCH(D379,Lists!$J$2:$J$13,0))</f>
        <v>مايو</v>
      </c>
      <c r="F379" s="19" t="str">
        <f aca="false">"Q"&amp;ROUNDUP(D379/3,0)</f>
        <v>Q2</v>
      </c>
      <c r="G379" s="30" t="str">
        <f aca="false">INDEX(Lists!$N$2:$N$8,MATCH(WEEKDAY(B379,2),Lists!$M$2:$M$8,0))</f>
        <v>الأحد</v>
      </c>
      <c r="H379" s="30" t="s">
        <v>60</v>
      </c>
      <c r="I379" s="19" t="str">
        <f aca="false">INDEX(Lists!$B$2:$B$6,MATCH(H379,Lists!$A$2:$A$6,0))</f>
        <v>المنطقة الغربية</v>
      </c>
      <c r="J379" s="30" t="s">
        <v>105</v>
      </c>
      <c r="K379" s="30" t="s">
        <v>82</v>
      </c>
      <c r="L379" s="31" t="n">
        <v>2879</v>
      </c>
      <c r="M379" s="19" t="n">
        <v>3</v>
      </c>
      <c r="N379" s="32" t="n">
        <v>0</v>
      </c>
      <c r="O379" s="30" t="s">
        <v>48</v>
      </c>
      <c r="P379" s="30" t="s">
        <v>47</v>
      </c>
      <c r="Q379" s="30" t="s">
        <v>78</v>
      </c>
      <c r="R379" s="25" t="n">
        <f aca="false">L379*M379*(1-N379)</f>
        <v>8637</v>
      </c>
    </row>
    <row r="380" customFormat="false" ht="15" hidden="false" customHeight="false" outlineLevel="0" collapsed="false">
      <c r="A380" s="30" t="s">
        <v>551</v>
      </c>
      <c r="B380" s="44" t="n">
        <v>45431</v>
      </c>
      <c r="C380" s="19" t="n">
        <f aca="false">YEAR(B380)</f>
        <v>2024</v>
      </c>
      <c r="D380" s="19" t="n">
        <f aca="false">MONTH(B380)</f>
        <v>5</v>
      </c>
      <c r="E380" s="30" t="str">
        <f aca="false">INDEX(Lists!$K$2:$K$13,MATCH(D380,Lists!$J$2:$J$13,0))</f>
        <v>مايو</v>
      </c>
      <c r="F380" s="19" t="str">
        <f aca="false">"Q"&amp;ROUNDUP(D380/3,0)</f>
        <v>Q2</v>
      </c>
      <c r="G380" s="30" t="str">
        <f aca="false">INDEX(Lists!$N$2:$N$8,MATCH(WEEKDAY(B380,2),Lists!$M$2:$M$8,0))</f>
        <v>الأحد</v>
      </c>
      <c r="H380" s="30" t="s">
        <v>50</v>
      </c>
      <c r="I380" s="19" t="str">
        <f aca="false">INDEX(Lists!$B$2:$B$6,MATCH(H380,Lists!$A$2:$A$6,0))</f>
        <v>المنطقة الغربية</v>
      </c>
      <c r="J380" s="30" t="s">
        <v>113</v>
      </c>
      <c r="K380" s="30" t="s">
        <v>95</v>
      </c>
      <c r="L380" s="31" t="n">
        <v>779</v>
      </c>
      <c r="M380" s="19" t="n">
        <v>2</v>
      </c>
      <c r="N380" s="32" t="n">
        <v>0.05</v>
      </c>
      <c r="O380" s="30" t="s">
        <v>58</v>
      </c>
      <c r="P380" s="30" t="s">
        <v>47</v>
      </c>
      <c r="Q380" s="30" t="s">
        <v>78</v>
      </c>
      <c r="R380" s="25" t="n">
        <f aca="false">L380*M380*(1-N380)</f>
        <v>1480.1</v>
      </c>
    </row>
    <row r="381" customFormat="false" ht="15" hidden="false" customHeight="false" outlineLevel="0" collapsed="false">
      <c r="A381" s="30" t="s">
        <v>552</v>
      </c>
      <c r="B381" s="44" t="n">
        <v>45432</v>
      </c>
      <c r="C381" s="19" t="n">
        <f aca="false">YEAR(B381)</f>
        <v>2024</v>
      </c>
      <c r="D381" s="19" t="n">
        <f aca="false">MONTH(B381)</f>
        <v>5</v>
      </c>
      <c r="E381" s="30" t="str">
        <f aca="false">INDEX(Lists!$K$2:$K$13,MATCH(D381,Lists!$J$2:$J$13,0))</f>
        <v>مايو</v>
      </c>
      <c r="F381" s="19" t="str">
        <f aca="false">"Q"&amp;ROUNDUP(D381/3,0)</f>
        <v>Q2</v>
      </c>
      <c r="G381" s="30" t="str">
        <f aca="false">INDEX(Lists!$N$2:$N$8,MATCH(WEEKDAY(B381,2),Lists!$M$2:$M$8,0))</f>
        <v>الإثنين</v>
      </c>
      <c r="H381" s="30" t="s">
        <v>46</v>
      </c>
      <c r="I381" s="19" t="str">
        <f aca="false">INDEX(Lists!$B$2:$B$6,MATCH(H381,Lists!$A$2:$A$6,0))</f>
        <v>المنطقة الوسطى</v>
      </c>
      <c r="J381" s="30" t="s">
        <v>105</v>
      </c>
      <c r="K381" s="30" t="s">
        <v>82</v>
      </c>
      <c r="L381" s="31" t="n">
        <v>3359</v>
      </c>
      <c r="M381" s="19" t="n">
        <v>1</v>
      </c>
      <c r="N381" s="32" t="n">
        <v>0.05</v>
      </c>
      <c r="O381" s="30" t="s">
        <v>48</v>
      </c>
      <c r="P381" s="30" t="s">
        <v>47</v>
      </c>
      <c r="Q381" s="30" t="s">
        <v>96</v>
      </c>
      <c r="R381" s="25" t="n">
        <f aca="false">L381*M381*(1-N381)</f>
        <v>3191.05</v>
      </c>
    </row>
    <row r="382" customFormat="false" ht="15" hidden="false" customHeight="false" outlineLevel="0" collapsed="false">
      <c r="A382" s="30" t="s">
        <v>553</v>
      </c>
      <c r="B382" s="44" t="n">
        <v>45432</v>
      </c>
      <c r="C382" s="19" t="n">
        <f aca="false">YEAR(B382)</f>
        <v>2024</v>
      </c>
      <c r="D382" s="19" t="n">
        <f aca="false">MONTH(B382)</f>
        <v>5</v>
      </c>
      <c r="E382" s="30" t="str">
        <f aca="false">INDEX(Lists!$K$2:$K$13,MATCH(D382,Lists!$J$2:$J$13,0))</f>
        <v>مايو</v>
      </c>
      <c r="F382" s="19" t="str">
        <f aca="false">"Q"&amp;ROUNDUP(D382/3,0)</f>
        <v>Q2</v>
      </c>
      <c r="G382" s="30" t="str">
        <f aca="false">INDEX(Lists!$N$2:$N$8,MATCH(WEEKDAY(B382,2),Lists!$M$2:$M$8,0))</f>
        <v>الإثنين</v>
      </c>
      <c r="H382" s="30" t="s">
        <v>60</v>
      </c>
      <c r="I382" s="19" t="str">
        <f aca="false">INDEX(Lists!$B$2:$B$6,MATCH(H382,Lists!$A$2:$A$6,0))</f>
        <v>المنطقة الغربية</v>
      </c>
      <c r="J382" s="30" t="s">
        <v>105</v>
      </c>
      <c r="K382" s="30" t="s">
        <v>85</v>
      </c>
      <c r="L382" s="31" t="n">
        <v>3259</v>
      </c>
      <c r="M382" s="19" t="n">
        <v>4</v>
      </c>
      <c r="N382" s="32" t="n">
        <v>0.15</v>
      </c>
      <c r="O382" s="30" t="s">
        <v>48</v>
      </c>
      <c r="P382" s="30" t="s">
        <v>51</v>
      </c>
      <c r="Q382" s="30" t="s">
        <v>99</v>
      </c>
      <c r="R382" s="25" t="n">
        <f aca="false">L382*M382*(1-N382)</f>
        <v>11080.6</v>
      </c>
    </row>
    <row r="383" customFormat="false" ht="15" hidden="false" customHeight="false" outlineLevel="0" collapsed="false">
      <c r="A383" s="30" t="s">
        <v>554</v>
      </c>
      <c r="B383" s="44" t="n">
        <v>45432</v>
      </c>
      <c r="C383" s="19" t="n">
        <f aca="false">YEAR(B383)</f>
        <v>2024</v>
      </c>
      <c r="D383" s="19" t="n">
        <f aca="false">MONTH(B383)</f>
        <v>5</v>
      </c>
      <c r="E383" s="30" t="str">
        <f aca="false">INDEX(Lists!$K$2:$K$13,MATCH(D383,Lists!$J$2:$J$13,0))</f>
        <v>مايو</v>
      </c>
      <c r="F383" s="19" t="str">
        <f aca="false">"Q"&amp;ROUNDUP(D383/3,0)</f>
        <v>Q2</v>
      </c>
      <c r="G383" s="30" t="str">
        <f aca="false">INDEX(Lists!$N$2:$N$8,MATCH(WEEKDAY(B383,2),Lists!$M$2:$M$8,0))</f>
        <v>الإثنين</v>
      </c>
      <c r="H383" s="30" t="s">
        <v>57</v>
      </c>
      <c r="I383" s="19" t="str">
        <f aca="false">INDEX(Lists!$B$2:$B$6,MATCH(H383,Lists!$A$2:$A$6,0))</f>
        <v>المنطقة الغربية</v>
      </c>
      <c r="J383" s="30" t="s">
        <v>105</v>
      </c>
      <c r="K383" s="30" t="s">
        <v>82</v>
      </c>
      <c r="L383" s="31" t="n">
        <v>1089</v>
      </c>
      <c r="M383" s="19" t="n">
        <v>6</v>
      </c>
      <c r="N383" s="32" t="n">
        <v>0</v>
      </c>
      <c r="O383" s="30" t="s">
        <v>55</v>
      </c>
      <c r="P383" s="30" t="s">
        <v>51</v>
      </c>
      <c r="Q383" s="30" t="s">
        <v>89</v>
      </c>
      <c r="R383" s="25" t="n">
        <f aca="false">L383*M383*(1-N383)</f>
        <v>6534</v>
      </c>
    </row>
    <row r="384" customFormat="false" ht="15" hidden="false" customHeight="false" outlineLevel="0" collapsed="false">
      <c r="A384" s="30" t="s">
        <v>555</v>
      </c>
      <c r="B384" s="44" t="n">
        <v>45433</v>
      </c>
      <c r="C384" s="19" t="n">
        <f aca="false">YEAR(B384)</f>
        <v>2024</v>
      </c>
      <c r="D384" s="19" t="n">
        <f aca="false">MONTH(B384)</f>
        <v>5</v>
      </c>
      <c r="E384" s="30" t="str">
        <f aca="false">INDEX(Lists!$K$2:$K$13,MATCH(D384,Lists!$J$2:$J$13,0))</f>
        <v>مايو</v>
      </c>
      <c r="F384" s="19" t="str">
        <f aca="false">"Q"&amp;ROUNDUP(D384/3,0)</f>
        <v>Q2</v>
      </c>
      <c r="G384" s="30" t="str">
        <f aca="false">INDEX(Lists!$N$2:$N$8,MATCH(WEEKDAY(B384,2),Lists!$M$2:$M$8,0))</f>
        <v>الثلاثاء</v>
      </c>
      <c r="H384" s="30" t="s">
        <v>46</v>
      </c>
      <c r="I384" s="19" t="str">
        <f aca="false">INDEX(Lists!$B$2:$B$6,MATCH(H384,Lists!$A$2:$A$6,0))</f>
        <v>المنطقة الوسطى</v>
      </c>
      <c r="J384" s="30" t="s">
        <v>105</v>
      </c>
      <c r="K384" s="30" t="s">
        <v>179</v>
      </c>
      <c r="L384" s="31" t="n">
        <v>2269</v>
      </c>
      <c r="M384" s="19" t="n">
        <v>1</v>
      </c>
      <c r="N384" s="32" t="n">
        <v>0.05</v>
      </c>
      <c r="O384" s="30" t="s">
        <v>55</v>
      </c>
      <c r="P384" s="30" t="s">
        <v>47</v>
      </c>
      <c r="Q384" s="30" t="s">
        <v>84</v>
      </c>
      <c r="R384" s="25" t="n">
        <f aca="false">L384*M384*(1-N384)</f>
        <v>2155.55</v>
      </c>
    </row>
    <row r="385" customFormat="false" ht="15" hidden="false" customHeight="false" outlineLevel="0" collapsed="false">
      <c r="A385" s="30" t="s">
        <v>556</v>
      </c>
      <c r="B385" s="44" t="n">
        <v>45433</v>
      </c>
      <c r="C385" s="19" t="n">
        <f aca="false">YEAR(B385)</f>
        <v>2024</v>
      </c>
      <c r="D385" s="19" t="n">
        <f aca="false">MONTH(B385)</f>
        <v>5</v>
      </c>
      <c r="E385" s="30" t="str">
        <f aca="false">INDEX(Lists!$K$2:$K$13,MATCH(D385,Lists!$J$2:$J$13,0))</f>
        <v>مايو</v>
      </c>
      <c r="F385" s="19" t="str">
        <f aca="false">"Q"&amp;ROUNDUP(D385/3,0)</f>
        <v>Q2</v>
      </c>
      <c r="G385" s="30" t="str">
        <f aca="false">INDEX(Lists!$N$2:$N$8,MATCH(WEEKDAY(B385,2),Lists!$M$2:$M$8,0))</f>
        <v>الثلاثاء</v>
      </c>
      <c r="H385" s="30" t="s">
        <v>54</v>
      </c>
      <c r="I385" s="19" t="str">
        <f aca="false">INDEX(Lists!$B$2:$B$6,MATCH(H385,Lists!$A$2:$A$6,0))</f>
        <v>المنطقة الشرقية</v>
      </c>
      <c r="J385" s="30" t="s">
        <v>105</v>
      </c>
      <c r="K385" s="30" t="s">
        <v>179</v>
      </c>
      <c r="L385" s="31" t="n">
        <v>899</v>
      </c>
      <c r="M385" s="19" t="n">
        <v>1</v>
      </c>
      <c r="N385" s="32" t="n">
        <v>0.05</v>
      </c>
      <c r="O385" s="30" t="s">
        <v>55</v>
      </c>
      <c r="P385" s="30" t="s">
        <v>47</v>
      </c>
      <c r="Q385" s="30" t="s">
        <v>89</v>
      </c>
      <c r="R385" s="25" t="n">
        <f aca="false">L385*M385*(1-N385)</f>
        <v>854.05</v>
      </c>
    </row>
    <row r="386" customFormat="false" ht="15" hidden="false" customHeight="false" outlineLevel="0" collapsed="false">
      <c r="A386" s="30" t="s">
        <v>557</v>
      </c>
      <c r="B386" s="44" t="n">
        <v>45434</v>
      </c>
      <c r="C386" s="19" t="n">
        <f aca="false">YEAR(B386)</f>
        <v>2024</v>
      </c>
      <c r="D386" s="19" t="n">
        <f aca="false">MONTH(B386)</f>
        <v>5</v>
      </c>
      <c r="E386" s="30" t="str">
        <f aca="false">INDEX(Lists!$K$2:$K$13,MATCH(D386,Lists!$J$2:$J$13,0))</f>
        <v>مايو</v>
      </c>
      <c r="F386" s="19" t="str">
        <f aca="false">"Q"&amp;ROUNDUP(D386/3,0)</f>
        <v>Q2</v>
      </c>
      <c r="G386" s="30" t="str">
        <f aca="false">INDEX(Lists!$N$2:$N$8,MATCH(WEEKDAY(B386,2),Lists!$M$2:$M$8,0))</f>
        <v>الأربعاء</v>
      </c>
      <c r="H386" s="30" t="s">
        <v>46</v>
      </c>
      <c r="I386" s="19" t="str">
        <f aca="false">INDEX(Lists!$B$2:$B$6,MATCH(H386,Lists!$A$2:$A$6,0))</f>
        <v>المنطقة الوسطى</v>
      </c>
      <c r="J386" s="30" t="s">
        <v>105</v>
      </c>
      <c r="K386" s="30" t="s">
        <v>82</v>
      </c>
      <c r="L386" s="31" t="n">
        <v>2249</v>
      </c>
      <c r="M386" s="19" t="n">
        <v>1</v>
      </c>
      <c r="N386" s="32" t="n">
        <v>0.1</v>
      </c>
      <c r="O386" s="30" t="s">
        <v>48</v>
      </c>
      <c r="P386" s="30" t="s">
        <v>51</v>
      </c>
      <c r="Q386" s="30" t="s">
        <v>81</v>
      </c>
      <c r="R386" s="25" t="n">
        <f aca="false">L386*M386*(1-N386)</f>
        <v>2024.1</v>
      </c>
    </row>
    <row r="387" customFormat="false" ht="15" hidden="false" customHeight="false" outlineLevel="0" collapsed="false">
      <c r="A387" s="30" t="s">
        <v>558</v>
      </c>
      <c r="B387" s="44" t="n">
        <v>45434</v>
      </c>
      <c r="C387" s="19" t="n">
        <f aca="false">YEAR(B387)</f>
        <v>2024</v>
      </c>
      <c r="D387" s="19" t="n">
        <f aca="false">MONTH(B387)</f>
        <v>5</v>
      </c>
      <c r="E387" s="30" t="str">
        <f aca="false">INDEX(Lists!$K$2:$K$13,MATCH(D387,Lists!$J$2:$J$13,0))</f>
        <v>مايو</v>
      </c>
      <c r="F387" s="19" t="str">
        <f aca="false">"Q"&amp;ROUNDUP(D387/3,0)</f>
        <v>Q2</v>
      </c>
      <c r="G387" s="30" t="str">
        <f aca="false">INDEX(Lists!$N$2:$N$8,MATCH(WEEKDAY(B387,2),Lists!$M$2:$M$8,0))</f>
        <v>الأربعاء</v>
      </c>
      <c r="H387" s="30" t="s">
        <v>54</v>
      </c>
      <c r="I387" s="19" t="str">
        <f aca="false">INDEX(Lists!$B$2:$B$6,MATCH(H387,Lists!$A$2:$A$6,0))</f>
        <v>المنطقة الشرقية</v>
      </c>
      <c r="J387" s="30" t="s">
        <v>111</v>
      </c>
      <c r="K387" s="30" t="s">
        <v>122</v>
      </c>
      <c r="L387" s="31" t="n">
        <v>439</v>
      </c>
      <c r="M387" s="19" t="n">
        <v>1</v>
      </c>
      <c r="N387" s="32" t="n">
        <v>0.1</v>
      </c>
      <c r="O387" s="30" t="s">
        <v>52</v>
      </c>
      <c r="P387" s="30" t="s">
        <v>47</v>
      </c>
      <c r="Q387" s="30" t="s">
        <v>78</v>
      </c>
      <c r="R387" s="25" t="n">
        <f aca="false">L387*M387*(1-N387)</f>
        <v>395.1</v>
      </c>
    </row>
    <row r="388" customFormat="false" ht="15" hidden="false" customHeight="false" outlineLevel="0" collapsed="false">
      <c r="A388" s="30" t="s">
        <v>559</v>
      </c>
      <c r="B388" s="44" t="n">
        <v>45434</v>
      </c>
      <c r="C388" s="19" t="n">
        <f aca="false">YEAR(B388)</f>
        <v>2024</v>
      </c>
      <c r="D388" s="19" t="n">
        <f aca="false">MONTH(B388)</f>
        <v>5</v>
      </c>
      <c r="E388" s="30" t="str">
        <f aca="false">INDEX(Lists!$K$2:$K$13,MATCH(D388,Lists!$J$2:$J$13,0))</f>
        <v>مايو</v>
      </c>
      <c r="F388" s="19" t="str">
        <f aca="false">"Q"&amp;ROUNDUP(D388/3,0)</f>
        <v>Q2</v>
      </c>
      <c r="G388" s="30" t="str">
        <f aca="false">INDEX(Lists!$N$2:$N$8,MATCH(WEEKDAY(B388,2),Lists!$M$2:$M$8,0))</f>
        <v>الأربعاء</v>
      </c>
      <c r="H388" s="30" t="s">
        <v>54</v>
      </c>
      <c r="I388" s="19" t="str">
        <f aca="false">INDEX(Lists!$B$2:$B$6,MATCH(H388,Lists!$A$2:$A$6,0))</f>
        <v>المنطقة الشرقية</v>
      </c>
      <c r="J388" s="30" t="s">
        <v>105</v>
      </c>
      <c r="K388" s="30" t="s">
        <v>179</v>
      </c>
      <c r="L388" s="31" t="n">
        <v>4399</v>
      </c>
      <c r="M388" s="19" t="n">
        <v>5</v>
      </c>
      <c r="N388" s="32" t="n">
        <v>0.05</v>
      </c>
      <c r="O388" s="30" t="s">
        <v>48</v>
      </c>
      <c r="P388" s="30" t="s">
        <v>51</v>
      </c>
      <c r="Q388" s="30" t="s">
        <v>92</v>
      </c>
      <c r="R388" s="25" t="n">
        <f aca="false">L388*M388*(1-N388)</f>
        <v>20895.25</v>
      </c>
    </row>
    <row r="389" customFormat="false" ht="15" hidden="false" customHeight="false" outlineLevel="0" collapsed="false">
      <c r="A389" s="30" t="s">
        <v>560</v>
      </c>
      <c r="B389" s="44" t="n">
        <v>45434</v>
      </c>
      <c r="C389" s="19" t="n">
        <f aca="false">YEAR(B389)</f>
        <v>2024</v>
      </c>
      <c r="D389" s="19" t="n">
        <f aca="false">MONTH(B389)</f>
        <v>5</v>
      </c>
      <c r="E389" s="30" t="str">
        <f aca="false">INDEX(Lists!$K$2:$K$13,MATCH(D389,Lists!$J$2:$J$13,0))</f>
        <v>مايو</v>
      </c>
      <c r="F389" s="19" t="str">
        <f aca="false">"Q"&amp;ROUNDUP(D389/3,0)</f>
        <v>Q2</v>
      </c>
      <c r="G389" s="30" t="str">
        <f aca="false">INDEX(Lists!$N$2:$N$8,MATCH(WEEKDAY(B389,2),Lists!$M$2:$M$8,0))</f>
        <v>الأربعاء</v>
      </c>
      <c r="H389" s="30" t="s">
        <v>50</v>
      </c>
      <c r="I389" s="19" t="str">
        <f aca="false">INDEX(Lists!$B$2:$B$6,MATCH(H389,Lists!$A$2:$A$6,0))</f>
        <v>المنطقة الغربية</v>
      </c>
      <c r="J389" s="30" t="s">
        <v>105</v>
      </c>
      <c r="K389" s="30" t="s">
        <v>179</v>
      </c>
      <c r="L389" s="31" t="n">
        <v>3719</v>
      </c>
      <c r="M389" s="19" t="n">
        <v>1</v>
      </c>
      <c r="N389" s="32" t="n">
        <v>0.1</v>
      </c>
      <c r="O389" s="30" t="s">
        <v>52</v>
      </c>
      <c r="P389" s="30" t="s">
        <v>47</v>
      </c>
      <c r="Q389" s="30" t="s">
        <v>89</v>
      </c>
      <c r="R389" s="25" t="n">
        <f aca="false">L389*M389*(1-N389)</f>
        <v>3347.1</v>
      </c>
    </row>
    <row r="390" customFormat="false" ht="15" hidden="false" customHeight="false" outlineLevel="0" collapsed="false">
      <c r="A390" s="30" t="s">
        <v>561</v>
      </c>
      <c r="B390" s="44" t="n">
        <v>45435</v>
      </c>
      <c r="C390" s="19" t="n">
        <f aca="false">YEAR(B390)</f>
        <v>2024</v>
      </c>
      <c r="D390" s="19" t="n">
        <f aca="false">MONTH(B390)</f>
        <v>5</v>
      </c>
      <c r="E390" s="30" t="str">
        <f aca="false">INDEX(Lists!$K$2:$K$13,MATCH(D390,Lists!$J$2:$J$13,0))</f>
        <v>مايو</v>
      </c>
      <c r="F390" s="19" t="str">
        <f aca="false">"Q"&amp;ROUNDUP(D390/3,0)</f>
        <v>Q2</v>
      </c>
      <c r="G390" s="30" t="str">
        <f aca="false">INDEX(Lists!$N$2:$N$8,MATCH(WEEKDAY(B390,2),Lists!$M$2:$M$8,0))</f>
        <v>الخميس</v>
      </c>
      <c r="H390" s="30" t="s">
        <v>54</v>
      </c>
      <c r="I390" s="19" t="str">
        <f aca="false">INDEX(Lists!$B$2:$B$6,MATCH(H390,Lists!$A$2:$A$6,0))</f>
        <v>المنطقة الشرقية</v>
      </c>
      <c r="J390" s="30" t="s">
        <v>109</v>
      </c>
      <c r="K390" s="30" t="s">
        <v>192</v>
      </c>
      <c r="L390" s="31" t="n">
        <v>199</v>
      </c>
      <c r="M390" s="19" t="n">
        <v>1</v>
      </c>
      <c r="N390" s="32" t="n">
        <v>0</v>
      </c>
      <c r="O390" s="30" t="s">
        <v>48</v>
      </c>
      <c r="P390" s="30" t="s">
        <v>47</v>
      </c>
      <c r="Q390" s="30" t="s">
        <v>84</v>
      </c>
      <c r="R390" s="25" t="n">
        <f aca="false">L390*M390*(1-N390)</f>
        <v>199</v>
      </c>
    </row>
    <row r="391" customFormat="false" ht="15" hidden="false" customHeight="false" outlineLevel="0" collapsed="false">
      <c r="A391" s="30" t="s">
        <v>562</v>
      </c>
      <c r="B391" s="44" t="n">
        <v>45435</v>
      </c>
      <c r="C391" s="19" t="n">
        <f aca="false">YEAR(B391)</f>
        <v>2024</v>
      </c>
      <c r="D391" s="19" t="n">
        <f aca="false">MONTH(B391)</f>
        <v>5</v>
      </c>
      <c r="E391" s="30" t="str">
        <f aca="false">INDEX(Lists!$K$2:$K$13,MATCH(D391,Lists!$J$2:$J$13,0))</f>
        <v>مايو</v>
      </c>
      <c r="F391" s="19" t="str">
        <f aca="false">"Q"&amp;ROUNDUP(D391/3,0)</f>
        <v>Q2</v>
      </c>
      <c r="G391" s="30" t="str">
        <f aca="false">INDEX(Lists!$N$2:$N$8,MATCH(WEEKDAY(B391,2),Lists!$M$2:$M$8,0))</f>
        <v>الخميس</v>
      </c>
      <c r="H391" s="30" t="s">
        <v>54</v>
      </c>
      <c r="I391" s="19" t="str">
        <f aca="false">INDEX(Lists!$B$2:$B$6,MATCH(H391,Lists!$A$2:$A$6,0))</f>
        <v>المنطقة الشرقية</v>
      </c>
      <c r="J391" s="30" t="s">
        <v>109</v>
      </c>
      <c r="K391" s="30" t="s">
        <v>110</v>
      </c>
      <c r="L391" s="31" t="n">
        <v>159</v>
      </c>
      <c r="M391" s="19" t="n">
        <v>1</v>
      </c>
      <c r="N391" s="32" t="n">
        <v>0.05</v>
      </c>
      <c r="O391" s="30" t="s">
        <v>48</v>
      </c>
      <c r="P391" s="30" t="s">
        <v>47</v>
      </c>
      <c r="Q391" s="30" t="s">
        <v>78</v>
      </c>
      <c r="R391" s="25" t="n">
        <f aca="false">L391*M391*(1-N391)</f>
        <v>151.05</v>
      </c>
    </row>
    <row r="392" customFormat="false" ht="15" hidden="false" customHeight="false" outlineLevel="0" collapsed="false">
      <c r="A392" s="30" t="s">
        <v>563</v>
      </c>
      <c r="B392" s="44" t="n">
        <v>45435</v>
      </c>
      <c r="C392" s="19" t="n">
        <f aca="false">YEAR(B392)</f>
        <v>2024</v>
      </c>
      <c r="D392" s="19" t="n">
        <f aca="false">MONTH(B392)</f>
        <v>5</v>
      </c>
      <c r="E392" s="30" t="str">
        <f aca="false">INDEX(Lists!$K$2:$K$13,MATCH(D392,Lists!$J$2:$J$13,0))</f>
        <v>مايو</v>
      </c>
      <c r="F392" s="19" t="str">
        <f aca="false">"Q"&amp;ROUNDUP(D392/3,0)</f>
        <v>Q2</v>
      </c>
      <c r="G392" s="30" t="str">
        <f aca="false">INDEX(Lists!$N$2:$N$8,MATCH(WEEKDAY(B392,2),Lists!$M$2:$M$8,0))</f>
        <v>الخميس</v>
      </c>
      <c r="H392" s="30" t="s">
        <v>54</v>
      </c>
      <c r="I392" s="19" t="str">
        <f aca="false">INDEX(Lists!$B$2:$B$6,MATCH(H392,Lists!$A$2:$A$6,0))</f>
        <v>المنطقة الشرقية</v>
      </c>
      <c r="J392" s="30" t="s">
        <v>105</v>
      </c>
      <c r="K392" s="30" t="s">
        <v>82</v>
      </c>
      <c r="L392" s="31" t="n">
        <v>1579</v>
      </c>
      <c r="M392" s="19" t="n">
        <v>1</v>
      </c>
      <c r="N392" s="32" t="n">
        <v>0</v>
      </c>
      <c r="O392" s="30" t="s">
        <v>55</v>
      </c>
      <c r="P392" s="30" t="s">
        <v>51</v>
      </c>
      <c r="Q392" s="30" t="s">
        <v>84</v>
      </c>
      <c r="R392" s="25" t="n">
        <f aca="false">L392*M392*(1-N392)</f>
        <v>1579</v>
      </c>
    </row>
    <row r="393" customFormat="false" ht="15" hidden="false" customHeight="false" outlineLevel="0" collapsed="false">
      <c r="A393" s="30" t="s">
        <v>564</v>
      </c>
      <c r="B393" s="44" t="n">
        <v>45436</v>
      </c>
      <c r="C393" s="19" t="n">
        <f aca="false">YEAR(B393)</f>
        <v>2024</v>
      </c>
      <c r="D393" s="19" t="n">
        <f aca="false">MONTH(B393)</f>
        <v>5</v>
      </c>
      <c r="E393" s="30" t="str">
        <f aca="false">INDEX(Lists!$K$2:$K$13,MATCH(D393,Lists!$J$2:$J$13,0))</f>
        <v>مايو</v>
      </c>
      <c r="F393" s="19" t="str">
        <f aca="false">"Q"&amp;ROUNDUP(D393/3,0)</f>
        <v>Q2</v>
      </c>
      <c r="G393" s="30" t="str">
        <f aca="false">INDEX(Lists!$N$2:$N$8,MATCH(WEEKDAY(B393,2),Lists!$M$2:$M$8,0))</f>
        <v>الجمعة</v>
      </c>
      <c r="H393" s="30" t="s">
        <v>50</v>
      </c>
      <c r="I393" s="19" t="str">
        <f aca="false">INDEX(Lists!$B$2:$B$6,MATCH(H393,Lists!$A$2:$A$6,0))</f>
        <v>المنطقة الغربية</v>
      </c>
      <c r="J393" s="30" t="s">
        <v>111</v>
      </c>
      <c r="K393" s="30" t="s">
        <v>108</v>
      </c>
      <c r="L393" s="31" t="n">
        <v>489</v>
      </c>
      <c r="M393" s="19" t="n">
        <v>2</v>
      </c>
      <c r="N393" s="32" t="n">
        <v>0.2</v>
      </c>
      <c r="O393" s="30" t="s">
        <v>48</v>
      </c>
      <c r="P393" s="30" t="s">
        <v>47</v>
      </c>
      <c r="Q393" s="30" t="s">
        <v>94</v>
      </c>
      <c r="R393" s="25" t="n">
        <f aca="false">L393*M393*(1-N393)</f>
        <v>782.4</v>
      </c>
    </row>
    <row r="394" customFormat="false" ht="15" hidden="false" customHeight="false" outlineLevel="0" collapsed="false">
      <c r="A394" s="30" t="s">
        <v>565</v>
      </c>
      <c r="B394" s="44" t="n">
        <v>45436</v>
      </c>
      <c r="C394" s="19" t="n">
        <f aca="false">YEAR(B394)</f>
        <v>2024</v>
      </c>
      <c r="D394" s="19" t="n">
        <f aca="false">MONTH(B394)</f>
        <v>5</v>
      </c>
      <c r="E394" s="30" t="str">
        <f aca="false">INDEX(Lists!$K$2:$K$13,MATCH(D394,Lists!$J$2:$J$13,0))</f>
        <v>مايو</v>
      </c>
      <c r="F394" s="19" t="str">
        <f aca="false">"Q"&amp;ROUNDUP(D394/3,0)</f>
        <v>Q2</v>
      </c>
      <c r="G394" s="30" t="str">
        <f aca="false">INDEX(Lists!$N$2:$N$8,MATCH(WEEKDAY(B394,2),Lists!$M$2:$M$8,0))</f>
        <v>الجمعة</v>
      </c>
      <c r="H394" s="30" t="s">
        <v>46</v>
      </c>
      <c r="I394" s="19" t="str">
        <f aca="false">INDEX(Lists!$B$2:$B$6,MATCH(H394,Lists!$A$2:$A$6,0))</f>
        <v>المنطقة الوسطى</v>
      </c>
      <c r="J394" s="30" t="s">
        <v>109</v>
      </c>
      <c r="K394" s="30" t="s">
        <v>93</v>
      </c>
      <c r="L394" s="31" t="n">
        <v>69</v>
      </c>
      <c r="M394" s="19" t="n">
        <v>1</v>
      </c>
      <c r="N394" s="32" t="n">
        <v>0.2</v>
      </c>
      <c r="O394" s="30" t="s">
        <v>55</v>
      </c>
      <c r="P394" s="30" t="s">
        <v>51</v>
      </c>
      <c r="Q394" s="30" t="s">
        <v>84</v>
      </c>
      <c r="R394" s="25" t="n">
        <f aca="false">L394*M394*(1-N394)</f>
        <v>55.2</v>
      </c>
    </row>
    <row r="395" customFormat="false" ht="15" hidden="false" customHeight="false" outlineLevel="0" collapsed="false">
      <c r="A395" s="30" t="s">
        <v>566</v>
      </c>
      <c r="B395" s="44" t="n">
        <v>45437</v>
      </c>
      <c r="C395" s="19" t="n">
        <f aca="false">YEAR(B395)</f>
        <v>2024</v>
      </c>
      <c r="D395" s="19" t="n">
        <f aca="false">MONTH(B395)</f>
        <v>5</v>
      </c>
      <c r="E395" s="30" t="str">
        <f aca="false">INDEX(Lists!$K$2:$K$13,MATCH(D395,Lists!$J$2:$J$13,0))</f>
        <v>مايو</v>
      </c>
      <c r="F395" s="19" t="str">
        <f aca="false">"Q"&amp;ROUNDUP(D395/3,0)</f>
        <v>Q2</v>
      </c>
      <c r="G395" s="30" t="str">
        <f aca="false">INDEX(Lists!$N$2:$N$8,MATCH(WEEKDAY(B395,2),Lists!$M$2:$M$8,0))</f>
        <v>السبت</v>
      </c>
      <c r="H395" s="30" t="s">
        <v>50</v>
      </c>
      <c r="I395" s="19" t="str">
        <f aca="false">INDEX(Lists!$B$2:$B$6,MATCH(H395,Lists!$A$2:$A$6,0))</f>
        <v>المنطقة الغربية</v>
      </c>
      <c r="J395" s="30" t="s">
        <v>107</v>
      </c>
      <c r="K395" s="30" t="s">
        <v>272</v>
      </c>
      <c r="L395" s="31" t="n">
        <v>5449</v>
      </c>
      <c r="M395" s="19" t="n">
        <v>1</v>
      </c>
      <c r="N395" s="32" t="n">
        <v>0</v>
      </c>
      <c r="O395" s="30" t="s">
        <v>48</v>
      </c>
      <c r="P395" s="30" t="s">
        <v>51</v>
      </c>
      <c r="Q395" s="30" t="s">
        <v>96</v>
      </c>
      <c r="R395" s="25" t="n">
        <f aca="false">L395*M395*(1-N395)</f>
        <v>5449</v>
      </c>
    </row>
    <row r="396" customFormat="false" ht="15" hidden="false" customHeight="false" outlineLevel="0" collapsed="false">
      <c r="A396" s="30" t="s">
        <v>567</v>
      </c>
      <c r="B396" s="44" t="n">
        <v>45437</v>
      </c>
      <c r="C396" s="19" t="n">
        <f aca="false">YEAR(B396)</f>
        <v>2024</v>
      </c>
      <c r="D396" s="19" t="n">
        <f aca="false">MONTH(B396)</f>
        <v>5</v>
      </c>
      <c r="E396" s="30" t="str">
        <f aca="false">INDEX(Lists!$K$2:$K$13,MATCH(D396,Lists!$J$2:$J$13,0))</f>
        <v>مايو</v>
      </c>
      <c r="F396" s="19" t="str">
        <f aca="false">"Q"&amp;ROUNDUP(D396/3,0)</f>
        <v>Q2</v>
      </c>
      <c r="G396" s="30" t="str">
        <f aca="false">INDEX(Lists!$N$2:$N$8,MATCH(WEEKDAY(B396,2),Lists!$M$2:$M$8,0))</f>
        <v>السبت</v>
      </c>
      <c r="H396" s="30" t="s">
        <v>50</v>
      </c>
      <c r="I396" s="19" t="str">
        <f aca="false">INDEX(Lists!$B$2:$B$6,MATCH(H396,Lists!$A$2:$A$6,0))</f>
        <v>المنطقة الغربية</v>
      </c>
      <c r="J396" s="30" t="s">
        <v>107</v>
      </c>
      <c r="K396" s="30" t="s">
        <v>184</v>
      </c>
      <c r="L396" s="31" t="n">
        <v>3929</v>
      </c>
      <c r="M396" s="19" t="n">
        <v>6</v>
      </c>
      <c r="N396" s="32" t="n">
        <v>0</v>
      </c>
      <c r="O396" s="30" t="s">
        <v>48</v>
      </c>
      <c r="P396" s="30" t="s">
        <v>51</v>
      </c>
      <c r="Q396" s="30" t="s">
        <v>99</v>
      </c>
      <c r="R396" s="25" t="n">
        <f aca="false">L396*M396*(1-N396)</f>
        <v>23574</v>
      </c>
    </row>
    <row r="397" customFormat="false" ht="15" hidden="false" customHeight="false" outlineLevel="0" collapsed="false">
      <c r="A397" s="30" t="s">
        <v>568</v>
      </c>
      <c r="B397" s="44" t="n">
        <v>45437</v>
      </c>
      <c r="C397" s="19" t="n">
        <f aca="false">YEAR(B397)</f>
        <v>2024</v>
      </c>
      <c r="D397" s="19" t="n">
        <f aca="false">MONTH(B397)</f>
        <v>5</v>
      </c>
      <c r="E397" s="30" t="str">
        <f aca="false">INDEX(Lists!$K$2:$K$13,MATCH(D397,Lists!$J$2:$J$13,0))</f>
        <v>مايو</v>
      </c>
      <c r="F397" s="19" t="str">
        <f aca="false">"Q"&amp;ROUNDUP(D397/3,0)</f>
        <v>Q2</v>
      </c>
      <c r="G397" s="30" t="str">
        <f aca="false">INDEX(Lists!$N$2:$N$8,MATCH(WEEKDAY(B397,2),Lists!$M$2:$M$8,0))</f>
        <v>السبت</v>
      </c>
      <c r="H397" s="30" t="s">
        <v>57</v>
      </c>
      <c r="I397" s="19" t="str">
        <f aca="false">INDEX(Lists!$B$2:$B$6,MATCH(H397,Lists!$A$2:$A$6,0))</f>
        <v>المنطقة الغربية</v>
      </c>
      <c r="J397" s="30" t="s">
        <v>111</v>
      </c>
      <c r="K397" s="30" t="s">
        <v>108</v>
      </c>
      <c r="L397" s="31" t="n">
        <v>329</v>
      </c>
      <c r="M397" s="19" t="n">
        <v>1</v>
      </c>
      <c r="N397" s="32" t="n">
        <v>0.1</v>
      </c>
      <c r="O397" s="30" t="s">
        <v>48</v>
      </c>
      <c r="P397" s="30" t="s">
        <v>47</v>
      </c>
      <c r="Q397" s="30" t="s">
        <v>84</v>
      </c>
      <c r="R397" s="25" t="n">
        <f aca="false">L397*M397*(1-N397)</f>
        <v>296.1</v>
      </c>
    </row>
    <row r="398" customFormat="false" ht="15" hidden="false" customHeight="false" outlineLevel="0" collapsed="false">
      <c r="A398" s="30" t="s">
        <v>569</v>
      </c>
      <c r="B398" s="44" t="n">
        <v>45437</v>
      </c>
      <c r="C398" s="19" t="n">
        <f aca="false">YEAR(B398)</f>
        <v>2024</v>
      </c>
      <c r="D398" s="19" t="n">
        <f aca="false">MONTH(B398)</f>
        <v>5</v>
      </c>
      <c r="E398" s="30" t="str">
        <f aca="false">INDEX(Lists!$K$2:$K$13,MATCH(D398,Lists!$J$2:$J$13,0))</f>
        <v>مايو</v>
      </c>
      <c r="F398" s="19" t="str">
        <f aca="false">"Q"&amp;ROUNDUP(D398/3,0)</f>
        <v>Q2</v>
      </c>
      <c r="G398" s="30" t="str">
        <f aca="false">INDEX(Lists!$N$2:$N$8,MATCH(WEEKDAY(B398,2),Lists!$M$2:$M$8,0))</f>
        <v>السبت</v>
      </c>
      <c r="H398" s="30" t="s">
        <v>46</v>
      </c>
      <c r="I398" s="19" t="str">
        <f aca="false">INDEX(Lists!$B$2:$B$6,MATCH(H398,Lists!$A$2:$A$6,0))</f>
        <v>المنطقة الوسطى</v>
      </c>
      <c r="J398" s="30" t="s">
        <v>109</v>
      </c>
      <c r="K398" s="30" t="s">
        <v>192</v>
      </c>
      <c r="L398" s="31" t="n">
        <v>199</v>
      </c>
      <c r="M398" s="19" t="n">
        <v>1</v>
      </c>
      <c r="N398" s="32" t="n">
        <v>0.1</v>
      </c>
      <c r="O398" s="30" t="s">
        <v>52</v>
      </c>
      <c r="P398" s="30" t="s">
        <v>47</v>
      </c>
      <c r="Q398" s="30" t="s">
        <v>86</v>
      </c>
      <c r="R398" s="25" t="n">
        <f aca="false">L398*M398*(1-N398)</f>
        <v>179.1</v>
      </c>
    </row>
    <row r="399" customFormat="false" ht="15" hidden="false" customHeight="false" outlineLevel="0" collapsed="false">
      <c r="A399" s="30" t="s">
        <v>570</v>
      </c>
      <c r="B399" s="44" t="n">
        <v>45438</v>
      </c>
      <c r="C399" s="19" t="n">
        <f aca="false">YEAR(B399)</f>
        <v>2024</v>
      </c>
      <c r="D399" s="19" t="n">
        <f aca="false">MONTH(B399)</f>
        <v>5</v>
      </c>
      <c r="E399" s="30" t="str">
        <f aca="false">INDEX(Lists!$K$2:$K$13,MATCH(D399,Lists!$J$2:$J$13,0))</f>
        <v>مايو</v>
      </c>
      <c r="F399" s="19" t="str">
        <f aca="false">"Q"&amp;ROUNDUP(D399/3,0)</f>
        <v>Q2</v>
      </c>
      <c r="G399" s="30" t="str">
        <f aca="false">INDEX(Lists!$N$2:$N$8,MATCH(WEEKDAY(B399,2),Lists!$M$2:$M$8,0))</f>
        <v>الأحد</v>
      </c>
      <c r="H399" s="30" t="s">
        <v>57</v>
      </c>
      <c r="I399" s="19" t="str">
        <f aca="false">INDEX(Lists!$B$2:$B$6,MATCH(H399,Lists!$A$2:$A$6,0))</f>
        <v>المنطقة الغربية</v>
      </c>
      <c r="J399" s="30" t="s">
        <v>107</v>
      </c>
      <c r="K399" s="30" t="s">
        <v>272</v>
      </c>
      <c r="L399" s="31" t="n">
        <v>3669</v>
      </c>
      <c r="M399" s="19" t="n">
        <v>2</v>
      </c>
      <c r="N399" s="32" t="n">
        <v>0</v>
      </c>
      <c r="O399" s="30" t="s">
        <v>48</v>
      </c>
      <c r="P399" s="30" t="s">
        <v>47</v>
      </c>
      <c r="Q399" s="30" t="s">
        <v>81</v>
      </c>
      <c r="R399" s="25" t="n">
        <f aca="false">L399*M399*(1-N399)</f>
        <v>7338</v>
      </c>
    </row>
    <row r="400" customFormat="false" ht="15" hidden="false" customHeight="false" outlineLevel="0" collapsed="false">
      <c r="A400" s="30" t="s">
        <v>571</v>
      </c>
      <c r="B400" s="44" t="n">
        <v>45438</v>
      </c>
      <c r="C400" s="19" t="n">
        <f aca="false">YEAR(B400)</f>
        <v>2024</v>
      </c>
      <c r="D400" s="19" t="n">
        <f aca="false">MONTH(B400)</f>
        <v>5</v>
      </c>
      <c r="E400" s="30" t="str">
        <f aca="false">INDEX(Lists!$K$2:$K$13,MATCH(D400,Lists!$J$2:$J$13,0))</f>
        <v>مايو</v>
      </c>
      <c r="F400" s="19" t="str">
        <f aca="false">"Q"&amp;ROUNDUP(D400/3,0)</f>
        <v>Q2</v>
      </c>
      <c r="G400" s="30" t="str">
        <f aca="false">INDEX(Lists!$N$2:$N$8,MATCH(WEEKDAY(B400,2),Lists!$M$2:$M$8,0))</f>
        <v>الأحد</v>
      </c>
      <c r="H400" s="30" t="s">
        <v>57</v>
      </c>
      <c r="I400" s="19" t="str">
        <f aca="false">INDEX(Lists!$B$2:$B$6,MATCH(H400,Lists!$A$2:$A$6,0))</f>
        <v>المنطقة الغربية</v>
      </c>
      <c r="J400" s="30" t="s">
        <v>105</v>
      </c>
      <c r="K400" s="30" t="s">
        <v>85</v>
      </c>
      <c r="L400" s="31" t="n">
        <v>2529</v>
      </c>
      <c r="M400" s="19" t="n">
        <v>2</v>
      </c>
      <c r="N400" s="32" t="n">
        <v>0</v>
      </c>
      <c r="O400" s="30" t="s">
        <v>55</v>
      </c>
      <c r="P400" s="30" t="s">
        <v>51</v>
      </c>
      <c r="Q400" s="30" t="s">
        <v>94</v>
      </c>
      <c r="R400" s="25" t="n">
        <f aca="false">L400*M400*(1-N400)</f>
        <v>5058</v>
      </c>
    </row>
    <row r="401" customFormat="false" ht="15" hidden="false" customHeight="false" outlineLevel="0" collapsed="false">
      <c r="A401" s="30" t="s">
        <v>572</v>
      </c>
      <c r="B401" s="44" t="n">
        <v>45439</v>
      </c>
      <c r="C401" s="19" t="n">
        <f aca="false">YEAR(B401)</f>
        <v>2024</v>
      </c>
      <c r="D401" s="19" t="n">
        <f aca="false">MONTH(B401)</f>
        <v>5</v>
      </c>
      <c r="E401" s="30" t="str">
        <f aca="false">INDEX(Lists!$K$2:$K$13,MATCH(D401,Lists!$J$2:$J$13,0))</f>
        <v>مايو</v>
      </c>
      <c r="F401" s="19" t="str">
        <f aca="false">"Q"&amp;ROUNDUP(D401/3,0)</f>
        <v>Q2</v>
      </c>
      <c r="G401" s="30" t="str">
        <f aca="false">INDEX(Lists!$N$2:$N$8,MATCH(WEEKDAY(B401,2),Lists!$M$2:$M$8,0))</f>
        <v>الإثنين</v>
      </c>
      <c r="H401" s="30" t="s">
        <v>54</v>
      </c>
      <c r="I401" s="19" t="str">
        <f aca="false">INDEX(Lists!$B$2:$B$6,MATCH(H401,Lists!$A$2:$A$6,0))</f>
        <v>المنطقة الشرقية</v>
      </c>
      <c r="J401" s="30" t="s">
        <v>109</v>
      </c>
      <c r="K401" s="30" t="s">
        <v>175</v>
      </c>
      <c r="L401" s="31" t="n">
        <v>139</v>
      </c>
      <c r="M401" s="19" t="n">
        <v>4</v>
      </c>
      <c r="N401" s="32" t="n">
        <v>0</v>
      </c>
      <c r="O401" s="30" t="s">
        <v>48</v>
      </c>
      <c r="P401" s="30" t="s">
        <v>51</v>
      </c>
      <c r="Q401" s="30" t="s">
        <v>84</v>
      </c>
      <c r="R401" s="25" t="n">
        <f aca="false">L401*M401*(1-N401)</f>
        <v>556</v>
      </c>
    </row>
    <row r="402" customFormat="false" ht="15" hidden="false" customHeight="false" outlineLevel="0" collapsed="false">
      <c r="A402" s="30" t="s">
        <v>573</v>
      </c>
      <c r="B402" s="44" t="n">
        <v>45440</v>
      </c>
      <c r="C402" s="19" t="n">
        <f aca="false">YEAR(B402)</f>
        <v>2024</v>
      </c>
      <c r="D402" s="19" t="n">
        <f aca="false">MONTH(B402)</f>
        <v>5</v>
      </c>
      <c r="E402" s="30" t="str">
        <f aca="false">INDEX(Lists!$K$2:$K$13,MATCH(D402,Lists!$J$2:$J$13,0))</f>
        <v>مايو</v>
      </c>
      <c r="F402" s="19" t="str">
        <f aca="false">"Q"&amp;ROUNDUP(D402/3,0)</f>
        <v>Q2</v>
      </c>
      <c r="G402" s="30" t="str">
        <f aca="false">INDEX(Lists!$N$2:$N$8,MATCH(WEEKDAY(B402,2),Lists!$M$2:$M$8,0))</f>
        <v>الثلاثاء</v>
      </c>
      <c r="H402" s="30" t="s">
        <v>50</v>
      </c>
      <c r="I402" s="19" t="str">
        <f aca="false">INDEX(Lists!$B$2:$B$6,MATCH(H402,Lists!$A$2:$A$6,0))</f>
        <v>المنطقة الغربية</v>
      </c>
      <c r="J402" s="30" t="s">
        <v>109</v>
      </c>
      <c r="K402" s="30" t="s">
        <v>175</v>
      </c>
      <c r="L402" s="31" t="n">
        <v>149</v>
      </c>
      <c r="M402" s="19" t="n">
        <v>1</v>
      </c>
      <c r="N402" s="32" t="n">
        <v>0</v>
      </c>
      <c r="O402" s="30" t="s">
        <v>48</v>
      </c>
      <c r="P402" s="30" t="s">
        <v>47</v>
      </c>
      <c r="Q402" s="30" t="s">
        <v>86</v>
      </c>
      <c r="R402" s="25" t="n">
        <f aca="false">L402*M402*(1-N402)</f>
        <v>149</v>
      </c>
    </row>
    <row r="403" customFormat="false" ht="15" hidden="false" customHeight="false" outlineLevel="0" collapsed="false">
      <c r="A403" s="30" t="s">
        <v>574</v>
      </c>
      <c r="B403" s="44" t="n">
        <v>45440</v>
      </c>
      <c r="C403" s="19" t="n">
        <f aca="false">YEAR(B403)</f>
        <v>2024</v>
      </c>
      <c r="D403" s="19" t="n">
        <f aca="false">MONTH(B403)</f>
        <v>5</v>
      </c>
      <c r="E403" s="30" t="str">
        <f aca="false">INDEX(Lists!$K$2:$K$13,MATCH(D403,Lists!$J$2:$J$13,0))</f>
        <v>مايو</v>
      </c>
      <c r="F403" s="19" t="str">
        <f aca="false">"Q"&amp;ROUNDUP(D403/3,0)</f>
        <v>Q2</v>
      </c>
      <c r="G403" s="30" t="str">
        <f aca="false">INDEX(Lists!$N$2:$N$8,MATCH(WEEKDAY(B403,2),Lists!$M$2:$M$8,0))</f>
        <v>الثلاثاء</v>
      </c>
      <c r="H403" s="30" t="s">
        <v>60</v>
      </c>
      <c r="I403" s="19" t="str">
        <f aca="false">INDEX(Lists!$B$2:$B$6,MATCH(H403,Lists!$A$2:$A$6,0))</f>
        <v>المنطقة الغربية</v>
      </c>
      <c r="J403" s="30" t="s">
        <v>105</v>
      </c>
      <c r="K403" s="30" t="s">
        <v>179</v>
      </c>
      <c r="L403" s="31" t="n">
        <v>3289</v>
      </c>
      <c r="M403" s="19" t="n">
        <v>6</v>
      </c>
      <c r="N403" s="32" t="n">
        <v>0</v>
      </c>
      <c r="O403" s="30" t="s">
        <v>48</v>
      </c>
      <c r="P403" s="30" t="s">
        <v>51</v>
      </c>
      <c r="Q403" s="30" t="s">
        <v>89</v>
      </c>
      <c r="R403" s="25" t="n">
        <f aca="false">L403*M403*(1-N403)</f>
        <v>19734</v>
      </c>
    </row>
    <row r="404" customFormat="false" ht="15" hidden="false" customHeight="false" outlineLevel="0" collapsed="false">
      <c r="A404" s="30" t="s">
        <v>575</v>
      </c>
      <c r="B404" s="44" t="n">
        <v>45440</v>
      </c>
      <c r="C404" s="19" t="n">
        <f aca="false">YEAR(B404)</f>
        <v>2024</v>
      </c>
      <c r="D404" s="19" t="n">
        <f aca="false">MONTH(B404)</f>
        <v>5</v>
      </c>
      <c r="E404" s="30" t="str">
        <f aca="false">INDEX(Lists!$K$2:$K$13,MATCH(D404,Lists!$J$2:$J$13,0))</f>
        <v>مايو</v>
      </c>
      <c r="F404" s="19" t="str">
        <f aca="false">"Q"&amp;ROUNDUP(D404/3,0)</f>
        <v>Q2</v>
      </c>
      <c r="G404" s="30" t="str">
        <f aca="false">INDEX(Lists!$N$2:$N$8,MATCH(WEEKDAY(B404,2),Lists!$M$2:$M$8,0))</f>
        <v>الثلاثاء</v>
      </c>
      <c r="H404" s="30" t="s">
        <v>60</v>
      </c>
      <c r="I404" s="19" t="str">
        <f aca="false">INDEX(Lists!$B$2:$B$6,MATCH(H404,Lists!$A$2:$A$6,0))</f>
        <v>المنطقة الغربية</v>
      </c>
      <c r="J404" s="30" t="s">
        <v>107</v>
      </c>
      <c r="K404" s="30" t="s">
        <v>184</v>
      </c>
      <c r="L404" s="31" t="n">
        <v>3929</v>
      </c>
      <c r="M404" s="19" t="n">
        <v>2</v>
      </c>
      <c r="N404" s="32" t="n">
        <v>0.05</v>
      </c>
      <c r="O404" s="30" t="s">
        <v>52</v>
      </c>
      <c r="P404" s="30" t="s">
        <v>47</v>
      </c>
      <c r="Q404" s="30" t="s">
        <v>94</v>
      </c>
      <c r="R404" s="25" t="n">
        <f aca="false">L404*M404*(1-N404)</f>
        <v>7465.1</v>
      </c>
    </row>
    <row r="405" customFormat="false" ht="15" hidden="false" customHeight="false" outlineLevel="0" collapsed="false">
      <c r="A405" s="30" t="s">
        <v>576</v>
      </c>
      <c r="B405" s="44" t="n">
        <v>45441</v>
      </c>
      <c r="C405" s="19" t="n">
        <f aca="false">YEAR(B405)</f>
        <v>2024</v>
      </c>
      <c r="D405" s="19" t="n">
        <f aca="false">MONTH(B405)</f>
        <v>5</v>
      </c>
      <c r="E405" s="30" t="str">
        <f aca="false">INDEX(Lists!$K$2:$K$13,MATCH(D405,Lists!$J$2:$J$13,0))</f>
        <v>مايو</v>
      </c>
      <c r="F405" s="19" t="str">
        <f aca="false">"Q"&amp;ROUNDUP(D405/3,0)</f>
        <v>Q2</v>
      </c>
      <c r="G405" s="30" t="str">
        <f aca="false">INDEX(Lists!$N$2:$N$8,MATCH(WEEKDAY(B405,2),Lists!$M$2:$M$8,0))</f>
        <v>الأربعاء</v>
      </c>
      <c r="H405" s="30" t="s">
        <v>46</v>
      </c>
      <c r="I405" s="19" t="str">
        <f aca="false">INDEX(Lists!$B$2:$B$6,MATCH(H405,Lists!$A$2:$A$6,0))</f>
        <v>المنطقة الوسطى</v>
      </c>
      <c r="J405" s="30" t="s">
        <v>109</v>
      </c>
      <c r="K405" s="30" t="s">
        <v>192</v>
      </c>
      <c r="L405" s="31" t="n">
        <v>69</v>
      </c>
      <c r="M405" s="19" t="n">
        <v>2</v>
      </c>
      <c r="N405" s="32" t="n">
        <v>0</v>
      </c>
      <c r="O405" s="30" t="s">
        <v>48</v>
      </c>
      <c r="P405" s="30" t="s">
        <v>51</v>
      </c>
      <c r="Q405" s="30" t="s">
        <v>99</v>
      </c>
      <c r="R405" s="25" t="n">
        <f aca="false">L405*M405*(1-N405)</f>
        <v>138</v>
      </c>
    </row>
    <row r="406" customFormat="false" ht="15" hidden="false" customHeight="false" outlineLevel="0" collapsed="false">
      <c r="A406" s="30" t="s">
        <v>577</v>
      </c>
      <c r="B406" s="44" t="n">
        <v>45441</v>
      </c>
      <c r="C406" s="19" t="n">
        <f aca="false">YEAR(B406)</f>
        <v>2024</v>
      </c>
      <c r="D406" s="19" t="n">
        <f aca="false">MONTH(B406)</f>
        <v>5</v>
      </c>
      <c r="E406" s="30" t="str">
        <f aca="false">INDEX(Lists!$K$2:$K$13,MATCH(D406,Lists!$J$2:$J$13,0))</f>
        <v>مايو</v>
      </c>
      <c r="F406" s="19" t="str">
        <f aca="false">"Q"&amp;ROUNDUP(D406/3,0)</f>
        <v>Q2</v>
      </c>
      <c r="G406" s="30" t="str">
        <f aca="false">INDEX(Lists!$N$2:$N$8,MATCH(WEEKDAY(B406,2),Lists!$M$2:$M$8,0))</f>
        <v>الأربعاء</v>
      </c>
      <c r="H406" s="30" t="s">
        <v>46</v>
      </c>
      <c r="I406" s="19" t="str">
        <f aca="false">INDEX(Lists!$B$2:$B$6,MATCH(H406,Lists!$A$2:$A$6,0))</f>
        <v>المنطقة الوسطى</v>
      </c>
      <c r="J406" s="30" t="s">
        <v>107</v>
      </c>
      <c r="K406" s="30" t="s">
        <v>115</v>
      </c>
      <c r="L406" s="31" t="n">
        <v>5579</v>
      </c>
      <c r="M406" s="19" t="n">
        <v>1</v>
      </c>
      <c r="N406" s="32" t="n">
        <v>0</v>
      </c>
      <c r="O406" s="30" t="s">
        <v>48</v>
      </c>
      <c r="P406" s="30" t="s">
        <v>47</v>
      </c>
      <c r="Q406" s="30" t="s">
        <v>84</v>
      </c>
      <c r="R406" s="25" t="n">
        <f aca="false">L406*M406*(1-N406)</f>
        <v>5579</v>
      </c>
    </row>
    <row r="407" customFormat="false" ht="15" hidden="false" customHeight="false" outlineLevel="0" collapsed="false">
      <c r="A407" s="30" t="s">
        <v>578</v>
      </c>
      <c r="B407" s="44" t="n">
        <v>45442</v>
      </c>
      <c r="C407" s="19" t="n">
        <f aca="false">YEAR(B407)</f>
        <v>2024</v>
      </c>
      <c r="D407" s="19" t="n">
        <f aca="false">MONTH(B407)</f>
        <v>5</v>
      </c>
      <c r="E407" s="30" t="str">
        <f aca="false">INDEX(Lists!$K$2:$K$13,MATCH(D407,Lists!$J$2:$J$13,0))</f>
        <v>مايو</v>
      </c>
      <c r="F407" s="19" t="str">
        <f aca="false">"Q"&amp;ROUNDUP(D407/3,0)</f>
        <v>Q2</v>
      </c>
      <c r="G407" s="30" t="str">
        <f aca="false">INDEX(Lists!$N$2:$N$8,MATCH(WEEKDAY(B407,2),Lists!$M$2:$M$8,0))</f>
        <v>الخميس</v>
      </c>
      <c r="H407" s="30" t="s">
        <v>46</v>
      </c>
      <c r="I407" s="19" t="str">
        <f aca="false">INDEX(Lists!$B$2:$B$6,MATCH(H407,Lists!$A$2:$A$6,0))</f>
        <v>المنطقة الوسطى</v>
      </c>
      <c r="J407" s="30" t="s">
        <v>113</v>
      </c>
      <c r="K407" s="30" t="s">
        <v>97</v>
      </c>
      <c r="L407" s="31" t="n">
        <v>419</v>
      </c>
      <c r="M407" s="19" t="n">
        <v>10</v>
      </c>
      <c r="N407" s="32" t="n">
        <v>0.15</v>
      </c>
      <c r="O407" s="30" t="s">
        <v>48</v>
      </c>
      <c r="P407" s="30" t="s">
        <v>51</v>
      </c>
      <c r="Q407" s="30" t="s">
        <v>99</v>
      </c>
      <c r="R407" s="25" t="n">
        <f aca="false">L407*M407*(1-N407)</f>
        <v>3561.5</v>
      </c>
    </row>
    <row r="408" customFormat="false" ht="15" hidden="false" customHeight="false" outlineLevel="0" collapsed="false">
      <c r="A408" s="30" t="s">
        <v>579</v>
      </c>
      <c r="B408" s="44" t="n">
        <v>45444</v>
      </c>
      <c r="C408" s="19" t="n">
        <f aca="false">YEAR(B408)</f>
        <v>2024</v>
      </c>
      <c r="D408" s="19" t="n">
        <f aca="false">MONTH(B408)</f>
        <v>6</v>
      </c>
      <c r="E408" s="30" t="str">
        <f aca="false">INDEX(Lists!$K$2:$K$13,MATCH(D408,Lists!$J$2:$J$13,0))</f>
        <v>يونيو</v>
      </c>
      <c r="F408" s="19" t="str">
        <f aca="false">"Q"&amp;ROUNDUP(D408/3,0)</f>
        <v>Q2</v>
      </c>
      <c r="G408" s="30" t="str">
        <f aca="false">INDEX(Lists!$N$2:$N$8,MATCH(WEEKDAY(B408,2),Lists!$M$2:$M$8,0))</f>
        <v>السبت</v>
      </c>
      <c r="H408" s="30" t="s">
        <v>60</v>
      </c>
      <c r="I408" s="19" t="str">
        <f aca="false">INDEX(Lists!$B$2:$B$6,MATCH(H408,Lists!$A$2:$A$6,0))</f>
        <v>المنطقة الغربية</v>
      </c>
      <c r="J408" s="30" t="s">
        <v>109</v>
      </c>
      <c r="K408" s="30" t="s">
        <v>175</v>
      </c>
      <c r="L408" s="31" t="n">
        <v>119</v>
      </c>
      <c r="M408" s="19" t="n">
        <v>1</v>
      </c>
      <c r="N408" s="32" t="n">
        <v>0</v>
      </c>
      <c r="O408" s="30" t="s">
        <v>48</v>
      </c>
      <c r="P408" s="30" t="s">
        <v>47</v>
      </c>
      <c r="Q408" s="30" t="s">
        <v>89</v>
      </c>
      <c r="R408" s="25" t="n">
        <f aca="false">L408*M408*(1-N408)</f>
        <v>119</v>
      </c>
    </row>
    <row r="409" customFormat="false" ht="15" hidden="false" customHeight="false" outlineLevel="0" collapsed="false">
      <c r="A409" s="30" t="s">
        <v>580</v>
      </c>
      <c r="B409" s="44" t="n">
        <v>45444</v>
      </c>
      <c r="C409" s="19" t="n">
        <f aca="false">YEAR(B409)</f>
        <v>2024</v>
      </c>
      <c r="D409" s="19" t="n">
        <f aca="false">MONTH(B409)</f>
        <v>6</v>
      </c>
      <c r="E409" s="30" t="str">
        <f aca="false">INDEX(Lists!$K$2:$K$13,MATCH(D409,Lists!$J$2:$J$13,0))</f>
        <v>يونيو</v>
      </c>
      <c r="F409" s="19" t="str">
        <f aca="false">"Q"&amp;ROUNDUP(D409/3,0)</f>
        <v>Q2</v>
      </c>
      <c r="G409" s="30" t="str">
        <f aca="false">INDEX(Lists!$N$2:$N$8,MATCH(WEEKDAY(B409,2),Lists!$M$2:$M$8,0))</f>
        <v>السبت</v>
      </c>
      <c r="H409" s="30" t="s">
        <v>60</v>
      </c>
      <c r="I409" s="19" t="str">
        <f aca="false">INDEX(Lists!$B$2:$B$6,MATCH(H409,Lists!$A$2:$A$6,0))</f>
        <v>المنطقة الغربية</v>
      </c>
      <c r="J409" s="30" t="s">
        <v>111</v>
      </c>
      <c r="K409" s="30" t="s">
        <v>118</v>
      </c>
      <c r="L409" s="31" t="n">
        <v>389</v>
      </c>
      <c r="M409" s="19" t="n">
        <v>1</v>
      </c>
      <c r="N409" s="32" t="n">
        <v>0</v>
      </c>
      <c r="O409" s="30" t="s">
        <v>55</v>
      </c>
      <c r="P409" s="30" t="s">
        <v>47</v>
      </c>
      <c r="Q409" s="30" t="s">
        <v>96</v>
      </c>
      <c r="R409" s="25" t="n">
        <f aca="false">L409*M409*(1-N409)</f>
        <v>389</v>
      </c>
    </row>
    <row r="410" customFormat="false" ht="15" hidden="false" customHeight="false" outlineLevel="0" collapsed="false">
      <c r="A410" s="30" t="s">
        <v>581</v>
      </c>
      <c r="B410" s="44" t="n">
        <v>45445</v>
      </c>
      <c r="C410" s="19" t="n">
        <f aca="false">YEAR(B410)</f>
        <v>2024</v>
      </c>
      <c r="D410" s="19" t="n">
        <f aca="false">MONTH(B410)</f>
        <v>6</v>
      </c>
      <c r="E410" s="30" t="str">
        <f aca="false">INDEX(Lists!$K$2:$K$13,MATCH(D410,Lists!$J$2:$J$13,0))</f>
        <v>يونيو</v>
      </c>
      <c r="F410" s="19" t="str">
        <f aca="false">"Q"&amp;ROUNDUP(D410/3,0)</f>
        <v>Q2</v>
      </c>
      <c r="G410" s="30" t="str">
        <f aca="false">INDEX(Lists!$N$2:$N$8,MATCH(WEEKDAY(B410,2),Lists!$M$2:$M$8,0))</f>
        <v>الأحد</v>
      </c>
      <c r="H410" s="30" t="s">
        <v>46</v>
      </c>
      <c r="I410" s="19" t="str">
        <f aca="false">INDEX(Lists!$B$2:$B$6,MATCH(H410,Lists!$A$2:$A$6,0))</f>
        <v>المنطقة الوسطى</v>
      </c>
      <c r="J410" s="30" t="s">
        <v>107</v>
      </c>
      <c r="K410" s="30" t="s">
        <v>184</v>
      </c>
      <c r="L410" s="31" t="n">
        <v>2999</v>
      </c>
      <c r="M410" s="19" t="n">
        <v>1</v>
      </c>
      <c r="N410" s="32" t="n">
        <v>0.15</v>
      </c>
      <c r="O410" s="30" t="s">
        <v>52</v>
      </c>
      <c r="P410" s="30" t="s">
        <v>47</v>
      </c>
      <c r="Q410" s="30" t="s">
        <v>89</v>
      </c>
      <c r="R410" s="25" t="n">
        <f aca="false">L410*M410*(1-N410)</f>
        <v>2549.15</v>
      </c>
    </row>
    <row r="411" customFormat="false" ht="15" hidden="false" customHeight="false" outlineLevel="0" collapsed="false">
      <c r="A411" s="30" t="s">
        <v>582</v>
      </c>
      <c r="B411" s="44" t="n">
        <v>45445</v>
      </c>
      <c r="C411" s="19" t="n">
        <f aca="false">YEAR(B411)</f>
        <v>2024</v>
      </c>
      <c r="D411" s="19" t="n">
        <f aca="false">MONTH(B411)</f>
        <v>6</v>
      </c>
      <c r="E411" s="30" t="str">
        <f aca="false">INDEX(Lists!$K$2:$K$13,MATCH(D411,Lists!$J$2:$J$13,0))</f>
        <v>يونيو</v>
      </c>
      <c r="F411" s="19" t="str">
        <f aca="false">"Q"&amp;ROUNDUP(D411/3,0)</f>
        <v>Q2</v>
      </c>
      <c r="G411" s="30" t="str">
        <f aca="false">INDEX(Lists!$N$2:$N$8,MATCH(WEEKDAY(B411,2),Lists!$M$2:$M$8,0))</f>
        <v>الأحد</v>
      </c>
      <c r="H411" s="30" t="s">
        <v>50</v>
      </c>
      <c r="I411" s="19" t="str">
        <f aca="false">INDEX(Lists!$B$2:$B$6,MATCH(H411,Lists!$A$2:$A$6,0))</f>
        <v>المنطقة الغربية</v>
      </c>
      <c r="J411" s="30" t="s">
        <v>111</v>
      </c>
      <c r="K411" s="30" t="s">
        <v>120</v>
      </c>
      <c r="L411" s="31" t="n">
        <v>249</v>
      </c>
      <c r="M411" s="19" t="n">
        <v>1</v>
      </c>
      <c r="N411" s="32" t="n">
        <v>0</v>
      </c>
      <c r="O411" s="30" t="s">
        <v>48</v>
      </c>
      <c r="P411" s="30" t="s">
        <v>47</v>
      </c>
      <c r="Q411" s="30" t="s">
        <v>92</v>
      </c>
      <c r="R411" s="25" t="n">
        <f aca="false">L411*M411*(1-N411)</f>
        <v>249</v>
      </c>
    </row>
    <row r="412" customFormat="false" ht="15" hidden="false" customHeight="false" outlineLevel="0" collapsed="false">
      <c r="A412" s="30" t="s">
        <v>583</v>
      </c>
      <c r="B412" s="44" t="n">
        <v>45445</v>
      </c>
      <c r="C412" s="19" t="n">
        <f aca="false">YEAR(B412)</f>
        <v>2024</v>
      </c>
      <c r="D412" s="19" t="n">
        <f aca="false">MONTH(B412)</f>
        <v>6</v>
      </c>
      <c r="E412" s="30" t="str">
        <f aca="false">INDEX(Lists!$K$2:$K$13,MATCH(D412,Lists!$J$2:$J$13,0))</f>
        <v>يونيو</v>
      </c>
      <c r="F412" s="19" t="str">
        <f aca="false">"Q"&amp;ROUNDUP(D412/3,0)</f>
        <v>Q2</v>
      </c>
      <c r="G412" s="30" t="str">
        <f aca="false">INDEX(Lists!$N$2:$N$8,MATCH(WEEKDAY(B412,2),Lists!$M$2:$M$8,0))</f>
        <v>الأحد</v>
      </c>
      <c r="H412" s="30" t="s">
        <v>54</v>
      </c>
      <c r="I412" s="19" t="str">
        <f aca="false">INDEX(Lists!$B$2:$B$6,MATCH(H412,Lists!$A$2:$A$6,0))</f>
        <v>المنطقة الشرقية</v>
      </c>
      <c r="J412" s="30" t="s">
        <v>105</v>
      </c>
      <c r="K412" s="30" t="s">
        <v>90</v>
      </c>
      <c r="L412" s="31" t="n">
        <v>3109</v>
      </c>
      <c r="M412" s="19" t="n">
        <v>1</v>
      </c>
      <c r="N412" s="32" t="n">
        <v>0</v>
      </c>
      <c r="O412" s="30" t="s">
        <v>48</v>
      </c>
      <c r="P412" s="30" t="s">
        <v>47</v>
      </c>
      <c r="Q412" s="30" t="s">
        <v>81</v>
      </c>
      <c r="R412" s="25" t="n">
        <f aca="false">L412*M412*(1-N412)</f>
        <v>3109</v>
      </c>
    </row>
    <row r="413" customFormat="false" ht="15" hidden="false" customHeight="false" outlineLevel="0" collapsed="false">
      <c r="A413" s="30" t="s">
        <v>584</v>
      </c>
      <c r="B413" s="44" t="n">
        <v>45445</v>
      </c>
      <c r="C413" s="19" t="n">
        <f aca="false">YEAR(B413)</f>
        <v>2024</v>
      </c>
      <c r="D413" s="19" t="n">
        <f aca="false">MONTH(B413)</f>
        <v>6</v>
      </c>
      <c r="E413" s="30" t="str">
        <f aca="false">INDEX(Lists!$K$2:$K$13,MATCH(D413,Lists!$J$2:$J$13,0))</f>
        <v>يونيو</v>
      </c>
      <c r="F413" s="19" t="str">
        <f aca="false">"Q"&amp;ROUNDUP(D413/3,0)</f>
        <v>Q2</v>
      </c>
      <c r="G413" s="30" t="str">
        <f aca="false">INDEX(Lists!$N$2:$N$8,MATCH(WEEKDAY(B413,2),Lists!$M$2:$M$8,0))</f>
        <v>الأحد</v>
      </c>
      <c r="H413" s="30" t="s">
        <v>50</v>
      </c>
      <c r="I413" s="19" t="str">
        <f aca="false">INDEX(Lists!$B$2:$B$6,MATCH(H413,Lists!$A$2:$A$6,0))</f>
        <v>المنطقة الغربية</v>
      </c>
      <c r="J413" s="30" t="s">
        <v>105</v>
      </c>
      <c r="K413" s="30" t="s">
        <v>90</v>
      </c>
      <c r="L413" s="31" t="n">
        <v>3049</v>
      </c>
      <c r="M413" s="19" t="n">
        <v>1</v>
      </c>
      <c r="N413" s="32" t="n">
        <v>0.05</v>
      </c>
      <c r="O413" s="30" t="s">
        <v>52</v>
      </c>
      <c r="P413" s="30" t="s">
        <v>47</v>
      </c>
      <c r="Q413" s="30" t="s">
        <v>86</v>
      </c>
      <c r="R413" s="25" t="n">
        <f aca="false">L413*M413*(1-N413)</f>
        <v>2896.55</v>
      </c>
    </row>
    <row r="414" customFormat="false" ht="15" hidden="false" customHeight="false" outlineLevel="0" collapsed="false">
      <c r="A414" s="30" t="s">
        <v>585</v>
      </c>
      <c r="B414" s="44" t="n">
        <v>45445</v>
      </c>
      <c r="C414" s="19" t="n">
        <f aca="false">YEAR(B414)</f>
        <v>2024</v>
      </c>
      <c r="D414" s="19" t="n">
        <f aca="false">MONTH(B414)</f>
        <v>6</v>
      </c>
      <c r="E414" s="30" t="str">
        <f aca="false">INDEX(Lists!$K$2:$K$13,MATCH(D414,Lists!$J$2:$J$13,0))</f>
        <v>يونيو</v>
      </c>
      <c r="F414" s="19" t="str">
        <f aca="false">"Q"&amp;ROUNDUP(D414/3,0)</f>
        <v>Q2</v>
      </c>
      <c r="G414" s="30" t="str">
        <f aca="false">INDEX(Lists!$N$2:$N$8,MATCH(WEEKDAY(B414,2),Lists!$M$2:$M$8,0))</f>
        <v>الأحد</v>
      </c>
      <c r="H414" s="30" t="s">
        <v>46</v>
      </c>
      <c r="I414" s="19" t="str">
        <f aca="false">INDEX(Lists!$B$2:$B$6,MATCH(H414,Lists!$A$2:$A$6,0))</f>
        <v>المنطقة الوسطى</v>
      </c>
      <c r="J414" s="30" t="s">
        <v>109</v>
      </c>
      <c r="K414" s="30" t="s">
        <v>175</v>
      </c>
      <c r="L414" s="31" t="n">
        <v>189</v>
      </c>
      <c r="M414" s="19" t="n">
        <v>1</v>
      </c>
      <c r="N414" s="32" t="n">
        <v>0</v>
      </c>
      <c r="O414" s="30" t="s">
        <v>48</v>
      </c>
      <c r="P414" s="30" t="s">
        <v>47</v>
      </c>
      <c r="Q414" s="30" t="s">
        <v>86</v>
      </c>
      <c r="R414" s="25" t="n">
        <f aca="false">L414*M414*(1-N414)</f>
        <v>189</v>
      </c>
    </row>
    <row r="415" customFormat="false" ht="15" hidden="false" customHeight="false" outlineLevel="0" collapsed="false">
      <c r="A415" s="30" t="s">
        <v>586</v>
      </c>
      <c r="B415" s="44" t="n">
        <v>45446</v>
      </c>
      <c r="C415" s="19" t="n">
        <f aca="false">YEAR(B415)</f>
        <v>2024</v>
      </c>
      <c r="D415" s="19" t="n">
        <f aca="false">MONTH(B415)</f>
        <v>6</v>
      </c>
      <c r="E415" s="30" t="str">
        <f aca="false">INDEX(Lists!$K$2:$K$13,MATCH(D415,Lists!$J$2:$J$13,0))</f>
        <v>يونيو</v>
      </c>
      <c r="F415" s="19" t="str">
        <f aca="false">"Q"&amp;ROUNDUP(D415/3,0)</f>
        <v>Q2</v>
      </c>
      <c r="G415" s="30" t="str">
        <f aca="false">INDEX(Lists!$N$2:$N$8,MATCH(WEEKDAY(B415,2),Lists!$M$2:$M$8,0))</f>
        <v>الإثنين</v>
      </c>
      <c r="H415" s="30" t="s">
        <v>57</v>
      </c>
      <c r="I415" s="19" t="str">
        <f aca="false">INDEX(Lists!$B$2:$B$6,MATCH(H415,Lists!$A$2:$A$6,0))</f>
        <v>المنطقة الغربية</v>
      </c>
      <c r="J415" s="30" t="s">
        <v>107</v>
      </c>
      <c r="K415" s="30" t="s">
        <v>114</v>
      </c>
      <c r="L415" s="31" t="n">
        <v>5379</v>
      </c>
      <c r="M415" s="19" t="n">
        <v>1</v>
      </c>
      <c r="N415" s="32" t="n">
        <v>0.15</v>
      </c>
      <c r="O415" s="30" t="s">
        <v>58</v>
      </c>
      <c r="P415" s="30" t="s">
        <v>47</v>
      </c>
      <c r="Q415" s="30" t="s">
        <v>76</v>
      </c>
      <c r="R415" s="25" t="n">
        <f aca="false">L415*M415*(1-N415)</f>
        <v>4572.15</v>
      </c>
    </row>
    <row r="416" customFormat="false" ht="15" hidden="false" customHeight="false" outlineLevel="0" collapsed="false">
      <c r="A416" s="30" t="s">
        <v>587</v>
      </c>
      <c r="B416" s="44" t="n">
        <v>45446</v>
      </c>
      <c r="C416" s="19" t="n">
        <f aca="false">YEAR(B416)</f>
        <v>2024</v>
      </c>
      <c r="D416" s="19" t="n">
        <f aca="false">MONTH(B416)</f>
        <v>6</v>
      </c>
      <c r="E416" s="30" t="str">
        <f aca="false">INDEX(Lists!$K$2:$K$13,MATCH(D416,Lists!$J$2:$J$13,0))</f>
        <v>يونيو</v>
      </c>
      <c r="F416" s="19" t="str">
        <f aca="false">"Q"&amp;ROUNDUP(D416/3,0)</f>
        <v>Q2</v>
      </c>
      <c r="G416" s="30" t="str">
        <f aca="false">INDEX(Lists!$N$2:$N$8,MATCH(WEEKDAY(B416,2),Lists!$M$2:$M$8,0))</f>
        <v>الإثنين</v>
      </c>
      <c r="H416" s="30" t="s">
        <v>46</v>
      </c>
      <c r="I416" s="19" t="str">
        <f aca="false">INDEX(Lists!$B$2:$B$6,MATCH(H416,Lists!$A$2:$A$6,0))</f>
        <v>المنطقة الوسطى</v>
      </c>
      <c r="J416" s="30" t="s">
        <v>111</v>
      </c>
      <c r="K416" s="30" t="s">
        <v>122</v>
      </c>
      <c r="L416" s="31" t="n">
        <v>459</v>
      </c>
      <c r="M416" s="19" t="n">
        <v>1</v>
      </c>
      <c r="N416" s="32" t="n">
        <v>0.1</v>
      </c>
      <c r="O416" s="30" t="s">
        <v>48</v>
      </c>
      <c r="P416" s="30" t="s">
        <v>47</v>
      </c>
      <c r="Q416" s="30" t="s">
        <v>89</v>
      </c>
      <c r="R416" s="25" t="n">
        <f aca="false">L416*M416*(1-N416)</f>
        <v>413.1</v>
      </c>
    </row>
    <row r="417" customFormat="false" ht="15" hidden="false" customHeight="false" outlineLevel="0" collapsed="false">
      <c r="A417" s="30" t="s">
        <v>588</v>
      </c>
      <c r="B417" s="44" t="n">
        <v>45446</v>
      </c>
      <c r="C417" s="19" t="n">
        <f aca="false">YEAR(B417)</f>
        <v>2024</v>
      </c>
      <c r="D417" s="19" t="n">
        <f aca="false">MONTH(B417)</f>
        <v>6</v>
      </c>
      <c r="E417" s="30" t="str">
        <f aca="false">INDEX(Lists!$K$2:$K$13,MATCH(D417,Lists!$J$2:$J$13,0))</f>
        <v>يونيو</v>
      </c>
      <c r="F417" s="19" t="str">
        <f aca="false">"Q"&amp;ROUNDUP(D417/3,0)</f>
        <v>Q2</v>
      </c>
      <c r="G417" s="30" t="str">
        <f aca="false">INDEX(Lists!$N$2:$N$8,MATCH(WEEKDAY(B417,2),Lists!$M$2:$M$8,0))</f>
        <v>الإثنين</v>
      </c>
      <c r="H417" s="30" t="s">
        <v>50</v>
      </c>
      <c r="I417" s="19" t="str">
        <f aca="false">INDEX(Lists!$B$2:$B$6,MATCH(H417,Lists!$A$2:$A$6,0))</f>
        <v>المنطقة الغربية</v>
      </c>
      <c r="J417" s="30" t="s">
        <v>111</v>
      </c>
      <c r="K417" s="30" t="s">
        <v>108</v>
      </c>
      <c r="L417" s="31" t="n">
        <v>319</v>
      </c>
      <c r="M417" s="19" t="n">
        <v>8</v>
      </c>
      <c r="N417" s="32" t="n">
        <v>0</v>
      </c>
      <c r="O417" s="30" t="s">
        <v>52</v>
      </c>
      <c r="P417" s="30" t="s">
        <v>51</v>
      </c>
      <c r="Q417" s="30" t="s">
        <v>86</v>
      </c>
      <c r="R417" s="25" t="n">
        <f aca="false">L417*M417*(1-N417)</f>
        <v>2552</v>
      </c>
    </row>
    <row r="418" customFormat="false" ht="15" hidden="false" customHeight="false" outlineLevel="0" collapsed="false">
      <c r="A418" s="30" t="s">
        <v>589</v>
      </c>
      <c r="B418" s="44" t="n">
        <v>45447</v>
      </c>
      <c r="C418" s="19" t="n">
        <f aca="false">YEAR(B418)</f>
        <v>2024</v>
      </c>
      <c r="D418" s="19" t="n">
        <f aca="false">MONTH(B418)</f>
        <v>6</v>
      </c>
      <c r="E418" s="30" t="str">
        <f aca="false">INDEX(Lists!$K$2:$K$13,MATCH(D418,Lists!$J$2:$J$13,0))</f>
        <v>يونيو</v>
      </c>
      <c r="F418" s="19" t="str">
        <f aca="false">"Q"&amp;ROUNDUP(D418/3,0)</f>
        <v>Q2</v>
      </c>
      <c r="G418" s="30" t="str">
        <f aca="false">INDEX(Lists!$N$2:$N$8,MATCH(WEEKDAY(B418,2),Lists!$M$2:$M$8,0))</f>
        <v>الثلاثاء</v>
      </c>
      <c r="H418" s="30" t="s">
        <v>57</v>
      </c>
      <c r="I418" s="19" t="str">
        <f aca="false">INDEX(Lists!$B$2:$B$6,MATCH(H418,Lists!$A$2:$A$6,0))</f>
        <v>المنطقة الغربية</v>
      </c>
      <c r="J418" s="30" t="s">
        <v>109</v>
      </c>
      <c r="K418" s="30" t="s">
        <v>110</v>
      </c>
      <c r="L418" s="31" t="n">
        <v>279</v>
      </c>
      <c r="M418" s="19" t="n">
        <v>1</v>
      </c>
      <c r="N418" s="32" t="n">
        <v>0</v>
      </c>
      <c r="O418" s="30" t="s">
        <v>58</v>
      </c>
      <c r="P418" s="30" t="s">
        <v>47</v>
      </c>
      <c r="Q418" s="30" t="s">
        <v>96</v>
      </c>
      <c r="R418" s="25" t="n">
        <f aca="false">L418*M418*(1-N418)</f>
        <v>279</v>
      </c>
    </row>
    <row r="419" customFormat="false" ht="15" hidden="false" customHeight="false" outlineLevel="0" collapsed="false">
      <c r="A419" s="30" t="s">
        <v>590</v>
      </c>
      <c r="B419" s="44" t="n">
        <v>45447</v>
      </c>
      <c r="C419" s="19" t="n">
        <f aca="false">YEAR(B419)</f>
        <v>2024</v>
      </c>
      <c r="D419" s="19" t="n">
        <f aca="false">MONTH(B419)</f>
        <v>6</v>
      </c>
      <c r="E419" s="30" t="str">
        <f aca="false">INDEX(Lists!$K$2:$K$13,MATCH(D419,Lists!$J$2:$J$13,0))</f>
        <v>يونيو</v>
      </c>
      <c r="F419" s="19" t="str">
        <f aca="false">"Q"&amp;ROUNDUP(D419/3,0)</f>
        <v>Q2</v>
      </c>
      <c r="G419" s="30" t="str">
        <f aca="false">INDEX(Lists!$N$2:$N$8,MATCH(WEEKDAY(B419,2),Lists!$M$2:$M$8,0))</f>
        <v>الثلاثاء</v>
      </c>
      <c r="H419" s="30" t="s">
        <v>46</v>
      </c>
      <c r="I419" s="19" t="str">
        <f aca="false">INDEX(Lists!$B$2:$B$6,MATCH(H419,Lists!$A$2:$A$6,0))</f>
        <v>المنطقة الوسطى</v>
      </c>
      <c r="J419" s="30" t="s">
        <v>107</v>
      </c>
      <c r="K419" s="30" t="s">
        <v>115</v>
      </c>
      <c r="L419" s="31" t="n">
        <v>2069</v>
      </c>
      <c r="M419" s="19" t="n">
        <v>6</v>
      </c>
      <c r="N419" s="32" t="n">
        <v>0.05</v>
      </c>
      <c r="O419" s="30" t="s">
        <v>48</v>
      </c>
      <c r="P419" s="30" t="s">
        <v>51</v>
      </c>
      <c r="Q419" s="30" t="s">
        <v>92</v>
      </c>
      <c r="R419" s="25" t="n">
        <f aca="false">L419*M419*(1-N419)</f>
        <v>11793.3</v>
      </c>
    </row>
    <row r="420" customFormat="false" ht="15" hidden="false" customHeight="false" outlineLevel="0" collapsed="false">
      <c r="A420" s="30" t="s">
        <v>591</v>
      </c>
      <c r="B420" s="44" t="n">
        <v>45448</v>
      </c>
      <c r="C420" s="19" t="n">
        <f aca="false">YEAR(B420)</f>
        <v>2024</v>
      </c>
      <c r="D420" s="19" t="n">
        <f aca="false">MONTH(B420)</f>
        <v>6</v>
      </c>
      <c r="E420" s="30" t="str">
        <f aca="false">INDEX(Lists!$K$2:$K$13,MATCH(D420,Lists!$J$2:$J$13,0))</f>
        <v>يونيو</v>
      </c>
      <c r="F420" s="19" t="str">
        <f aca="false">"Q"&amp;ROUNDUP(D420/3,0)</f>
        <v>Q2</v>
      </c>
      <c r="G420" s="30" t="str">
        <f aca="false">INDEX(Lists!$N$2:$N$8,MATCH(WEEKDAY(B420,2),Lists!$M$2:$M$8,0))</f>
        <v>الأربعاء</v>
      </c>
      <c r="H420" s="30" t="s">
        <v>50</v>
      </c>
      <c r="I420" s="19" t="str">
        <f aca="false">INDEX(Lists!$B$2:$B$6,MATCH(H420,Lists!$A$2:$A$6,0))</f>
        <v>المنطقة الغربية</v>
      </c>
      <c r="J420" s="30" t="s">
        <v>109</v>
      </c>
      <c r="K420" s="30" t="s">
        <v>93</v>
      </c>
      <c r="L420" s="31" t="n">
        <v>209</v>
      </c>
      <c r="M420" s="19" t="n">
        <v>10</v>
      </c>
      <c r="N420" s="32" t="n">
        <v>0</v>
      </c>
      <c r="O420" s="30" t="s">
        <v>55</v>
      </c>
      <c r="P420" s="30" t="s">
        <v>51</v>
      </c>
      <c r="Q420" s="30" t="s">
        <v>92</v>
      </c>
      <c r="R420" s="25" t="n">
        <f aca="false">L420*M420*(1-N420)</f>
        <v>2090</v>
      </c>
    </row>
    <row r="421" customFormat="false" ht="15" hidden="false" customHeight="false" outlineLevel="0" collapsed="false">
      <c r="A421" s="30" t="s">
        <v>592</v>
      </c>
      <c r="B421" s="44" t="n">
        <v>45449</v>
      </c>
      <c r="C421" s="19" t="n">
        <f aca="false">YEAR(B421)</f>
        <v>2024</v>
      </c>
      <c r="D421" s="19" t="n">
        <f aca="false">MONTH(B421)</f>
        <v>6</v>
      </c>
      <c r="E421" s="30" t="str">
        <f aca="false">INDEX(Lists!$K$2:$K$13,MATCH(D421,Lists!$J$2:$J$13,0))</f>
        <v>يونيو</v>
      </c>
      <c r="F421" s="19" t="str">
        <f aca="false">"Q"&amp;ROUNDUP(D421/3,0)</f>
        <v>Q2</v>
      </c>
      <c r="G421" s="30" t="str">
        <f aca="false">INDEX(Lists!$N$2:$N$8,MATCH(WEEKDAY(B421,2),Lists!$M$2:$M$8,0))</f>
        <v>الخميس</v>
      </c>
      <c r="H421" s="30" t="s">
        <v>54</v>
      </c>
      <c r="I421" s="19" t="str">
        <f aca="false">INDEX(Lists!$B$2:$B$6,MATCH(H421,Lists!$A$2:$A$6,0))</f>
        <v>المنطقة الشرقية</v>
      </c>
      <c r="J421" s="30" t="s">
        <v>107</v>
      </c>
      <c r="K421" s="30" t="s">
        <v>114</v>
      </c>
      <c r="L421" s="31" t="n">
        <v>4909</v>
      </c>
      <c r="M421" s="19" t="n">
        <v>3</v>
      </c>
      <c r="N421" s="32" t="n">
        <v>0.2</v>
      </c>
      <c r="O421" s="30" t="s">
        <v>58</v>
      </c>
      <c r="P421" s="30" t="s">
        <v>51</v>
      </c>
      <c r="Q421" s="30" t="s">
        <v>84</v>
      </c>
      <c r="R421" s="25" t="n">
        <f aca="false">L421*M421*(1-N421)</f>
        <v>11781.6</v>
      </c>
    </row>
    <row r="422" customFormat="false" ht="15" hidden="false" customHeight="false" outlineLevel="0" collapsed="false">
      <c r="A422" s="30" t="s">
        <v>593</v>
      </c>
      <c r="B422" s="44" t="n">
        <v>45449</v>
      </c>
      <c r="C422" s="19" t="n">
        <f aca="false">YEAR(B422)</f>
        <v>2024</v>
      </c>
      <c r="D422" s="19" t="n">
        <f aca="false">MONTH(B422)</f>
        <v>6</v>
      </c>
      <c r="E422" s="30" t="str">
        <f aca="false">INDEX(Lists!$K$2:$K$13,MATCH(D422,Lists!$J$2:$J$13,0))</f>
        <v>يونيو</v>
      </c>
      <c r="F422" s="19" t="str">
        <f aca="false">"Q"&amp;ROUNDUP(D422/3,0)</f>
        <v>Q2</v>
      </c>
      <c r="G422" s="30" t="str">
        <f aca="false">INDEX(Lists!$N$2:$N$8,MATCH(WEEKDAY(B422,2),Lists!$M$2:$M$8,0))</f>
        <v>الخميس</v>
      </c>
      <c r="H422" s="30" t="s">
        <v>60</v>
      </c>
      <c r="I422" s="19" t="str">
        <f aca="false">INDEX(Lists!$B$2:$B$6,MATCH(H422,Lists!$A$2:$A$6,0))</f>
        <v>المنطقة الغربية</v>
      </c>
      <c r="J422" s="30" t="s">
        <v>107</v>
      </c>
      <c r="K422" s="30" t="s">
        <v>184</v>
      </c>
      <c r="L422" s="31" t="n">
        <v>6749</v>
      </c>
      <c r="M422" s="19" t="n">
        <v>2</v>
      </c>
      <c r="N422" s="32" t="n">
        <v>0</v>
      </c>
      <c r="O422" s="30" t="s">
        <v>55</v>
      </c>
      <c r="P422" s="30" t="s">
        <v>51</v>
      </c>
      <c r="Q422" s="30" t="s">
        <v>94</v>
      </c>
      <c r="R422" s="25" t="n">
        <f aca="false">L422*M422*(1-N422)</f>
        <v>13498</v>
      </c>
    </row>
    <row r="423" customFormat="false" ht="15" hidden="false" customHeight="false" outlineLevel="0" collapsed="false">
      <c r="A423" s="30" t="s">
        <v>594</v>
      </c>
      <c r="B423" s="44" t="n">
        <v>45449</v>
      </c>
      <c r="C423" s="19" t="n">
        <f aca="false">YEAR(B423)</f>
        <v>2024</v>
      </c>
      <c r="D423" s="19" t="n">
        <f aca="false">MONTH(B423)</f>
        <v>6</v>
      </c>
      <c r="E423" s="30" t="str">
        <f aca="false">INDEX(Lists!$K$2:$K$13,MATCH(D423,Lists!$J$2:$J$13,0))</f>
        <v>يونيو</v>
      </c>
      <c r="F423" s="19" t="str">
        <f aca="false">"Q"&amp;ROUNDUP(D423/3,0)</f>
        <v>Q2</v>
      </c>
      <c r="G423" s="30" t="str">
        <f aca="false">INDEX(Lists!$N$2:$N$8,MATCH(WEEKDAY(B423,2),Lists!$M$2:$M$8,0))</f>
        <v>الخميس</v>
      </c>
      <c r="H423" s="30" t="s">
        <v>46</v>
      </c>
      <c r="I423" s="19" t="str">
        <f aca="false">INDEX(Lists!$B$2:$B$6,MATCH(H423,Lists!$A$2:$A$6,0))</f>
        <v>المنطقة الوسطى</v>
      </c>
      <c r="J423" s="30" t="s">
        <v>107</v>
      </c>
      <c r="K423" s="30" t="s">
        <v>184</v>
      </c>
      <c r="L423" s="31" t="n">
        <v>5899</v>
      </c>
      <c r="M423" s="19" t="n">
        <v>1</v>
      </c>
      <c r="N423" s="32" t="n">
        <v>0</v>
      </c>
      <c r="O423" s="30" t="s">
        <v>52</v>
      </c>
      <c r="P423" s="30" t="s">
        <v>47</v>
      </c>
      <c r="Q423" s="30" t="s">
        <v>81</v>
      </c>
      <c r="R423" s="25" t="n">
        <f aca="false">L423*M423*(1-N423)</f>
        <v>5899</v>
      </c>
    </row>
    <row r="424" customFormat="false" ht="15" hidden="false" customHeight="false" outlineLevel="0" collapsed="false">
      <c r="A424" s="30" t="s">
        <v>595</v>
      </c>
      <c r="B424" s="44" t="n">
        <v>45450</v>
      </c>
      <c r="C424" s="19" t="n">
        <f aca="false">YEAR(B424)</f>
        <v>2024</v>
      </c>
      <c r="D424" s="19" t="n">
        <f aca="false">MONTH(B424)</f>
        <v>6</v>
      </c>
      <c r="E424" s="30" t="str">
        <f aca="false">INDEX(Lists!$K$2:$K$13,MATCH(D424,Lists!$J$2:$J$13,0))</f>
        <v>يونيو</v>
      </c>
      <c r="F424" s="19" t="str">
        <f aca="false">"Q"&amp;ROUNDUP(D424/3,0)</f>
        <v>Q2</v>
      </c>
      <c r="G424" s="30" t="str">
        <f aca="false">INDEX(Lists!$N$2:$N$8,MATCH(WEEKDAY(B424,2),Lists!$M$2:$M$8,0))</f>
        <v>الجمعة</v>
      </c>
      <c r="H424" s="30" t="s">
        <v>60</v>
      </c>
      <c r="I424" s="19" t="str">
        <f aca="false">INDEX(Lists!$B$2:$B$6,MATCH(H424,Lists!$A$2:$A$6,0))</f>
        <v>المنطقة الغربية</v>
      </c>
      <c r="J424" s="30" t="s">
        <v>105</v>
      </c>
      <c r="K424" s="30" t="s">
        <v>85</v>
      </c>
      <c r="L424" s="31" t="n">
        <v>2679</v>
      </c>
      <c r="M424" s="19" t="n">
        <v>1</v>
      </c>
      <c r="N424" s="32" t="n">
        <v>0.1</v>
      </c>
      <c r="O424" s="30" t="s">
        <v>48</v>
      </c>
      <c r="P424" s="30" t="s">
        <v>47</v>
      </c>
      <c r="Q424" s="30" t="s">
        <v>78</v>
      </c>
      <c r="R424" s="25" t="n">
        <f aca="false">L424*M424*(1-N424)</f>
        <v>2411.1</v>
      </c>
    </row>
    <row r="425" customFormat="false" ht="15" hidden="false" customHeight="false" outlineLevel="0" collapsed="false">
      <c r="A425" s="30" t="s">
        <v>596</v>
      </c>
      <c r="B425" s="44" t="n">
        <v>45451</v>
      </c>
      <c r="C425" s="19" t="n">
        <f aca="false">YEAR(B425)</f>
        <v>2024</v>
      </c>
      <c r="D425" s="19" t="n">
        <f aca="false">MONTH(B425)</f>
        <v>6</v>
      </c>
      <c r="E425" s="30" t="str">
        <f aca="false">INDEX(Lists!$K$2:$K$13,MATCH(D425,Lists!$J$2:$J$13,0))</f>
        <v>يونيو</v>
      </c>
      <c r="F425" s="19" t="str">
        <f aca="false">"Q"&amp;ROUNDUP(D425/3,0)</f>
        <v>Q2</v>
      </c>
      <c r="G425" s="30" t="str">
        <f aca="false">INDEX(Lists!$N$2:$N$8,MATCH(WEEKDAY(B425,2),Lists!$M$2:$M$8,0))</f>
        <v>السبت</v>
      </c>
      <c r="H425" s="30" t="s">
        <v>54</v>
      </c>
      <c r="I425" s="19" t="str">
        <f aca="false">INDEX(Lists!$B$2:$B$6,MATCH(H425,Lists!$A$2:$A$6,0))</f>
        <v>المنطقة الشرقية</v>
      </c>
      <c r="J425" s="30" t="s">
        <v>107</v>
      </c>
      <c r="K425" s="30" t="s">
        <v>115</v>
      </c>
      <c r="L425" s="31" t="n">
        <v>5619</v>
      </c>
      <c r="M425" s="19" t="n">
        <v>8</v>
      </c>
      <c r="N425" s="32" t="n">
        <v>0</v>
      </c>
      <c r="O425" s="30" t="s">
        <v>55</v>
      </c>
      <c r="P425" s="30" t="s">
        <v>51</v>
      </c>
      <c r="Q425" s="30" t="s">
        <v>94</v>
      </c>
      <c r="R425" s="25" t="n">
        <f aca="false">L425*M425*(1-N425)</f>
        <v>44952</v>
      </c>
    </row>
    <row r="426" customFormat="false" ht="15" hidden="false" customHeight="false" outlineLevel="0" collapsed="false">
      <c r="A426" s="30" t="s">
        <v>597</v>
      </c>
      <c r="B426" s="44" t="n">
        <v>45451</v>
      </c>
      <c r="C426" s="19" t="n">
        <f aca="false">YEAR(B426)</f>
        <v>2024</v>
      </c>
      <c r="D426" s="19" t="n">
        <f aca="false">MONTH(B426)</f>
        <v>6</v>
      </c>
      <c r="E426" s="30" t="str">
        <f aca="false">INDEX(Lists!$K$2:$K$13,MATCH(D426,Lists!$J$2:$J$13,0))</f>
        <v>يونيو</v>
      </c>
      <c r="F426" s="19" t="str">
        <f aca="false">"Q"&amp;ROUNDUP(D426/3,0)</f>
        <v>Q2</v>
      </c>
      <c r="G426" s="30" t="str">
        <f aca="false">INDEX(Lists!$N$2:$N$8,MATCH(WEEKDAY(B426,2),Lists!$M$2:$M$8,0))</f>
        <v>السبت</v>
      </c>
      <c r="H426" s="30" t="s">
        <v>46</v>
      </c>
      <c r="I426" s="19" t="str">
        <f aca="false">INDEX(Lists!$B$2:$B$6,MATCH(H426,Lists!$A$2:$A$6,0))</f>
        <v>المنطقة الوسطى</v>
      </c>
      <c r="J426" s="30" t="s">
        <v>107</v>
      </c>
      <c r="K426" s="30" t="s">
        <v>272</v>
      </c>
      <c r="L426" s="31" t="n">
        <v>4889</v>
      </c>
      <c r="M426" s="19" t="n">
        <v>3</v>
      </c>
      <c r="N426" s="32" t="n">
        <v>0.15</v>
      </c>
      <c r="O426" s="30" t="s">
        <v>48</v>
      </c>
      <c r="P426" s="30" t="s">
        <v>47</v>
      </c>
      <c r="Q426" s="30" t="s">
        <v>78</v>
      </c>
      <c r="R426" s="25" t="n">
        <f aca="false">L426*M426*(1-N426)</f>
        <v>12466.95</v>
      </c>
    </row>
    <row r="427" customFormat="false" ht="15" hidden="false" customHeight="false" outlineLevel="0" collapsed="false">
      <c r="A427" s="30" t="s">
        <v>598</v>
      </c>
      <c r="B427" s="44" t="n">
        <v>45451</v>
      </c>
      <c r="C427" s="19" t="n">
        <f aca="false">YEAR(B427)</f>
        <v>2024</v>
      </c>
      <c r="D427" s="19" t="n">
        <f aca="false">MONTH(B427)</f>
        <v>6</v>
      </c>
      <c r="E427" s="30" t="str">
        <f aca="false">INDEX(Lists!$K$2:$K$13,MATCH(D427,Lists!$J$2:$J$13,0))</f>
        <v>يونيو</v>
      </c>
      <c r="F427" s="19" t="str">
        <f aca="false">"Q"&amp;ROUNDUP(D427/3,0)</f>
        <v>Q2</v>
      </c>
      <c r="G427" s="30" t="str">
        <f aca="false">INDEX(Lists!$N$2:$N$8,MATCH(WEEKDAY(B427,2),Lists!$M$2:$M$8,0))</f>
        <v>السبت</v>
      </c>
      <c r="H427" s="30" t="s">
        <v>50</v>
      </c>
      <c r="I427" s="19" t="str">
        <f aca="false">INDEX(Lists!$B$2:$B$6,MATCH(H427,Lists!$A$2:$A$6,0))</f>
        <v>المنطقة الغربية</v>
      </c>
      <c r="J427" s="30" t="s">
        <v>107</v>
      </c>
      <c r="K427" s="30" t="s">
        <v>115</v>
      </c>
      <c r="L427" s="31" t="n">
        <v>3239</v>
      </c>
      <c r="M427" s="19" t="n">
        <v>1</v>
      </c>
      <c r="N427" s="32" t="n">
        <v>0</v>
      </c>
      <c r="O427" s="30" t="s">
        <v>55</v>
      </c>
      <c r="P427" s="30" t="s">
        <v>47</v>
      </c>
      <c r="Q427" s="30" t="s">
        <v>92</v>
      </c>
      <c r="R427" s="25" t="n">
        <f aca="false">L427*M427*(1-N427)</f>
        <v>3239</v>
      </c>
    </row>
    <row r="428" customFormat="false" ht="15" hidden="false" customHeight="false" outlineLevel="0" collapsed="false">
      <c r="A428" s="30" t="s">
        <v>599</v>
      </c>
      <c r="B428" s="44" t="n">
        <v>45451</v>
      </c>
      <c r="C428" s="19" t="n">
        <f aca="false">YEAR(B428)</f>
        <v>2024</v>
      </c>
      <c r="D428" s="19" t="n">
        <f aca="false">MONTH(B428)</f>
        <v>6</v>
      </c>
      <c r="E428" s="30" t="str">
        <f aca="false">INDEX(Lists!$K$2:$K$13,MATCH(D428,Lists!$J$2:$J$13,0))</f>
        <v>يونيو</v>
      </c>
      <c r="F428" s="19" t="str">
        <f aca="false">"Q"&amp;ROUNDUP(D428/3,0)</f>
        <v>Q2</v>
      </c>
      <c r="G428" s="30" t="str">
        <f aca="false">INDEX(Lists!$N$2:$N$8,MATCH(WEEKDAY(B428,2),Lists!$M$2:$M$8,0))</f>
        <v>السبت</v>
      </c>
      <c r="H428" s="30" t="s">
        <v>46</v>
      </c>
      <c r="I428" s="19" t="str">
        <f aca="false">INDEX(Lists!$B$2:$B$6,MATCH(H428,Lists!$A$2:$A$6,0))</f>
        <v>المنطقة الوسطى</v>
      </c>
      <c r="J428" s="30" t="s">
        <v>107</v>
      </c>
      <c r="K428" s="30" t="s">
        <v>115</v>
      </c>
      <c r="L428" s="31" t="n">
        <v>5639</v>
      </c>
      <c r="M428" s="19" t="n">
        <v>2</v>
      </c>
      <c r="N428" s="32" t="n">
        <v>0</v>
      </c>
      <c r="O428" s="30" t="s">
        <v>52</v>
      </c>
      <c r="P428" s="30" t="s">
        <v>47</v>
      </c>
      <c r="Q428" s="30" t="s">
        <v>84</v>
      </c>
      <c r="R428" s="25" t="n">
        <f aca="false">L428*M428*(1-N428)</f>
        <v>11278</v>
      </c>
    </row>
    <row r="429" customFormat="false" ht="15" hidden="false" customHeight="false" outlineLevel="0" collapsed="false">
      <c r="A429" s="30" t="s">
        <v>600</v>
      </c>
      <c r="B429" s="44" t="n">
        <v>45452</v>
      </c>
      <c r="C429" s="19" t="n">
        <f aca="false">YEAR(B429)</f>
        <v>2024</v>
      </c>
      <c r="D429" s="19" t="n">
        <f aca="false">MONTH(B429)</f>
        <v>6</v>
      </c>
      <c r="E429" s="30" t="str">
        <f aca="false">INDEX(Lists!$K$2:$K$13,MATCH(D429,Lists!$J$2:$J$13,0))</f>
        <v>يونيو</v>
      </c>
      <c r="F429" s="19" t="str">
        <f aca="false">"Q"&amp;ROUNDUP(D429/3,0)</f>
        <v>Q2</v>
      </c>
      <c r="G429" s="30" t="str">
        <f aca="false">INDEX(Lists!$N$2:$N$8,MATCH(WEEKDAY(B429,2),Lists!$M$2:$M$8,0))</f>
        <v>الأحد</v>
      </c>
      <c r="H429" s="30" t="s">
        <v>54</v>
      </c>
      <c r="I429" s="19" t="str">
        <f aca="false">INDEX(Lists!$B$2:$B$6,MATCH(H429,Lists!$A$2:$A$6,0))</f>
        <v>المنطقة الشرقية</v>
      </c>
      <c r="J429" s="30" t="s">
        <v>111</v>
      </c>
      <c r="K429" s="30" t="s">
        <v>108</v>
      </c>
      <c r="L429" s="31" t="n">
        <v>489</v>
      </c>
      <c r="M429" s="19" t="n">
        <v>2</v>
      </c>
      <c r="N429" s="32" t="n">
        <v>0</v>
      </c>
      <c r="O429" s="30" t="s">
        <v>55</v>
      </c>
      <c r="P429" s="30" t="s">
        <v>47</v>
      </c>
      <c r="Q429" s="30" t="s">
        <v>84</v>
      </c>
      <c r="R429" s="25" t="n">
        <f aca="false">L429*M429*(1-N429)</f>
        <v>978</v>
      </c>
    </row>
    <row r="430" customFormat="false" ht="15" hidden="false" customHeight="false" outlineLevel="0" collapsed="false">
      <c r="A430" s="30" t="s">
        <v>601</v>
      </c>
      <c r="B430" s="44" t="n">
        <v>45452</v>
      </c>
      <c r="C430" s="19" t="n">
        <f aca="false">YEAR(B430)</f>
        <v>2024</v>
      </c>
      <c r="D430" s="19" t="n">
        <f aca="false">MONTH(B430)</f>
        <v>6</v>
      </c>
      <c r="E430" s="30" t="str">
        <f aca="false">INDEX(Lists!$K$2:$K$13,MATCH(D430,Lists!$J$2:$J$13,0))</f>
        <v>يونيو</v>
      </c>
      <c r="F430" s="19" t="str">
        <f aca="false">"Q"&amp;ROUNDUP(D430/3,0)</f>
        <v>Q2</v>
      </c>
      <c r="G430" s="30" t="str">
        <f aca="false">INDEX(Lists!$N$2:$N$8,MATCH(WEEKDAY(B430,2),Lists!$M$2:$M$8,0))</f>
        <v>الأحد</v>
      </c>
      <c r="H430" s="30" t="s">
        <v>50</v>
      </c>
      <c r="I430" s="19" t="str">
        <f aca="false">INDEX(Lists!$B$2:$B$6,MATCH(H430,Lists!$A$2:$A$6,0))</f>
        <v>المنطقة الغربية</v>
      </c>
      <c r="J430" s="30" t="s">
        <v>105</v>
      </c>
      <c r="K430" s="30" t="s">
        <v>85</v>
      </c>
      <c r="L430" s="31" t="n">
        <v>2579</v>
      </c>
      <c r="M430" s="19" t="n">
        <v>1</v>
      </c>
      <c r="N430" s="32" t="n">
        <v>0</v>
      </c>
      <c r="O430" s="30" t="s">
        <v>58</v>
      </c>
      <c r="P430" s="30" t="s">
        <v>47</v>
      </c>
      <c r="Q430" s="30" t="s">
        <v>84</v>
      </c>
      <c r="R430" s="25" t="n">
        <f aca="false">L430*M430*(1-N430)</f>
        <v>2579</v>
      </c>
    </row>
    <row r="431" customFormat="false" ht="15" hidden="false" customHeight="false" outlineLevel="0" collapsed="false">
      <c r="A431" s="30" t="s">
        <v>602</v>
      </c>
      <c r="B431" s="44" t="n">
        <v>45452</v>
      </c>
      <c r="C431" s="19" t="n">
        <f aca="false">YEAR(B431)</f>
        <v>2024</v>
      </c>
      <c r="D431" s="19" t="n">
        <f aca="false">MONTH(B431)</f>
        <v>6</v>
      </c>
      <c r="E431" s="30" t="str">
        <f aca="false">INDEX(Lists!$K$2:$K$13,MATCH(D431,Lists!$J$2:$J$13,0))</f>
        <v>يونيو</v>
      </c>
      <c r="F431" s="19" t="str">
        <f aca="false">"Q"&amp;ROUNDUP(D431/3,0)</f>
        <v>Q2</v>
      </c>
      <c r="G431" s="30" t="str">
        <f aca="false">INDEX(Lists!$N$2:$N$8,MATCH(WEEKDAY(B431,2),Lists!$M$2:$M$8,0))</f>
        <v>الأحد</v>
      </c>
      <c r="H431" s="30" t="s">
        <v>60</v>
      </c>
      <c r="I431" s="19" t="str">
        <f aca="false">INDEX(Lists!$B$2:$B$6,MATCH(H431,Lists!$A$2:$A$6,0))</f>
        <v>المنطقة الغربية</v>
      </c>
      <c r="J431" s="30" t="s">
        <v>109</v>
      </c>
      <c r="K431" s="30" t="s">
        <v>93</v>
      </c>
      <c r="L431" s="31" t="n">
        <v>119</v>
      </c>
      <c r="M431" s="19" t="n">
        <v>2</v>
      </c>
      <c r="N431" s="32" t="n">
        <v>0.05</v>
      </c>
      <c r="O431" s="30" t="s">
        <v>48</v>
      </c>
      <c r="P431" s="30" t="s">
        <v>47</v>
      </c>
      <c r="Q431" s="30" t="s">
        <v>81</v>
      </c>
      <c r="R431" s="25" t="n">
        <f aca="false">L431*M431*(1-N431)</f>
        <v>226.1</v>
      </c>
    </row>
    <row r="432" customFormat="false" ht="15" hidden="false" customHeight="false" outlineLevel="0" collapsed="false">
      <c r="A432" s="30" t="s">
        <v>603</v>
      </c>
      <c r="B432" s="44" t="n">
        <v>45452</v>
      </c>
      <c r="C432" s="19" t="n">
        <f aca="false">YEAR(B432)</f>
        <v>2024</v>
      </c>
      <c r="D432" s="19" t="n">
        <f aca="false">MONTH(B432)</f>
        <v>6</v>
      </c>
      <c r="E432" s="30" t="str">
        <f aca="false">INDEX(Lists!$K$2:$K$13,MATCH(D432,Lists!$J$2:$J$13,0))</f>
        <v>يونيو</v>
      </c>
      <c r="F432" s="19" t="str">
        <f aca="false">"Q"&amp;ROUNDUP(D432/3,0)</f>
        <v>Q2</v>
      </c>
      <c r="G432" s="30" t="str">
        <f aca="false">INDEX(Lists!$N$2:$N$8,MATCH(WEEKDAY(B432,2),Lists!$M$2:$M$8,0))</f>
        <v>الأحد</v>
      </c>
      <c r="H432" s="30" t="s">
        <v>60</v>
      </c>
      <c r="I432" s="19" t="str">
        <f aca="false">INDEX(Lists!$B$2:$B$6,MATCH(H432,Lists!$A$2:$A$6,0))</f>
        <v>المنطقة الغربية</v>
      </c>
      <c r="J432" s="30" t="s">
        <v>109</v>
      </c>
      <c r="K432" s="30" t="s">
        <v>175</v>
      </c>
      <c r="L432" s="31" t="n">
        <v>119</v>
      </c>
      <c r="M432" s="19" t="n">
        <v>1</v>
      </c>
      <c r="N432" s="32" t="n">
        <v>0.15</v>
      </c>
      <c r="O432" s="30" t="s">
        <v>48</v>
      </c>
      <c r="P432" s="30" t="s">
        <v>47</v>
      </c>
      <c r="Q432" s="30" t="s">
        <v>78</v>
      </c>
      <c r="R432" s="25" t="n">
        <f aca="false">L432*M432*(1-N432)</f>
        <v>101.15</v>
      </c>
    </row>
    <row r="433" customFormat="false" ht="15" hidden="false" customHeight="false" outlineLevel="0" collapsed="false">
      <c r="A433" s="30" t="s">
        <v>604</v>
      </c>
      <c r="B433" s="44" t="n">
        <v>45452</v>
      </c>
      <c r="C433" s="19" t="n">
        <f aca="false">YEAR(B433)</f>
        <v>2024</v>
      </c>
      <c r="D433" s="19" t="n">
        <f aca="false">MONTH(B433)</f>
        <v>6</v>
      </c>
      <c r="E433" s="30" t="str">
        <f aca="false">INDEX(Lists!$K$2:$K$13,MATCH(D433,Lists!$J$2:$J$13,0))</f>
        <v>يونيو</v>
      </c>
      <c r="F433" s="19" t="str">
        <f aca="false">"Q"&amp;ROUNDUP(D433/3,0)</f>
        <v>Q2</v>
      </c>
      <c r="G433" s="30" t="str">
        <f aca="false">INDEX(Lists!$N$2:$N$8,MATCH(WEEKDAY(B433,2),Lists!$M$2:$M$8,0))</f>
        <v>الأحد</v>
      </c>
      <c r="H433" s="30" t="s">
        <v>46</v>
      </c>
      <c r="I433" s="19" t="str">
        <f aca="false">INDEX(Lists!$B$2:$B$6,MATCH(H433,Lists!$A$2:$A$6,0))</f>
        <v>المنطقة الوسطى</v>
      </c>
      <c r="J433" s="30" t="s">
        <v>105</v>
      </c>
      <c r="K433" s="30" t="s">
        <v>82</v>
      </c>
      <c r="L433" s="31" t="n">
        <v>3859</v>
      </c>
      <c r="M433" s="19" t="n">
        <v>1</v>
      </c>
      <c r="N433" s="32" t="n">
        <v>0</v>
      </c>
      <c r="O433" s="30" t="s">
        <v>55</v>
      </c>
      <c r="P433" s="30" t="s">
        <v>47</v>
      </c>
      <c r="Q433" s="30" t="s">
        <v>78</v>
      </c>
      <c r="R433" s="25" t="n">
        <f aca="false">L433*M433*(1-N433)</f>
        <v>3859</v>
      </c>
    </row>
    <row r="434" customFormat="false" ht="15" hidden="false" customHeight="false" outlineLevel="0" collapsed="false">
      <c r="A434" s="30" t="s">
        <v>605</v>
      </c>
      <c r="B434" s="44" t="n">
        <v>45453</v>
      </c>
      <c r="C434" s="19" t="n">
        <f aca="false">YEAR(B434)</f>
        <v>2024</v>
      </c>
      <c r="D434" s="19" t="n">
        <f aca="false">MONTH(B434)</f>
        <v>6</v>
      </c>
      <c r="E434" s="30" t="str">
        <f aca="false">INDEX(Lists!$K$2:$K$13,MATCH(D434,Lists!$J$2:$J$13,0))</f>
        <v>يونيو</v>
      </c>
      <c r="F434" s="19" t="str">
        <f aca="false">"Q"&amp;ROUNDUP(D434/3,0)</f>
        <v>Q2</v>
      </c>
      <c r="G434" s="30" t="str">
        <f aca="false">INDEX(Lists!$N$2:$N$8,MATCH(WEEKDAY(B434,2),Lists!$M$2:$M$8,0))</f>
        <v>الإثنين</v>
      </c>
      <c r="H434" s="30" t="s">
        <v>46</v>
      </c>
      <c r="I434" s="19" t="str">
        <f aca="false">INDEX(Lists!$B$2:$B$6,MATCH(H434,Lists!$A$2:$A$6,0))</f>
        <v>المنطقة الوسطى</v>
      </c>
      <c r="J434" s="30" t="s">
        <v>107</v>
      </c>
      <c r="K434" s="30" t="s">
        <v>184</v>
      </c>
      <c r="L434" s="31" t="n">
        <v>2189</v>
      </c>
      <c r="M434" s="19" t="n">
        <v>1</v>
      </c>
      <c r="N434" s="32" t="n">
        <v>0.2</v>
      </c>
      <c r="O434" s="30" t="s">
        <v>52</v>
      </c>
      <c r="P434" s="30" t="s">
        <v>47</v>
      </c>
      <c r="Q434" s="30" t="s">
        <v>81</v>
      </c>
      <c r="R434" s="25" t="n">
        <f aca="false">L434*M434*(1-N434)</f>
        <v>1751.2</v>
      </c>
    </row>
    <row r="435" customFormat="false" ht="15" hidden="false" customHeight="false" outlineLevel="0" collapsed="false">
      <c r="A435" s="30" t="s">
        <v>606</v>
      </c>
      <c r="B435" s="44" t="n">
        <v>45453</v>
      </c>
      <c r="C435" s="19" t="n">
        <f aca="false">YEAR(B435)</f>
        <v>2024</v>
      </c>
      <c r="D435" s="19" t="n">
        <f aca="false">MONTH(B435)</f>
        <v>6</v>
      </c>
      <c r="E435" s="30" t="str">
        <f aca="false">INDEX(Lists!$K$2:$K$13,MATCH(D435,Lists!$J$2:$J$13,0))</f>
        <v>يونيو</v>
      </c>
      <c r="F435" s="19" t="str">
        <f aca="false">"Q"&amp;ROUNDUP(D435/3,0)</f>
        <v>Q2</v>
      </c>
      <c r="G435" s="30" t="str">
        <f aca="false">INDEX(Lists!$N$2:$N$8,MATCH(WEEKDAY(B435,2),Lists!$M$2:$M$8,0))</f>
        <v>الإثنين</v>
      </c>
      <c r="H435" s="30" t="s">
        <v>50</v>
      </c>
      <c r="I435" s="19" t="str">
        <f aca="false">INDEX(Lists!$B$2:$B$6,MATCH(H435,Lists!$A$2:$A$6,0))</f>
        <v>المنطقة الغربية</v>
      </c>
      <c r="J435" s="30" t="s">
        <v>105</v>
      </c>
      <c r="K435" s="30" t="s">
        <v>82</v>
      </c>
      <c r="L435" s="31" t="n">
        <v>3859</v>
      </c>
      <c r="M435" s="19" t="n">
        <v>1</v>
      </c>
      <c r="N435" s="32" t="n">
        <v>0.05</v>
      </c>
      <c r="O435" s="30" t="s">
        <v>52</v>
      </c>
      <c r="P435" s="30" t="s">
        <v>51</v>
      </c>
      <c r="Q435" s="30" t="s">
        <v>86</v>
      </c>
      <c r="R435" s="25" t="n">
        <f aca="false">L435*M435*(1-N435)</f>
        <v>3666.05</v>
      </c>
    </row>
    <row r="436" customFormat="false" ht="15" hidden="false" customHeight="false" outlineLevel="0" collapsed="false">
      <c r="A436" s="30" t="s">
        <v>607</v>
      </c>
      <c r="B436" s="44" t="n">
        <v>45454</v>
      </c>
      <c r="C436" s="19" t="n">
        <f aca="false">YEAR(B436)</f>
        <v>2024</v>
      </c>
      <c r="D436" s="19" t="n">
        <f aca="false">MONTH(B436)</f>
        <v>6</v>
      </c>
      <c r="E436" s="30" t="str">
        <f aca="false">INDEX(Lists!$K$2:$K$13,MATCH(D436,Lists!$J$2:$J$13,0))</f>
        <v>يونيو</v>
      </c>
      <c r="F436" s="19" t="str">
        <f aca="false">"Q"&amp;ROUNDUP(D436/3,0)</f>
        <v>Q2</v>
      </c>
      <c r="G436" s="30" t="str">
        <f aca="false">INDEX(Lists!$N$2:$N$8,MATCH(WEEKDAY(B436,2),Lists!$M$2:$M$8,0))</f>
        <v>الثلاثاء</v>
      </c>
      <c r="H436" s="30" t="s">
        <v>57</v>
      </c>
      <c r="I436" s="19" t="str">
        <f aca="false">INDEX(Lists!$B$2:$B$6,MATCH(H436,Lists!$A$2:$A$6,0))</f>
        <v>المنطقة الغربية</v>
      </c>
      <c r="J436" s="30" t="s">
        <v>107</v>
      </c>
      <c r="K436" s="30" t="s">
        <v>115</v>
      </c>
      <c r="L436" s="31" t="n">
        <v>5529</v>
      </c>
      <c r="M436" s="19" t="n">
        <v>1</v>
      </c>
      <c r="N436" s="32" t="n">
        <v>0</v>
      </c>
      <c r="O436" s="30" t="s">
        <v>52</v>
      </c>
      <c r="P436" s="30" t="s">
        <v>47</v>
      </c>
      <c r="Q436" s="30" t="s">
        <v>94</v>
      </c>
      <c r="R436" s="25" t="n">
        <f aca="false">L436*M436*(1-N436)</f>
        <v>5529</v>
      </c>
    </row>
    <row r="437" customFormat="false" ht="15" hidden="false" customHeight="false" outlineLevel="0" collapsed="false">
      <c r="A437" s="30" t="s">
        <v>608</v>
      </c>
      <c r="B437" s="44" t="n">
        <v>45454</v>
      </c>
      <c r="C437" s="19" t="n">
        <f aca="false">YEAR(B437)</f>
        <v>2024</v>
      </c>
      <c r="D437" s="19" t="n">
        <f aca="false">MONTH(B437)</f>
        <v>6</v>
      </c>
      <c r="E437" s="30" t="str">
        <f aca="false">INDEX(Lists!$K$2:$K$13,MATCH(D437,Lists!$J$2:$J$13,0))</f>
        <v>يونيو</v>
      </c>
      <c r="F437" s="19" t="str">
        <f aca="false">"Q"&amp;ROUNDUP(D437/3,0)</f>
        <v>Q2</v>
      </c>
      <c r="G437" s="30" t="str">
        <f aca="false">INDEX(Lists!$N$2:$N$8,MATCH(WEEKDAY(B437,2),Lists!$M$2:$M$8,0))</f>
        <v>الثلاثاء</v>
      </c>
      <c r="H437" s="30" t="s">
        <v>50</v>
      </c>
      <c r="I437" s="19" t="str">
        <f aca="false">INDEX(Lists!$B$2:$B$6,MATCH(H437,Lists!$A$2:$A$6,0))</f>
        <v>المنطقة الغربية</v>
      </c>
      <c r="J437" s="30" t="s">
        <v>105</v>
      </c>
      <c r="K437" s="30" t="s">
        <v>85</v>
      </c>
      <c r="L437" s="31" t="n">
        <v>1469</v>
      </c>
      <c r="M437" s="19" t="n">
        <v>8</v>
      </c>
      <c r="N437" s="32" t="n">
        <v>0</v>
      </c>
      <c r="O437" s="30" t="s">
        <v>48</v>
      </c>
      <c r="P437" s="30" t="s">
        <v>51</v>
      </c>
      <c r="Q437" s="30" t="s">
        <v>96</v>
      </c>
      <c r="R437" s="25" t="n">
        <f aca="false">L437*M437*(1-N437)</f>
        <v>11752</v>
      </c>
    </row>
    <row r="438" customFormat="false" ht="15" hidden="false" customHeight="false" outlineLevel="0" collapsed="false">
      <c r="A438" s="30" t="s">
        <v>609</v>
      </c>
      <c r="B438" s="44" t="n">
        <v>45454</v>
      </c>
      <c r="C438" s="19" t="n">
        <f aca="false">YEAR(B438)</f>
        <v>2024</v>
      </c>
      <c r="D438" s="19" t="n">
        <f aca="false">MONTH(B438)</f>
        <v>6</v>
      </c>
      <c r="E438" s="30" t="str">
        <f aca="false">INDEX(Lists!$K$2:$K$13,MATCH(D438,Lists!$J$2:$J$13,0))</f>
        <v>يونيو</v>
      </c>
      <c r="F438" s="19" t="str">
        <f aca="false">"Q"&amp;ROUNDUP(D438/3,0)</f>
        <v>Q2</v>
      </c>
      <c r="G438" s="30" t="str">
        <f aca="false">INDEX(Lists!$N$2:$N$8,MATCH(WEEKDAY(B438,2),Lists!$M$2:$M$8,0))</f>
        <v>الثلاثاء</v>
      </c>
      <c r="H438" s="30" t="s">
        <v>60</v>
      </c>
      <c r="I438" s="19" t="str">
        <f aca="false">INDEX(Lists!$B$2:$B$6,MATCH(H438,Lists!$A$2:$A$6,0))</f>
        <v>المنطقة الغربية</v>
      </c>
      <c r="J438" s="30" t="s">
        <v>111</v>
      </c>
      <c r="K438" s="30" t="s">
        <v>108</v>
      </c>
      <c r="L438" s="31" t="n">
        <v>229</v>
      </c>
      <c r="M438" s="19" t="n">
        <v>3</v>
      </c>
      <c r="N438" s="32" t="n">
        <v>0.1</v>
      </c>
      <c r="O438" s="30" t="s">
        <v>55</v>
      </c>
      <c r="P438" s="30" t="s">
        <v>51</v>
      </c>
      <c r="Q438" s="30" t="s">
        <v>84</v>
      </c>
      <c r="R438" s="25" t="n">
        <f aca="false">L438*M438*(1-N438)</f>
        <v>618.3</v>
      </c>
    </row>
    <row r="439" customFormat="false" ht="15" hidden="false" customHeight="false" outlineLevel="0" collapsed="false">
      <c r="A439" s="30" t="s">
        <v>610</v>
      </c>
      <c r="B439" s="44" t="n">
        <v>45454</v>
      </c>
      <c r="C439" s="19" t="n">
        <f aca="false">YEAR(B439)</f>
        <v>2024</v>
      </c>
      <c r="D439" s="19" t="n">
        <f aca="false">MONTH(B439)</f>
        <v>6</v>
      </c>
      <c r="E439" s="30" t="str">
        <f aca="false">INDEX(Lists!$K$2:$K$13,MATCH(D439,Lists!$J$2:$J$13,0))</f>
        <v>يونيو</v>
      </c>
      <c r="F439" s="19" t="str">
        <f aca="false">"Q"&amp;ROUNDUP(D439/3,0)</f>
        <v>Q2</v>
      </c>
      <c r="G439" s="30" t="str">
        <f aca="false">INDEX(Lists!$N$2:$N$8,MATCH(WEEKDAY(B439,2),Lists!$M$2:$M$8,0))</f>
        <v>الثلاثاء</v>
      </c>
      <c r="H439" s="30" t="s">
        <v>60</v>
      </c>
      <c r="I439" s="19" t="str">
        <f aca="false">INDEX(Lists!$B$2:$B$6,MATCH(H439,Lists!$A$2:$A$6,0))</f>
        <v>المنطقة الغربية</v>
      </c>
      <c r="J439" s="30" t="s">
        <v>109</v>
      </c>
      <c r="K439" s="30" t="s">
        <v>93</v>
      </c>
      <c r="L439" s="31" t="n">
        <v>59</v>
      </c>
      <c r="M439" s="19" t="n">
        <v>2</v>
      </c>
      <c r="N439" s="32" t="n">
        <v>0</v>
      </c>
      <c r="O439" s="30" t="s">
        <v>48</v>
      </c>
      <c r="P439" s="30" t="s">
        <v>51</v>
      </c>
      <c r="Q439" s="30" t="s">
        <v>86</v>
      </c>
      <c r="R439" s="25" t="n">
        <f aca="false">L439*M439*(1-N439)</f>
        <v>118</v>
      </c>
    </row>
    <row r="440" customFormat="false" ht="15" hidden="false" customHeight="false" outlineLevel="0" collapsed="false">
      <c r="A440" s="30" t="s">
        <v>611</v>
      </c>
      <c r="B440" s="44" t="n">
        <v>45455</v>
      </c>
      <c r="C440" s="19" t="n">
        <f aca="false">YEAR(B440)</f>
        <v>2024</v>
      </c>
      <c r="D440" s="19" t="n">
        <f aca="false">MONTH(B440)</f>
        <v>6</v>
      </c>
      <c r="E440" s="30" t="str">
        <f aca="false">INDEX(Lists!$K$2:$K$13,MATCH(D440,Lists!$J$2:$J$13,0))</f>
        <v>يونيو</v>
      </c>
      <c r="F440" s="19" t="str">
        <f aca="false">"Q"&amp;ROUNDUP(D440/3,0)</f>
        <v>Q2</v>
      </c>
      <c r="G440" s="30" t="str">
        <f aca="false">INDEX(Lists!$N$2:$N$8,MATCH(WEEKDAY(B440,2),Lists!$M$2:$M$8,0))</f>
        <v>الأربعاء</v>
      </c>
      <c r="H440" s="30" t="s">
        <v>46</v>
      </c>
      <c r="I440" s="19" t="str">
        <f aca="false">INDEX(Lists!$B$2:$B$6,MATCH(H440,Lists!$A$2:$A$6,0))</f>
        <v>المنطقة الوسطى</v>
      </c>
      <c r="J440" s="30" t="s">
        <v>109</v>
      </c>
      <c r="K440" s="30" t="s">
        <v>110</v>
      </c>
      <c r="L440" s="31" t="n">
        <v>199</v>
      </c>
      <c r="M440" s="19" t="n">
        <v>1</v>
      </c>
      <c r="N440" s="32" t="n">
        <v>0.15</v>
      </c>
      <c r="O440" s="30" t="s">
        <v>58</v>
      </c>
      <c r="P440" s="30" t="s">
        <v>47</v>
      </c>
      <c r="Q440" s="30" t="s">
        <v>76</v>
      </c>
      <c r="R440" s="25" t="n">
        <f aca="false">L440*M440*(1-N440)</f>
        <v>169.15</v>
      </c>
    </row>
    <row r="441" customFormat="false" ht="15" hidden="false" customHeight="false" outlineLevel="0" collapsed="false">
      <c r="A441" s="30" t="s">
        <v>612</v>
      </c>
      <c r="B441" s="44" t="n">
        <v>45455</v>
      </c>
      <c r="C441" s="19" t="n">
        <f aca="false">YEAR(B441)</f>
        <v>2024</v>
      </c>
      <c r="D441" s="19" t="n">
        <f aca="false">MONTH(B441)</f>
        <v>6</v>
      </c>
      <c r="E441" s="30" t="str">
        <f aca="false">INDEX(Lists!$K$2:$K$13,MATCH(D441,Lists!$J$2:$J$13,0))</f>
        <v>يونيو</v>
      </c>
      <c r="F441" s="19" t="str">
        <f aca="false">"Q"&amp;ROUNDUP(D441/3,0)</f>
        <v>Q2</v>
      </c>
      <c r="G441" s="30" t="str">
        <f aca="false">INDEX(Lists!$N$2:$N$8,MATCH(WEEKDAY(B441,2),Lists!$M$2:$M$8,0))</f>
        <v>الأربعاء</v>
      </c>
      <c r="H441" s="30" t="s">
        <v>60</v>
      </c>
      <c r="I441" s="19" t="str">
        <f aca="false">INDEX(Lists!$B$2:$B$6,MATCH(H441,Lists!$A$2:$A$6,0))</f>
        <v>المنطقة الغربية</v>
      </c>
      <c r="J441" s="30" t="s">
        <v>105</v>
      </c>
      <c r="K441" s="30" t="s">
        <v>179</v>
      </c>
      <c r="L441" s="31" t="n">
        <v>1889</v>
      </c>
      <c r="M441" s="19" t="n">
        <v>1</v>
      </c>
      <c r="N441" s="32" t="n">
        <v>0</v>
      </c>
      <c r="O441" s="30" t="s">
        <v>58</v>
      </c>
      <c r="P441" s="30" t="s">
        <v>47</v>
      </c>
      <c r="Q441" s="30" t="s">
        <v>94</v>
      </c>
      <c r="R441" s="25" t="n">
        <f aca="false">L441*M441*(1-N441)</f>
        <v>1889</v>
      </c>
    </row>
    <row r="442" customFormat="false" ht="15" hidden="false" customHeight="false" outlineLevel="0" collapsed="false">
      <c r="A442" s="30" t="s">
        <v>613</v>
      </c>
      <c r="B442" s="44" t="n">
        <v>45456</v>
      </c>
      <c r="C442" s="19" t="n">
        <f aca="false">YEAR(B442)</f>
        <v>2024</v>
      </c>
      <c r="D442" s="19" t="n">
        <f aca="false">MONTH(B442)</f>
        <v>6</v>
      </c>
      <c r="E442" s="30" t="str">
        <f aca="false">INDEX(Lists!$K$2:$K$13,MATCH(D442,Lists!$J$2:$J$13,0))</f>
        <v>يونيو</v>
      </c>
      <c r="F442" s="19" t="str">
        <f aca="false">"Q"&amp;ROUNDUP(D442/3,0)</f>
        <v>Q2</v>
      </c>
      <c r="G442" s="30" t="str">
        <f aca="false">INDEX(Lists!$N$2:$N$8,MATCH(WEEKDAY(B442,2),Lists!$M$2:$M$8,0))</f>
        <v>الخميس</v>
      </c>
      <c r="H442" s="30" t="s">
        <v>46</v>
      </c>
      <c r="I442" s="19" t="str">
        <f aca="false">INDEX(Lists!$B$2:$B$6,MATCH(H442,Lists!$A$2:$A$6,0))</f>
        <v>المنطقة الوسطى</v>
      </c>
      <c r="J442" s="30" t="s">
        <v>109</v>
      </c>
      <c r="K442" s="30" t="s">
        <v>93</v>
      </c>
      <c r="L442" s="31" t="n">
        <v>339</v>
      </c>
      <c r="M442" s="19" t="n">
        <v>2</v>
      </c>
      <c r="N442" s="32" t="n">
        <v>0</v>
      </c>
      <c r="O442" s="30" t="s">
        <v>48</v>
      </c>
      <c r="P442" s="30" t="s">
        <v>47</v>
      </c>
      <c r="Q442" s="30" t="s">
        <v>86</v>
      </c>
      <c r="R442" s="25" t="n">
        <f aca="false">L442*M442*(1-N442)</f>
        <v>678</v>
      </c>
    </row>
    <row r="443" customFormat="false" ht="15" hidden="false" customHeight="false" outlineLevel="0" collapsed="false">
      <c r="A443" s="30" t="s">
        <v>614</v>
      </c>
      <c r="B443" s="44" t="n">
        <v>45456</v>
      </c>
      <c r="C443" s="19" t="n">
        <f aca="false">YEAR(B443)</f>
        <v>2024</v>
      </c>
      <c r="D443" s="19" t="n">
        <f aca="false">MONTH(B443)</f>
        <v>6</v>
      </c>
      <c r="E443" s="30" t="str">
        <f aca="false">INDEX(Lists!$K$2:$K$13,MATCH(D443,Lists!$J$2:$J$13,0))</f>
        <v>يونيو</v>
      </c>
      <c r="F443" s="19" t="str">
        <f aca="false">"Q"&amp;ROUNDUP(D443/3,0)</f>
        <v>Q2</v>
      </c>
      <c r="G443" s="30" t="str">
        <f aca="false">INDEX(Lists!$N$2:$N$8,MATCH(WEEKDAY(B443,2),Lists!$M$2:$M$8,0))</f>
        <v>الخميس</v>
      </c>
      <c r="H443" s="30" t="s">
        <v>50</v>
      </c>
      <c r="I443" s="19" t="str">
        <f aca="false">INDEX(Lists!$B$2:$B$6,MATCH(H443,Lists!$A$2:$A$6,0))</f>
        <v>المنطقة الغربية</v>
      </c>
      <c r="J443" s="30" t="s">
        <v>105</v>
      </c>
      <c r="K443" s="30" t="s">
        <v>90</v>
      </c>
      <c r="L443" s="31" t="n">
        <v>2089</v>
      </c>
      <c r="M443" s="19" t="n">
        <v>2</v>
      </c>
      <c r="N443" s="32" t="n">
        <v>0.15</v>
      </c>
      <c r="O443" s="30" t="s">
        <v>48</v>
      </c>
      <c r="P443" s="30" t="s">
        <v>47</v>
      </c>
      <c r="Q443" s="30" t="s">
        <v>81</v>
      </c>
      <c r="R443" s="25" t="n">
        <f aca="false">L443*M443*(1-N443)</f>
        <v>3551.3</v>
      </c>
    </row>
    <row r="444" customFormat="false" ht="15" hidden="false" customHeight="false" outlineLevel="0" collapsed="false">
      <c r="A444" s="30" t="s">
        <v>615</v>
      </c>
      <c r="B444" s="44" t="n">
        <v>45456</v>
      </c>
      <c r="C444" s="19" t="n">
        <f aca="false">YEAR(B444)</f>
        <v>2024</v>
      </c>
      <c r="D444" s="19" t="n">
        <f aca="false">MONTH(B444)</f>
        <v>6</v>
      </c>
      <c r="E444" s="30" t="str">
        <f aca="false">INDEX(Lists!$K$2:$K$13,MATCH(D444,Lists!$J$2:$J$13,0))</f>
        <v>يونيو</v>
      </c>
      <c r="F444" s="19" t="str">
        <f aca="false">"Q"&amp;ROUNDUP(D444/3,0)</f>
        <v>Q2</v>
      </c>
      <c r="G444" s="30" t="str">
        <f aca="false">INDEX(Lists!$N$2:$N$8,MATCH(WEEKDAY(B444,2),Lists!$M$2:$M$8,0))</f>
        <v>الخميس</v>
      </c>
      <c r="H444" s="30" t="s">
        <v>46</v>
      </c>
      <c r="I444" s="19" t="str">
        <f aca="false">INDEX(Lists!$B$2:$B$6,MATCH(H444,Lists!$A$2:$A$6,0))</f>
        <v>المنطقة الوسطى</v>
      </c>
      <c r="J444" s="30" t="s">
        <v>109</v>
      </c>
      <c r="K444" s="30" t="s">
        <v>171</v>
      </c>
      <c r="L444" s="31" t="n">
        <v>89</v>
      </c>
      <c r="M444" s="19" t="n">
        <v>1</v>
      </c>
      <c r="N444" s="32" t="n">
        <v>0.05</v>
      </c>
      <c r="O444" s="30" t="s">
        <v>55</v>
      </c>
      <c r="P444" s="30" t="s">
        <v>47</v>
      </c>
      <c r="Q444" s="30" t="s">
        <v>86</v>
      </c>
      <c r="R444" s="25" t="n">
        <f aca="false">L444*M444*(1-N444)</f>
        <v>84.55</v>
      </c>
    </row>
    <row r="445" customFormat="false" ht="15" hidden="false" customHeight="false" outlineLevel="0" collapsed="false">
      <c r="A445" s="30" t="s">
        <v>616</v>
      </c>
      <c r="B445" s="44" t="n">
        <v>45456</v>
      </c>
      <c r="C445" s="19" t="n">
        <f aca="false">YEAR(B445)</f>
        <v>2024</v>
      </c>
      <c r="D445" s="19" t="n">
        <f aca="false">MONTH(B445)</f>
        <v>6</v>
      </c>
      <c r="E445" s="30" t="str">
        <f aca="false">INDEX(Lists!$K$2:$K$13,MATCH(D445,Lists!$J$2:$J$13,0))</f>
        <v>يونيو</v>
      </c>
      <c r="F445" s="19" t="str">
        <f aca="false">"Q"&amp;ROUNDUP(D445/3,0)</f>
        <v>Q2</v>
      </c>
      <c r="G445" s="30" t="str">
        <f aca="false">INDEX(Lists!$N$2:$N$8,MATCH(WEEKDAY(B445,2),Lists!$M$2:$M$8,0))</f>
        <v>الخميس</v>
      </c>
      <c r="H445" s="30" t="s">
        <v>46</v>
      </c>
      <c r="I445" s="19" t="str">
        <f aca="false">INDEX(Lists!$B$2:$B$6,MATCH(H445,Lists!$A$2:$A$6,0))</f>
        <v>المنطقة الوسطى</v>
      </c>
      <c r="J445" s="30" t="s">
        <v>113</v>
      </c>
      <c r="K445" s="30" t="s">
        <v>100</v>
      </c>
      <c r="L445" s="31" t="n">
        <v>779</v>
      </c>
      <c r="M445" s="19" t="n">
        <v>1</v>
      </c>
      <c r="N445" s="32" t="n">
        <v>0</v>
      </c>
      <c r="O445" s="30" t="s">
        <v>52</v>
      </c>
      <c r="P445" s="30" t="s">
        <v>47</v>
      </c>
      <c r="Q445" s="30" t="s">
        <v>89</v>
      </c>
      <c r="R445" s="25" t="n">
        <f aca="false">L445*M445*(1-N445)</f>
        <v>779</v>
      </c>
    </row>
    <row r="446" customFormat="false" ht="15" hidden="false" customHeight="false" outlineLevel="0" collapsed="false">
      <c r="A446" s="30" t="s">
        <v>617</v>
      </c>
      <c r="B446" s="44" t="n">
        <v>45456</v>
      </c>
      <c r="C446" s="19" t="n">
        <f aca="false">YEAR(B446)</f>
        <v>2024</v>
      </c>
      <c r="D446" s="19" t="n">
        <f aca="false">MONTH(B446)</f>
        <v>6</v>
      </c>
      <c r="E446" s="30" t="str">
        <f aca="false">INDEX(Lists!$K$2:$K$13,MATCH(D446,Lists!$J$2:$J$13,0))</f>
        <v>يونيو</v>
      </c>
      <c r="F446" s="19" t="str">
        <f aca="false">"Q"&amp;ROUNDUP(D446/3,0)</f>
        <v>Q2</v>
      </c>
      <c r="G446" s="30" t="str">
        <f aca="false">INDEX(Lists!$N$2:$N$8,MATCH(WEEKDAY(B446,2),Lists!$M$2:$M$8,0))</f>
        <v>الخميس</v>
      </c>
      <c r="H446" s="30" t="s">
        <v>57</v>
      </c>
      <c r="I446" s="19" t="str">
        <f aca="false">INDEX(Lists!$B$2:$B$6,MATCH(H446,Lists!$A$2:$A$6,0))</f>
        <v>المنطقة الغربية</v>
      </c>
      <c r="J446" s="30" t="s">
        <v>111</v>
      </c>
      <c r="K446" s="30" t="s">
        <v>120</v>
      </c>
      <c r="L446" s="31" t="n">
        <v>379</v>
      </c>
      <c r="M446" s="19" t="n">
        <v>2</v>
      </c>
      <c r="N446" s="32" t="n">
        <v>0</v>
      </c>
      <c r="O446" s="30" t="s">
        <v>48</v>
      </c>
      <c r="P446" s="30" t="s">
        <v>47</v>
      </c>
      <c r="Q446" s="30" t="s">
        <v>89</v>
      </c>
      <c r="R446" s="25" t="n">
        <f aca="false">L446*M446*(1-N446)</f>
        <v>758</v>
      </c>
    </row>
    <row r="447" customFormat="false" ht="15" hidden="false" customHeight="false" outlineLevel="0" collapsed="false">
      <c r="A447" s="30" t="s">
        <v>618</v>
      </c>
      <c r="B447" s="44" t="n">
        <v>45457</v>
      </c>
      <c r="C447" s="19" t="n">
        <f aca="false">YEAR(B447)</f>
        <v>2024</v>
      </c>
      <c r="D447" s="19" t="n">
        <f aca="false">MONTH(B447)</f>
        <v>6</v>
      </c>
      <c r="E447" s="30" t="str">
        <f aca="false">INDEX(Lists!$K$2:$K$13,MATCH(D447,Lists!$J$2:$J$13,0))</f>
        <v>يونيو</v>
      </c>
      <c r="F447" s="19" t="str">
        <f aca="false">"Q"&amp;ROUNDUP(D447/3,0)</f>
        <v>Q2</v>
      </c>
      <c r="G447" s="30" t="str">
        <f aca="false">INDEX(Lists!$N$2:$N$8,MATCH(WEEKDAY(B447,2),Lists!$M$2:$M$8,0))</f>
        <v>الجمعة</v>
      </c>
      <c r="H447" s="30" t="s">
        <v>54</v>
      </c>
      <c r="I447" s="19" t="str">
        <f aca="false">INDEX(Lists!$B$2:$B$6,MATCH(H447,Lists!$A$2:$A$6,0))</f>
        <v>المنطقة الشرقية</v>
      </c>
      <c r="J447" s="30" t="s">
        <v>107</v>
      </c>
      <c r="K447" s="30" t="s">
        <v>184</v>
      </c>
      <c r="L447" s="31" t="n">
        <v>5389</v>
      </c>
      <c r="M447" s="19" t="n">
        <v>1</v>
      </c>
      <c r="N447" s="32" t="n">
        <v>0.05</v>
      </c>
      <c r="O447" s="30" t="s">
        <v>52</v>
      </c>
      <c r="P447" s="30" t="s">
        <v>47</v>
      </c>
      <c r="Q447" s="30" t="s">
        <v>92</v>
      </c>
      <c r="R447" s="25" t="n">
        <f aca="false">L447*M447*(1-N447)</f>
        <v>5119.55</v>
      </c>
    </row>
    <row r="448" customFormat="false" ht="15" hidden="false" customHeight="false" outlineLevel="0" collapsed="false">
      <c r="A448" s="30" t="s">
        <v>619</v>
      </c>
      <c r="B448" s="44" t="n">
        <v>45457</v>
      </c>
      <c r="C448" s="19" t="n">
        <f aca="false">YEAR(B448)</f>
        <v>2024</v>
      </c>
      <c r="D448" s="19" t="n">
        <f aca="false">MONTH(B448)</f>
        <v>6</v>
      </c>
      <c r="E448" s="30" t="str">
        <f aca="false">INDEX(Lists!$K$2:$K$13,MATCH(D448,Lists!$J$2:$J$13,0))</f>
        <v>يونيو</v>
      </c>
      <c r="F448" s="19" t="str">
        <f aca="false">"Q"&amp;ROUNDUP(D448/3,0)</f>
        <v>Q2</v>
      </c>
      <c r="G448" s="30" t="str">
        <f aca="false">INDEX(Lists!$N$2:$N$8,MATCH(WEEKDAY(B448,2),Lists!$M$2:$M$8,0))</f>
        <v>الجمعة</v>
      </c>
      <c r="H448" s="30" t="s">
        <v>50</v>
      </c>
      <c r="I448" s="19" t="str">
        <f aca="false">INDEX(Lists!$B$2:$B$6,MATCH(H448,Lists!$A$2:$A$6,0))</f>
        <v>المنطقة الغربية</v>
      </c>
      <c r="J448" s="30" t="s">
        <v>105</v>
      </c>
      <c r="K448" s="30" t="s">
        <v>179</v>
      </c>
      <c r="L448" s="31" t="n">
        <v>939</v>
      </c>
      <c r="M448" s="19" t="n">
        <v>1</v>
      </c>
      <c r="N448" s="32" t="n">
        <v>0.05</v>
      </c>
      <c r="O448" s="30" t="s">
        <v>48</v>
      </c>
      <c r="P448" s="30" t="s">
        <v>47</v>
      </c>
      <c r="Q448" s="30" t="s">
        <v>89</v>
      </c>
      <c r="R448" s="25" t="n">
        <f aca="false">L448*M448*(1-N448)</f>
        <v>892.05</v>
      </c>
    </row>
    <row r="449" customFormat="false" ht="15" hidden="false" customHeight="false" outlineLevel="0" collapsed="false">
      <c r="A449" s="30" t="s">
        <v>620</v>
      </c>
      <c r="B449" s="44" t="n">
        <v>45457</v>
      </c>
      <c r="C449" s="19" t="n">
        <f aca="false">YEAR(B449)</f>
        <v>2024</v>
      </c>
      <c r="D449" s="19" t="n">
        <f aca="false">MONTH(B449)</f>
        <v>6</v>
      </c>
      <c r="E449" s="30" t="str">
        <f aca="false">INDEX(Lists!$K$2:$K$13,MATCH(D449,Lists!$J$2:$J$13,0))</f>
        <v>يونيو</v>
      </c>
      <c r="F449" s="19" t="str">
        <f aca="false">"Q"&amp;ROUNDUP(D449/3,0)</f>
        <v>Q2</v>
      </c>
      <c r="G449" s="30" t="str">
        <f aca="false">INDEX(Lists!$N$2:$N$8,MATCH(WEEKDAY(B449,2),Lists!$M$2:$M$8,0))</f>
        <v>الجمعة</v>
      </c>
      <c r="H449" s="30" t="s">
        <v>46</v>
      </c>
      <c r="I449" s="19" t="str">
        <f aca="false">INDEX(Lists!$B$2:$B$6,MATCH(H449,Lists!$A$2:$A$6,0))</f>
        <v>المنطقة الوسطى</v>
      </c>
      <c r="J449" s="30" t="s">
        <v>105</v>
      </c>
      <c r="K449" s="30" t="s">
        <v>79</v>
      </c>
      <c r="L449" s="31" t="n">
        <v>3449</v>
      </c>
      <c r="M449" s="19" t="n">
        <v>1</v>
      </c>
      <c r="N449" s="32" t="n">
        <v>0</v>
      </c>
      <c r="O449" s="30" t="s">
        <v>48</v>
      </c>
      <c r="P449" s="30" t="s">
        <v>47</v>
      </c>
      <c r="Q449" s="30" t="s">
        <v>89</v>
      </c>
      <c r="R449" s="25" t="n">
        <f aca="false">L449*M449*(1-N449)</f>
        <v>3449</v>
      </c>
    </row>
    <row r="450" customFormat="false" ht="15" hidden="false" customHeight="false" outlineLevel="0" collapsed="false">
      <c r="A450" s="30" t="s">
        <v>621</v>
      </c>
      <c r="B450" s="44" t="n">
        <v>45457</v>
      </c>
      <c r="C450" s="19" t="n">
        <f aca="false">YEAR(B450)</f>
        <v>2024</v>
      </c>
      <c r="D450" s="19" t="n">
        <f aca="false">MONTH(B450)</f>
        <v>6</v>
      </c>
      <c r="E450" s="30" t="str">
        <f aca="false">INDEX(Lists!$K$2:$K$13,MATCH(D450,Lists!$J$2:$J$13,0))</f>
        <v>يونيو</v>
      </c>
      <c r="F450" s="19" t="str">
        <f aca="false">"Q"&amp;ROUNDUP(D450/3,0)</f>
        <v>Q2</v>
      </c>
      <c r="G450" s="30" t="str">
        <f aca="false">INDEX(Lists!$N$2:$N$8,MATCH(WEEKDAY(B450,2),Lists!$M$2:$M$8,0))</f>
        <v>الجمعة</v>
      </c>
      <c r="H450" s="30" t="s">
        <v>50</v>
      </c>
      <c r="I450" s="19" t="str">
        <f aca="false">INDEX(Lists!$B$2:$B$6,MATCH(H450,Lists!$A$2:$A$6,0))</f>
        <v>المنطقة الغربية</v>
      </c>
      <c r="J450" s="30" t="s">
        <v>107</v>
      </c>
      <c r="K450" s="30" t="s">
        <v>115</v>
      </c>
      <c r="L450" s="31" t="n">
        <v>4349</v>
      </c>
      <c r="M450" s="19" t="n">
        <v>1</v>
      </c>
      <c r="N450" s="32" t="n">
        <v>0</v>
      </c>
      <c r="O450" s="30" t="s">
        <v>48</v>
      </c>
      <c r="P450" s="30" t="s">
        <v>47</v>
      </c>
      <c r="Q450" s="30" t="s">
        <v>86</v>
      </c>
      <c r="R450" s="25" t="n">
        <f aca="false">L450*M450*(1-N450)</f>
        <v>4349</v>
      </c>
    </row>
    <row r="451" customFormat="false" ht="15" hidden="false" customHeight="false" outlineLevel="0" collapsed="false">
      <c r="A451" s="30" t="s">
        <v>622</v>
      </c>
      <c r="B451" s="44" t="n">
        <v>45458</v>
      </c>
      <c r="C451" s="19" t="n">
        <f aca="false">YEAR(B451)</f>
        <v>2024</v>
      </c>
      <c r="D451" s="19" t="n">
        <f aca="false">MONTH(B451)</f>
        <v>6</v>
      </c>
      <c r="E451" s="30" t="str">
        <f aca="false">INDEX(Lists!$K$2:$K$13,MATCH(D451,Lists!$J$2:$J$13,0))</f>
        <v>يونيو</v>
      </c>
      <c r="F451" s="19" t="str">
        <f aca="false">"Q"&amp;ROUNDUP(D451/3,0)</f>
        <v>Q2</v>
      </c>
      <c r="G451" s="30" t="str">
        <f aca="false">INDEX(Lists!$N$2:$N$8,MATCH(WEEKDAY(B451,2),Lists!$M$2:$M$8,0))</f>
        <v>السبت</v>
      </c>
      <c r="H451" s="30" t="s">
        <v>50</v>
      </c>
      <c r="I451" s="19" t="str">
        <f aca="false">INDEX(Lists!$B$2:$B$6,MATCH(H451,Lists!$A$2:$A$6,0))</f>
        <v>المنطقة الغربية</v>
      </c>
      <c r="J451" s="30" t="s">
        <v>105</v>
      </c>
      <c r="K451" s="30" t="s">
        <v>79</v>
      </c>
      <c r="L451" s="31" t="n">
        <v>809</v>
      </c>
      <c r="M451" s="19" t="n">
        <v>1</v>
      </c>
      <c r="N451" s="32" t="n">
        <v>0</v>
      </c>
      <c r="O451" s="30" t="s">
        <v>48</v>
      </c>
      <c r="P451" s="30" t="s">
        <v>47</v>
      </c>
      <c r="Q451" s="30" t="s">
        <v>99</v>
      </c>
      <c r="R451" s="25" t="n">
        <f aca="false">L451*M451*(1-N451)</f>
        <v>809</v>
      </c>
    </row>
    <row r="452" customFormat="false" ht="15" hidden="false" customHeight="false" outlineLevel="0" collapsed="false">
      <c r="A452" s="30" t="s">
        <v>623</v>
      </c>
      <c r="B452" s="44" t="n">
        <v>45458</v>
      </c>
      <c r="C452" s="19" t="n">
        <f aca="false">YEAR(B452)</f>
        <v>2024</v>
      </c>
      <c r="D452" s="19" t="n">
        <f aca="false">MONTH(B452)</f>
        <v>6</v>
      </c>
      <c r="E452" s="30" t="str">
        <f aca="false">INDEX(Lists!$K$2:$K$13,MATCH(D452,Lists!$J$2:$J$13,0))</f>
        <v>يونيو</v>
      </c>
      <c r="F452" s="19" t="str">
        <f aca="false">"Q"&amp;ROUNDUP(D452/3,0)</f>
        <v>Q2</v>
      </c>
      <c r="G452" s="30" t="str">
        <f aca="false">INDEX(Lists!$N$2:$N$8,MATCH(WEEKDAY(B452,2),Lists!$M$2:$M$8,0))</f>
        <v>السبت</v>
      </c>
      <c r="H452" s="30" t="s">
        <v>57</v>
      </c>
      <c r="I452" s="19" t="str">
        <f aca="false">INDEX(Lists!$B$2:$B$6,MATCH(H452,Lists!$A$2:$A$6,0))</f>
        <v>المنطقة الغربية</v>
      </c>
      <c r="J452" s="30" t="s">
        <v>113</v>
      </c>
      <c r="K452" s="30" t="s">
        <v>95</v>
      </c>
      <c r="L452" s="31" t="n">
        <v>359</v>
      </c>
      <c r="M452" s="19" t="n">
        <v>2</v>
      </c>
      <c r="N452" s="32" t="n">
        <v>0</v>
      </c>
      <c r="O452" s="30" t="s">
        <v>55</v>
      </c>
      <c r="P452" s="30" t="s">
        <v>47</v>
      </c>
      <c r="Q452" s="30" t="s">
        <v>99</v>
      </c>
      <c r="R452" s="25" t="n">
        <f aca="false">L452*M452*(1-N452)</f>
        <v>718</v>
      </c>
    </row>
    <row r="453" customFormat="false" ht="15" hidden="false" customHeight="false" outlineLevel="0" collapsed="false">
      <c r="A453" s="30" t="s">
        <v>624</v>
      </c>
      <c r="B453" s="44" t="n">
        <v>45458</v>
      </c>
      <c r="C453" s="19" t="n">
        <f aca="false">YEAR(B453)</f>
        <v>2024</v>
      </c>
      <c r="D453" s="19" t="n">
        <f aca="false">MONTH(B453)</f>
        <v>6</v>
      </c>
      <c r="E453" s="30" t="str">
        <f aca="false">INDEX(Lists!$K$2:$K$13,MATCH(D453,Lists!$J$2:$J$13,0))</f>
        <v>يونيو</v>
      </c>
      <c r="F453" s="19" t="str">
        <f aca="false">"Q"&amp;ROUNDUP(D453/3,0)</f>
        <v>Q2</v>
      </c>
      <c r="G453" s="30" t="str">
        <f aca="false">INDEX(Lists!$N$2:$N$8,MATCH(WEEKDAY(B453,2),Lists!$M$2:$M$8,0))</f>
        <v>السبت</v>
      </c>
      <c r="H453" s="30" t="s">
        <v>46</v>
      </c>
      <c r="I453" s="19" t="str">
        <f aca="false">INDEX(Lists!$B$2:$B$6,MATCH(H453,Lists!$A$2:$A$6,0))</f>
        <v>المنطقة الوسطى</v>
      </c>
      <c r="J453" s="30" t="s">
        <v>105</v>
      </c>
      <c r="K453" s="30" t="s">
        <v>79</v>
      </c>
      <c r="L453" s="31" t="n">
        <v>4049</v>
      </c>
      <c r="M453" s="19" t="n">
        <v>2</v>
      </c>
      <c r="N453" s="32" t="n">
        <v>0</v>
      </c>
      <c r="O453" s="30" t="s">
        <v>48</v>
      </c>
      <c r="P453" s="30" t="s">
        <v>51</v>
      </c>
      <c r="Q453" s="30" t="s">
        <v>89</v>
      </c>
      <c r="R453" s="25" t="n">
        <f aca="false">L453*M453*(1-N453)</f>
        <v>8098</v>
      </c>
    </row>
    <row r="454" customFormat="false" ht="15" hidden="false" customHeight="false" outlineLevel="0" collapsed="false">
      <c r="A454" s="30" t="s">
        <v>625</v>
      </c>
      <c r="B454" s="44" t="n">
        <v>45459</v>
      </c>
      <c r="C454" s="19" t="n">
        <f aca="false">YEAR(B454)</f>
        <v>2024</v>
      </c>
      <c r="D454" s="19" t="n">
        <f aca="false">MONTH(B454)</f>
        <v>6</v>
      </c>
      <c r="E454" s="30" t="str">
        <f aca="false">INDEX(Lists!$K$2:$K$13,MATCH(D454,Lists!$J$2:$J$13,0))</f>
        <v>يونيو</v>
      </c>
      <c r="F454" s="19" t="str">
        <f aca="false">"Q"&amp;ROUNDUP(D454/3,0)</f>
        <v>Q2</v>
      </c>
      <c r="G454" s="30" t="str">
        <f aca="false">INDEX(Lists!$N$2:$N$8,MATCH(WEEKDAY(B454,2),Lists!$M$2:$M$8,0))</f>
        <v>الأحد</v>
      </c>
      <c r="H454" s="30" t="s">
        <v>50</v>
      </c>
      <c r="I454" s="19" t="str">
        <f aca="false">INDEX(Lists!$B$2:$B$6,MATCH(H454,Lists!$A$2:$A$6,0))</f>
        <v>المنطقة الغربية</v>
      </c>
      <c r="J454" s="30" t="s">
        <v>109</v>
      </c>
      <c r="K454" s="30" t="s">
        <v>192</v>
      </c>
      <c r="L454" s="31" t="n">
        <v>329</v>
      </c>
      <c r="M454" s="19" t="n">
        <v>10</v>
      </c>
      <c r="N454" s="32" t="n">
        <v>0</v>
      </c>
      <c r="O454" s="30" t="s">
        <v>48</v>
      </c>
      <c r="P454" s="30" t="s">
        <v>51</v>
      </c>
      <c r="Q454" s="30" t="s">
        <v>96</v>
      </c>
      <c r="R454" s="25" t="n">
        <f aca="false">L454*M454*(1-N454)</f>
        <v>3290</v>
      </c>
    </row>
    <row r="455" customFormat="false" ht="15" hidden="false" customHeight="false" outlineLevel="0" collapsed="false">
      <c r="A455" s="30" t="s">
        <v>626</v>
      </c>
      <c r="B455" s="44" t="n">
        <v>45459</v>
      </c>
      <c r="C455" s="19" t="n">
        <f aca="false">YEAR(B455)</f>
        <v>2024</v>
      </c>
      <c r="D455" s="19" t="n">
        <f aca="false">MONTH(B455)</f>
        <v>6</v>
      </c>
      <c r="E455" s="30" t="str">
        <f aca="false">INDEX(Lists!$K$2:$K$13,MATCH(D455,Lists!$J$2:$J$13,0))</f>
        <v>يونيو</v>
      </c>
      <c r="F455" s="19" t="str">
        <f aca="false">"Q"&amp;ROUNDUP(D455/3,0)</f>
        <v>Q2</v>
      </c>
      <c r="G455" s="30" t="str">
        <f aca="false">INDEX(Lists!$N$2:$N$8,MATCH(WEEKDAY(B455,2),Lists!$M$2:$M$8,0))</f>
        <v>الأحد</v>
      </c>
      <c r="H455" s="30" t="s">
        <v>54</v>
      </c>
      <c r="I455" s="19" t="str">
        <f aca="false">INDEX(Lists!$B$2:$B$6,MATCH(H455,Lists!$A$2:$A$6,0))</f>
        <v>المنطقة الشرقية</v>
      </c>
      <c r="J455" s="30" t="s">
        <v>109</v>
      </c>
      <c r="K455" s="30" t="s">
        <v>171</v>
      </c>
      <c r="L455" s="31" t="n">
        <v>329</v>
      </c>
      <c r="M455" s="19" t="n">
        <v>2</v>
      </c>
      <c r="N455" s="32" t="n">
        <v>0.05</v>
      </c>
      <c r="O455" s="30" t="s">
        <v>48</v>
      </c>
      <c r="P455" s="30" t="s">
        <v>47</v>
      </c>
      <c r="Q455" s="30" t="s">
        <v>92</v>
      </c>
      <c r="R455" s="25" t="n">
        <f aca="false">L455*M455*(1-N455)</f>
        <v>625.1</v>
      </c>
    </row>
    <row r="456" customFormat="false" ht="15" hidden="false" customHeight="false" outlineLevel="0" collapsed="false">
      <c r="A456" s="30" t="s">
        <v>627</v>
      </c>
      <c r="B456" s="44" t="n">
        <v>45459</v>
      </c>
      <c r="C456" s="19" t="n">
        <f aca="false">YEAR(B456)</f>
        <v>2024</v>
      </c>
      <c r="D456" s="19" t="n">
        <f aca="false">MONTH(B456)</f>
        <v>6</v>
      </c>
      <c r="E456" s="30" t="str">
        <f aca="false">INDEX(Lists!$K$2:$K$13,MATCH(D456,Lists!$J$2:$J$13,0))</f>
        <v>يونيو</v>
      </c>
      <c r="F456" s="19" t="str">
        <f aca="false">"Q"&amp;ROUNDUP(D456/3,0)</f>
        <v>Q2</v>
      </c>
      <c r="G456" s="30" t="str">
        <f aca="false">INDEX(Lists!$N$2:$N$8,MATCH(WEEKDAY(B456,2),Lists!$M$2:$M$8,0))</f>
        <v>الأحد</v>
      </c>
      <c r="H456" s="30" t="s">
        <v>50</v>
      </c>
      <c r="I456" s="19" t="str">
        <f aca="false">INDEX(Lists!$B$2:$B$6,MATCH(H456,Lists!$A$2:$A$6,0))</f>
        <v>المنطقة الغربية</v>
      </c>
      <c r="J456" s="30" t="s">
        <v>109</v>
      </c>
      <c r="K456" s="30" t="s">
        <v>171</v>
      </c>
      <c r="L456" s="31" t="n">
        <v>249</v>
      </c>
      <c r="M456" s="19" t="n">
        <v>1</v>
      </c>
      <c r="N456" s="32" t="n">
        <v>0.05</v>
      </c>
      <c r="O456" s="30" t="s">
        <v>48</v>
      </c>
      <c r="P456" s="30" t="s">
        <v>47</v>
      </c>
      <c r="Q456" s="30" t="s">
        <v>76</v>
      </c>
      <c r="R456" s="25" t="n">
        <f aca="false">L456*M456*(1-N456)</f>
        <v>236.55</v>
      </c>
    </row>
    <row r="457" customFormat="false" ht="15" hidden="false" customHeight="false" outlineLevel="0" collapsed="false">
      <c r="A457" s="30" t="s">
        <v>628</v>
      </c>
      <c r="B457" s="44" t="n">
        <v>45460</v>
      </c>
      <c r="C457" s="19" t="n">
        <f aca="false">YEAR(B457)</f>
        <v>2024</v>
      </c>
      <c r="D457" s="19" t="n">
        <f aca="false">MONTH(B457)</f>
        <v>6</v>
      </c>
      <c r="E457" s="30" t="str">
        <f aca="false">INDEX(Lists!$K$2:$K$13,MATCH(D457,Lists!$J$2:$J$13,0))</f>
        <v>يونيو</v>
      </c>
      <c r="F457" s="19" t="str">
        <f aca="false">"Q"&amp;ROUNDUP(D457/3,0)</f>
        <v>Q2</v>
      </c>
      <c r="G457" s="30" t="str">
        <f aca="false">INDEX(Lists!$N$2:$N$8,MATCH(WEEKDAY(B457,2),Lists!$M$2:$M$8,0))</f>
        <v>الإثنين</v>
      </c>
      <c r="H457" s="30" t="s">
        <v>57</v>
      </c>
      <c r="I457" s="19" t="str">
        <f aca="false">INDEX(Lists!$B$2:$B$6,MATCH(H457,Lists!$A$2:$A$6,0))</f>
        <v>المنطقة الغربية</v>
      </c>
      <c r="J457" s="30" t="s">
        <v>113</v>
      </c>
      <c r="K457" s="30" t="s">
        <v>95</v>
      </c>
      <c r="L457" s="31" t="n">
        <v>239</v>
      </c>
      <c r="M457" s="19" t="n">
        <v>1</v>
      </c>
      <c r="N457" s="32" t="n">
        <v>0.15</v>
      </c>
      <c r="O457" s="30" t="s">
        <v>48</v>
      </c>
      <c r="P457" s="30" t="s">
        <v>47</v>
      </c>
      <c r="Q457" s="30" t="s">
        <v>89</v>
      </c>
      <c r="R457" s="25" t="n">
        <f aca="false">L457*M457*(1-N457)</f>
        <v>203.15</v>
      </c>
    </row>
    <row r="458" customFormat="false" ht="15" hidden="false" customHeight="false" outlineLevel="0" collapsed="false">
      <c r="A458" s="30" t="s">
        <v>629</v>
      </c>
      <c r="B458" s="44" t="n">
        <v>45461</v>
      </c>
      <c r="C458" s="19" t="n">
        <f aca="false">YEAR(B458)</f>
        <v>2024</v>
      </c>
      <c r="D458" s="19" t="n">
        <f aca="false">MONTH(B458)</f>
        <v>6</v>
      </c>
      <c r="E458" s="30" t="str">
        <f aca="false">INDEX(Lists!$K$2:$K$13,MATCH(D458,Lists!$J$2:$J$13,0))</f>
        <v>يونيو</v>
      </c>
      <c r="F458" s="19" t="str">
        <f aca="false">"Q"&amp;ROUNDUP(D458/3,0)</f>
        <v>Q2</v>
      </c>
      <c r="G458" s="30" t="str">
        <f aca="false">INDEX(Lists!$N$2:$N$8,MATCH(WEEKDAY(B458,2),Lists!$M$2:$M$8,0))</f>
        <v>الثلاثاء</v>
      </c>
      <c r="H458" s="30" t="s">
        <v>50</v>
      </c>
      <c r="I458" s="19" t="str">
        <f aca="false">INDEX(Lists!$B$2:$B$6,MATCH(H458,Lists!$A$2:$A$6,0))</f>
        <v>المنطقة الغربية</v>
      </c>
      <c r="J458" s="30" t="s">
        <v>109</v>
      </c>
      <c r="K458" s="30" t="s">
        <v>110</v>
      </c>
      <c r="L458" s="31" t="n">
        <v>39</v>
      </c>
      <c r="M458" s="19" t="n">
        <v>2</v>
      </c>
      <c r="N458" s="32" t="n">
        <v>0</v>
      </c>
      <c r="O458" s="30" t="s">
        <v>52</v>
      </c>
      <c r="P458" s="30" t="s">
        <v>47</v>
      </c>
      <c r="Q458" s="30" t="s">
        <v>84</v>
      </c>
      <c r="R458" s="25" t="n">
        <f aca="false">L458*M458*(1-N458)</f>
        <v>78</v>
      </c>
    </row>
    <row r="459" customFormat="false" ht="15" hidden="false" customHeight="false" outlineLevel="0" collapsed="false">
      <c r="A459" s="30" t="s">
        <v>630</v>
      </c>
      <c r="B459" s="44" t="n">
        <v>45461</v>
      </c>
      <c r="C459" s="19" t="n">
        <f aca="false">YEAR(B459)</f>
        <v>2024</v>
      </c>
      <c r="D459" s="19" t="n">
        <f aca="false">MONTH(B459)</f>
        <v>6</v>
      </c>
      <c r="E459" s="30" t="str">
        <f aca="false">INDEX(Lists!$K$2:$K$13,MATCH(D459,Lists!$J$2:$J$13,0))</f>
        <v>يونيو</v>
      </c>
      <c r="F459" s="19" t="str">
        <f aca="false">"Q"&amp;ROUNDUP(D459/3,0)</f>
        <v>Q2</v>
      </c>
      <c r="G459" s="30" t="str">
        <f aca="false">INDEX(Lists!$N$2:$N$8,MATCH(WEEKDAY(B459,2),Lists!$M$2:$M$8,0))</f>
        <v>الثلاثاء</v>
      </c>
      <c r="H459" s="30" t="s">
        <v>50</v>
      </c>
      <c r="I459" s="19" t="str">
        <f aca="false">INDEX(Lists!$B$2:$B$6,MATCH(H459,Lists!$A$2:$A$6,0))</f>
        <v>المنطقة الغربية</v>
      </c>
      <c r="J459" s="30" t="s">
        <v>105</v>
      </c>
      <c r="K459" s="30" t="s">
        <v>79</v>
      </c>
      <c r="L459" s="31" t="n">
        <v>4439</v>
      </c>
      <c r="M459" s="19" t="n">
        <v>1</v>
      </c>
      <c r="N459" s="32" t="n">
        <v>0.05</v>
      </c>
      <c r="O459" s="30" t="s">
        <v>48</v>
      </c>
      <c r="P459" s="30" t="s">
        <v>47</v>
      </c>
      <c r="Q459" s="30" t="s">
        <v>81</v>
      </c>
      <c r="R459" s="25" t="n">
        <f aca="false">L459*M459*(1-N459)</f>
        <v>4217.05</v>
      </c>
    </row>
    <row r="460" customFormat="false" ht="15" hidden="false" customHeight="false" outlineLevel="0" collapsed="false">
      <c r="A460" s="30" t="s">
        <v>631</v>
      </c>
      <c r="B460" s="44" t="n">
        <v>45461</v>
      </c>
      <c r="C460" s="19" t="n">
        <f aca="false">YEAR(B460)</f>
        <v>2024</v>
      </c>
      <c r="D460" s="19" t="n">
        <f aca="false">MONTH(B460)</f>
        <v>6</v>
      </c>
      <c r="E460" s="30" t="str">
        <f aca="false">INDEX(Lists!$K$2:$K$13,MATCH(D460,Lists!$J$2:$J$13,0))</f>
        <v>يونيو</v>
      </c>
      <c r="F460" s="19" t="str">
        <f aca="false">"Q"&amp;ROUNDUP(D460/3,0)</f>
        <v>Q2</v>
      </c>
      <c r="G460" s="30" t="str">
        <f aca="false">INDEX(Lists!$N$2:$N$8,MATCH(WEEKDAY(B460,2),Lists!$M$2:$M$8,0))</f>
        <v>الثلاثاء</v>
      </c>
      <c r="H460" s="30" t="s">
        <v>54</v>
      </c>
      <c r="I460" s="19" t="str">
        <f aca="false">INDEX(Lists!$B$2:$B$6,MATCH(H460,Lists!$A$2:$A$6,0))</f>
        <v>المنطقة الشرقية</v>
      </c>
      <c r="J460" s="30" t="s">
        <v>107</v>
      </c>
      <c r="K460" s="30" t="s">
        <v>184</v>
      </c>
      <c r="L460" s="31" t="n">
        <v>3359</v>
      </c>
      <c r="M460" s="19" t="n">
        <v>3</v>
      </c>
      <c r="N460" s="32" t="n">
        <v>0.15</v>
      </c>
      <c r="O460" s="30" t="s">
        <v>48</v>
      </c>
      <c r="P460" s="30" t="s">
        <v>51</v>
      </c>
      <c r="Q460" s="30" t="s">
        <v>84</v>
      </c>
      <c r="R460" s="25" t="n">
        <f aca="false">L460*M460*(1-N460)</f>
        <v>8565.45</v>
      </c>
    </row>
    <row r="461" customFormat="false" ht="15" hidden="false" customHeight="false" outlineLevel="0" collapsed="false">
      <c r="A461" s="30" t="s">
        <v>632</v>
      </c>
      <c r="B461" s="44" t="n">
        <v>45462</v>
      </c>
      <c r="C461" s="19" t="n">
        <f aca="false">YEAR(B461)</f>
        <v>2024</v>
      </c>
      <c r="D461" s="19" t="n">
        <f aca="false">MONTH(B461)</f>
        <v>6</v>
      </c>
      <c r="E461" s="30" t="str">
        <f aca="false">INDEX(Lists!$K$2:$K$13,MATCH(D461,Lists!$J$2:$J$13,0))</f>
        <v>يونيو</v>
      </c>
      <c r="F461" s="19" t="str">
        <f aca="false">"Q"&amp;ROUNDUP(D461/3,0)</f>
        <v>Q2</v>
      </c>
      <c r="G461" s="30" t="str">
        <f aca="false">INDEX(Lists!$N$2:$N$8,MATCH(WEEKDAY(B461,2),Lists!$M$2:$M$8,0))</f>
        <v>الأربعاء</v>
      </c>
      <c r="H461" s="30" t="s">
        <v>50</v>
      </c>
      <c r="I461" s="19" t="str">
        <f aca="false">INDEX(Lists!$B$2:$B$6,MATCH(H461,Lists!$A$2:$A$6,0))</f>
        <v>المنطقة الغربية</v>
      </c>
      <c r="J461" s="30" t="s">
        <v>105</v>
      </c>
      <c r="K461" s="30" t="s">
        <v>79</v>
      </c>
      <c r="L461" s="31" t="n">
        <v>3249</v>
      </c>
      <c r="M461" s="19" t="n">
        <v>2</v>
      </c>
      <c r="N461" s="32" t="n">
        <v>0</v>
      </c>
      <c r="O461" s="30" t="s">
        <v>58</v>
      </c>
      <c r="P461" s="30" t="s">
        <v>51</v>
      </c>
      <c r="Q461" s="30" t="s">
        <v>94</v>
      </c>
      <c r="R461" s="25" t="n">
        <f aca="false">L461*M461*(1-N461)</f>
        <v>6498</v>
      </c>
    </row>
    <row r="462" customFormat="false" ht="15" hidden="false" customHeight="false" outlineLevel="0" collapsed="false">
      <c r="A462" s="30" t="s">
        <v>633</v>
      </c>
      <c r="B462" s="44" t="n">
        <v>45462</v>
      </c>
      <c r="C462" s="19" t="n">
        <f aca="false">YEAR(B462)</f>
        <v>2024</v>
      </c>
      <c r="D462" s="19" t="n">
        <f aca="false">MONTH(B462)</f>
        <v>6</v>
      </c>
      <c r="E462" s="30" t="str">
        <f aca="false">INDEX(Lists!$K$2:$K$13,MATCH(D462,Lists!$J$2:$J$13,0))</f>
        <v>يونيو</v>
      </c>
      <c r="F462" s="19" t="str">
        <f aca="false">"Q"&amp;ROUNDUP(D462/3,0)</f>
        <v>Q2</v>
      </c>
      <c r="G462" s="30" t="str">
        <f aca="false">INDEX(Lists!$N$2:$N$8,MATCH(WEEKDAY(B462,2),Lists!$M$2:$M$8,0))</f>
        <v>الأربعاء</v>
      </c>
      <c r="H462" s="30" t="s">
        <v>50</v>
      </c>
      <c r="I462" s="19" t="str">
        <f aca="false">INDEX(Lists!$B$2:$B$6,MATCH(H462,Lists!$A$2:$A$6,0))</f>
        <v>المنطقة الغربية</v>
      </c>
      <c r="J462" s="30" t="s">
        <v>107</v>
      </c>
      <c r="K462" s="30" t="s">
        <v>114</v>
      </c>
      <c r="L462" s="31" t="n">
        <v>6019</v>
      </c>
      <c r="M462" s="19" t="n">
        <v>5</v>
      </c>
      <c r="N462" s="32" t="n">
        <v>0.1</v>
      </c>
      <c r="O462" s="30" t="s">
        <v>48</v>
      </c>
      <c r="P462" s="30" t="s">
        <v>51</v>
      </c>
      <c r="Q462" s="30" t="s">
        <v>94</v>
      </c>
      <c r="R462" s="25" t="n">
        <f aca="false">L462*M462*(1-N462)</f>
        <v>27085.5</v>
      </c>
    </row>
    <row r="463" customFormat="false" ht="15" hidden="false" customHeight="false" outlineLevel="0" collapsed="false">
      <c r="A463" s="30" t="s">
        <v>634</v>
      </c>
      <c r="B463" s="44" t="n">
        <v>45463</v>
      </c>
      <c r="C463" s="19" t="n">
        <f aca="false">YEAR(B463)</f>
        <v>2024</v>
      </c>
      <c r="D463" s="19" t="n">
        <f aca="false">MONTH(B463)</f>
        <v>6</v>
      </c>
      <c r="E463" s="30" t="str">
        <f aca="false">INDEX(Lists!$K$2:$K$13,MATCH(D463,Lists!$J$2:$J$13,0))</f>
        <v>يونيو</v>
      </c>
      <c r="F463" s="19" t="str">
        <f aca="false">"Q"&amp;ROUNDUP(D463/3,0)</f>
        <v>Q2</v>
      </c>
      <c r="G463" s="30" t="str">
        <f aca="false">INDEX(Lists!$N$2:$N$8,MATCH(WEEKDAY(B463,2),Lists!$M$2:$M$8,0))</f>
        <v>الخميس</v>
      </c>
      <c r="H463" s="30" t="s">
        <v>46</v>
      </c>
      <c r="I463" s="19" t="str">
        <f aca="false">INDEX(Lists!$B$2:$B$6,MATCH(H463,Lists!$A$2:$A$6,0))</f>
        <v>المنطقة الوسطى</v>
      </c>
      <c r="J463" s="30" t="s">
        <v>105</v>
      </c>
      <c r="K463" s="30" t="s">
        <v>90</v>
      </c>
      <c r="L463" s="31" t="n">
        <v>3629</v>
      </c>
      <c r="M463" s="19" t="n">
        <v>1</v>
      </c>
      <c r="N463" s="32" t="n">
        <v>0.05</v>
      </c>
      <c r="O463" s="30" t="s">
        <v>48</v>
      </c>
      <c r="P463" s="30" t="s">
        <v>47</v>
      </c>
      <c r="Q463" s="30" t="s">
        <v>81</v>
      </c>
      <c r="R463" s="25" t="n">
        <f aca="false">L463*M463*(1-N463)</f>
        <v>3447.55</v>
      </c>
    </row>
    <row r="464" customFormat="false" ht="15" hidden="false" customHeight="false" outlineLevel="0" collapsed="false">
      <c r="A464" s="30" t="s">
        <v>635</v>
      </c>
      <c r="B464" s="44" t="n">
        <v>45463</v>
      </c>
      <c r="C464" s="19" t="n">
        <f aca="false">YEAR(B464)</f>
        <v>2024</v>
      </c>
      <c r="D464" s="19" t="n">
        <f aca="false">MONTH(B464)</f>
        <v>6</v>
      </c>
      <c r="E464" s="30" t="str">
        <f aca="false">INDEX(Lists!$K$2:$K$13,MATCH(D464,Lists!$J$2:$J$13,0))</f>
        <v>يونيو</v>
      </c>
      <c r="F464" s="19" t="str">
        <f aca="false">"Q"&amp;ROUNDUP(D464/3,0)</f>
        <v>Q2</v>
      </c>
      <c r="G464" s="30" t="str">
        <f aca="false">INDEX(Lists!$N$2:$N$8,MATCH(WEEKDAY(B464,2),Lists!$M$2:$M$8,0))</f>
        <v>الخميس</v>
      </c>
      <c r="H464" s="30" t="s">
        <v>54</v>
      </c>
      <c r="I464" s="19" t="str">
        <f aca="false">INDEX(Lists!$B$2:$B$6,MATCH(H464,Lists!$A$2:$A$6,0))</f>
        <v>المنطقة الشرقية</v>
      </c>
      <c r="J464" s="30" t="s">
        <v>105</v>
      </c>
      <c r="K464" s="30" t="s">
        <v>82</v>
      </c>
      <c r="L464" s="31" t="n">
        <v>3799</v>
      </c>
      <c r="M464" s="19" t="n">
        <v>1</v>
      </c>
      <c r="N464" s="32" t="n">
        <v>0</v>
      </c>
      <c r="O464" s="30" t="s">
        <v>48</v>
      </c>
      <c r="P464" s="30" t="s">
        <v>47</v>
      </c>
      <c r="Q464" s="30" t="s">
        <v>76</v>
      </c>
      <c r="R464" s="25" t="n">
        <f aca="false">L464*M464*(1-N464)</f>
        <v>3799</v>
      </c>
    </row>
    <row r="465" customFormat="false" ht="15" hidden="false" customHeight="false" outlineLevel="0" collapsed="false">
      <c r="A465" s="30" t="s">
        <v>636</v>
      </c>
      <c r="B465" s="44" t="n">
        <v>45464</v>
      </c>
      <c r="C465" s="19" t="n">
        <f aca="false">YEAR(B465)</f>
        <v>2024</v>
      </c>
      <c r="D465" s="19" t="n">
        <f aca="false">MONTH(B465)</f>
        <v>6</v>
      </c>
      <c r="E465" s="30" t="str">
        <f aca="false">INDEX(Lists!$K$2:$K$13,MATCH(D465,Lists!$J$2:$J$13,0))</f>
        <v>يونيو</v>
      </c>
      <c r="F465" s="19" t="str">
        <f aca="false">"Q"&amp;ROUNDUP(D465/3,0)</f>
        <v>Q2</v>
      </c>
      <c r="G465" s="30" t="str">
        <f aca="false">INDEX(Lists!$N$2:$N$8,MATCH(WEEKDAY(B465,2),Lists!$M$2:$M$8,0))</f>
        <v>الجمعة</v>
      </c>
      <c r="H465" s="30" t="s">
        <v>54</v>
      </c>
      <c r="I465" s="19" t="str">
        <f aca="false">INDEX(Lists!$B$2:$B$6,MATCH(H465,Lists!$A$2:$A$6,0))</f>
        <v>المنطقة الشرقية</v>
      </c>
      <c r="J465" s="30" t="s">
        <v>105</v>
      </c>
      <c r="K465" s="30" t="s">
        <v>79</v>
      </c>
      <c r="L465" s="31" t="n">
        <v>1119</v>
      </c>
      <c r="M465" s="19" t="n">
        <v>1</v>
      </c>
      <c r="N465" s="32" t="n">
        <v>0</v>
      </c>
      <c r="O465" s="30" t="s">
        <v>48</v>
      </c>
      <c r="P465" s="30" t="s">
        <v>47</v>
      </c>
      <c r="Q465" s="30" t="s">
        <v>99</v>
      </c>
      <c r="R465" s="25" t="n">
        <f aca="false">L465*M465*(1-N465)</f>
        <v>1119</v>
      </c>
    </row>
    <row r="466" customFormat="false" ht="15" hidden="false" customHeight="false" outlineLevel="0" collapsed="false">
      <c r="A466" s="30" t="s">
        <v>637</v>
      </c>
      <c r="B466" s="44" t="n">
        <v>45464</v>
      </c>
      <c r="C466" s="19" t="n">
        <f aca="false">YEAR(B466)</f>
        <v>2024</v>
      </c>
      <c r="D466" s="19" t="n">
        <f aca="false">MONTH(B466)</f>
        <v>6</v>
      </c>
      <c r="E466" s="30" t="str">
        <f aca="false">INDEX(Lists!$K$2:$K$13,MATCH(D466,Lists!$J$2:$J$13,0))</f>
        <v>يونيو</v>
      </c>
      <c r="F466" s="19" t="str">
        <f aca="false">"Q"&amp;ROUNDUP(D466/3,0)</f>
        <v>Q2</v>
      </c>
      <c r="G466" s="30" t="str">
        <f aca="false">INDEX(Lists!$N$2:$N$8,MATCH(WEEKDAY(B466,2),Lists!$M$2:$M$8,0))</f>
        <v>الجمعة</v>
      </c>
      <c r="H466" s="30" t="s">
        <v>54</v>
      </c>
      <c r="I466" s="19" t="str">
        <f aca="false">INDEX(Lists!$B$2:$B$6,MATCH(H466,Lists!$A$2:$A$6,0))</f>
        <v>المنطقة الشرقية</v>
      </c>
      <c r="J466" s="30" t="s">
        <v>105</v>
      </c>
      <c r="K466" s="30" t="s">
        <v>85</v>
      </c>
      <c r="L466" s="31" t="n">
        <v>2049</v>
      </c>
      <c r="M466" s="19" t="n">
        <v>3</v>
      </c>
      <c r="N466" s="32" t="n">
        <v>0.1</v>
      </c>
      <c r="O466" s="30" t="s">
        <v>52</v>
      </c>
      <c r="P466" s="30" t="s">
        <v>47</v>
      </c>
      <c r="Q466" s="30" t="s">
        <v>84</v>
      </c>
      <c r="R466" s="25" t="n">
        <f aca="false">L466*M466*(1-N466)</f>
        <v>5532.3</v>
      </c>
    </row>
    <row r="467" customFormat="false" ht="15" hidden="false" customHeight="false" outlineLevel="0" collapsed="false">
      <c r="A467" s="30" t="s">
        <v>638</v>
      </c>
      <c r="B467" s="44" t="n">
        <v>45464</v>
      </c>
      <c r="C467" s="19" t="n">
        <f aca="false">YEAR(B467)</f>
        <v>2024</v>
      </c>
      <c r="D467" s="19" t="n">
        <f aca="false">MONTH(B467)</f>
        <v>6</v>
      </c>
      <c r="E467" s="30" t="str">
        <f aca="false">INDEX(Lists!$K$2:$K$13,MATCH(D467,Lists!$J$2:$J$13,0))</f>
        <v>يونيو</v>
      </c>
      <c r="F467" s="19" t="str">
        <f aca="false">"Q"&amp;ROUNDUP(D467/3,0)</f>
        <v>Q2</v>
      </c>
      <c r="G467" s="30" t="str">
        <f aca="false">INDEX(Lists!$N$2:$N$8,MATCH(WEEKDAY(B467,2),Lists!$M$2:$M$8,0))</f>
        <v>الجمعة</v>
      </c>
      <c r="H467" s="30" t="s">
        <v>50</v>
      </c>
      <c r="I467" s="19" t="str">
        <f aca="false">INDEX(Lists!$B$2:$B$6,MATCH(H467,Lists!$A$2:$A$6,0))</f>
        <v>المنطقة الغربية</v>
      </c>
      <c r="J467" s="30" t="s">
        <v>105</v>
      </c>
      <c r="K467" s="30" t="s">
        <v>79</v>
      </c>
      <c r="L467" s="31" t="n">
        <v>2439</v>
      </c>
      <c r="M467" s="19" t="n">
        <v>5</v>
      </c>
      <c r="N467" s="32" t="n">
        <v>0.05</v>
      </c>
      <c r="O467" s="30" t="s">
        <v>58</v>
      </c>
      <c r="P467" s="30" t="s">
        <v>51</v>
      </c>
      <c r="Q467" s="30" t="s">
        <v>86</v>
      </c>
      <c r="R467" s="25" t="n">
        <f aca="false">L467*M467*(1-N467)</f>
        <v>11585.25</v>
      </c>
    </row>
    <row r="468" customFormat="false" ht="15" hidden="false" customHeight="false" outlineLevel="0" collapsed="false">
      <c r="A468" s="30" t="s">
        <v>639</v>
      </c>
      <c r="B468" s="44" t="n">
        <v>45465</v>
      </c>
      <c r="C468" s="19" t="n">
        <f aca="false">YEAR(B468)</f>
        <v>2024</v>
      </c>
      <c r="D468" s="19" t="n">
        <f aca="false">MONTH(B468)</f>
        <v>6</v>
      </c>
      <c r="E468" s="30" t="str">
        <f aca="false">INDEX(Lists!$K$2:$K$13,MATCH(D468,Lists!$J$2:$J$13,0))</f>
        <v>يونيو</v>
      </c>
      <c r="F468" s="19" t="str">
        <f aca="false">"Q"&amp;ROUNDUP(D468/3,0)</f>
        <v>Q2</v>
      </c>
      <c r="G468" s="30" t="str">
        <f aca="false">INDEX(Lists!$N$2:$N$8,MATCH(WEEKDAY(B468,2),Lists!$M$2:$M$8,0))</f>
        <v>السبت</v>
      </c>
      <c r="H468" s="30" t="s">
        <v>50</v>
      </c>
      <c r="I468" s="19" t="str">
        <f aca="false">INDEX(Lists!$B$2:$B$6,MATCH(H468,Lists!$A$2:$A$6,0))</f>
        <v>المنطقة الغربية</v>
      </c>
      <c r="J468" s="30" t="s">
        <v>105</v>
      </c>
      <c r="K468" s="30" t="s">
        <v>82</v>
      </c>
      <c r="L468" s="31" t="n">
        <v>3299</v>
      </c>
      <c r="M468" s="19" t="n">
        <v>2</v>
      </c>
      <c r="N468" s="32" t="n">
        <v>0.1</v>
      </c>
      <c r="O468" s="30" t="s">
        <v>48</v>
      </c>
      <c r="P468" s="30" t="s">
        <v>47</v>
      </c>
      <c r="Q468" s="30" t="s">
        <v>81</v>
      </c>
      <c r="R468" s="25" t="n">
        <f aca="false">L468*M468*(1-N468)</f>
        <v>5938.2</v>
      </c>
    </row>
    <row r="469" customFormat="false" ht="15" hidden="false" customHeight="false" outlineLevel="0" collapsed="false">
      <c r="A469" s="30" t="s">
        <v>640</v>
      </c>
      <c r="B469" s="44" t="n">
        <v>45465</v>
      </c>
      <c r="C469" s="19" t="n">
        <f aca="false">YEAR(B469)</f>
        <v>2024</v>
      </c>
      <c r="D469" s="19" t="n">
        <f aca="false">MONTH(B469)</f>
        <v>6</v>
      </c>
      <c r="E469" s="30" t="str">
        <f aca="false">INDEX(Lists!$K$2:$K$13,MATCH(D469,Lists!$J$2:$J$13,0))</f>
        <v>يونيو</v>
      </c>
      <c r="F469" s="19" t="str">
        <f aca="false">"Q"&amp;ROUNDUP(D469/3,0)</f>
        <v>Q2</v>
      </c>
      <c r="G469" s="30" t="str">
        <f aca="false">INDEX(Lists!$N$2:$N$8,MATCH(WEEKDAY(B469,2),Lists!$M$2:$M$8,0))</f>
        <v>السبت</v>
      </c>
      <c r="H469" s="30" t="s">
        <v>46</v>
      </c>
      <c r="I469" s="19" t="str">
        <f aca="false">INDEX(Lists!$B$2:$B$6,MATCH(H469,Lists!$A$2:$A$6,0))</f>
        <v>المنطقة الوسطى</v>
      </c>
      <c r="J469" s="30" t="s">
        <v>113</v>
      </c>
      <c r="K469" s="30" t="s">
        <v>95</v>
      </c>
      <c r="L469" s="31" t="n">
        <v>529</v>
      </c>
      <c r="M469" s="19" t="n">
        <v>1</v>
      </c>
      <c r="N469" s="32" t="n">
        <v>0</v>
      </c>
      <c r="O469" s="30" t="s">
        <v>58</v>
      </c>
      <c r="P469" s="30" t="s">
        <v>47</v>
      </c>
      <c r="Q469" s="30" t="s">
        <v>94</v>
      </c>
      <c r="R469" s="25" t="n">
        <f aca="false">L469*M469*(1-N469)</f>
        <v>529</v>
      </c>
    </row>
    <row r="470" customFormat="false" ht="15" hidden="false" customHeight="false" outlineLevel="0" collapsed="false">
      <c r="A470" s="30" t="s">
        <v>641</v>
      </c>
      <c r="B470" s="44" t="n">
        <v>45465</v>
      </c>
      <c r="C470" s="19" t="n">
        <f aca="false">YEAR(B470)</f>
        <v>2024</v>
      </c>
      <c r="D470" s="19" t="n">
        <f aca="false">MONTH(B470)</f>
        <v>6</v>
      </c>
      <c r="E470" s="30" t="str">
        <f aca="false">INDEX(Lists!$K$2:$K$13,MATCH(D470,Lists!$J$2:$J$13,0))</f>
        <v>يونيو</v>
      </c>
      <c r="F470" s="19" t="str">
        <f aca="false">"Q"&amp;ROUNDUP(D470/3,0)</f>
        <v>Q2</v>
      </c>
      <c r="G470" s="30" t="str">
        <f aca="false">INDEX(Lists!$N$2:$N$8,MATCH(WEEKDAY(B470,2),Lists!$M$2:$M$8,0))</f>
        <v>السبت</v>
      </c>
      <c r="H470" s="30" t="s">
        <v>46</v>
      </c>
      <c r="I470" s="19" t="str">
        <f aca="false">INDEX(Lists!$B$2:$B$6,MATCH(H470,Lists!$A$2:$A$6,0))</f>
        <v>المنطقة الوسطى</v>
      </c>
      <c r="J470" s="30" t="s">
        <v>109</v>
      </c>
      <c r="K470" s="30" t="s">
        <v>93</v>
      </c>
      <c r="L470" s="31" t="n">
        <v>139</v>
      </c>
      <c r="M470" s="19" t="n">
        <v>1</v>
      </c>
      <c r="N470" s="32" t="n">
        <v>0.1</v>
      </c>
      <c r="O470" s="30" t="s">
        <v>48</v>
      </c>
      <c r="P470" s="30" t="s">
        <v>47</v>
      </c>
      <c r="Q470" s="30" t="s">
        <v>86</v>
      </c>
      <c r="R470" s="25" t="n">
        <f aca="false">L470*M470*(1-N470)</f>
        <v>125.1</v>
      </c>
    </row>
    <row r="471" customFormat="false" ht="15" hidden="false" customHeight="false" outlineLevel="0" collapsed="false">
      <c r="A471" s="30" t="s">
        <v>642</v>
      </c>
      <c r="B471" s="44" t="n">
        <v>45466</v>
      </c>
      <c r="C471" s="19" t="n">
        <f aca="false">YEAR(B471)</f>
        <v>2024</v>
      </c>
      <c r="D471" s="19" t="n">
        <f aca="false">MONTH(B471)</f>
        <v>6</v>
      </c>
      <c r="E471" s="30" t="str">
        <f aca="false">INDEX(Lists!$K$2:$K$13,MATCH(D471,Lists!$J$2:$J$13,0))</f>
        <v>يونيو</v>
      </c>
      <c r="F471" s="19" t="str">
        <f aca="false">"Q"&amp;ROUNDUP(D471/3,0)</f>
        <v>Q2</v>
      </c>
      <c r="G471" s="30" t="str">
        <f aca="false">INDEX(Lists!$N$2:$N$8,MATCH(WEEKDAY(B471,2),Lists!$M$2:$M$8,0))</f>
        <v>الأحد</v>
      </c>
      <c r="H471" s="30" t="s">
        <v>57</v>
      </c>
      <c r="I471" s="19" t="str">
        <f aca="false">INDEX(Lists!$B$2:$B$6,MATCH(H471,Lists!$A$2:$A$6,0))</f>
        <v>المنطقة الغربية</v>
      </c>
      <c r="J471" s="30" t="s">
        <v>111</v>
      </c>
      <c r="K471" s="30" t="s">
        <v>122</v>
      </c>
      <c r="L471" s="31" t="n">
        <v>309</v>
      </c>
      <c r="M471" s="19" t="n">
        <v>1</v>
      </c>
      <c r="N471" s="32" t="n">
        <v>0.1</v>
      </c>
      <c r="O471" s="30" t="s">
        <v>48</v>
      </c>
      <c r="P471" s="30" t="s">
        <v>47</v>
      </c>
      <c r="Q471" s="30" t="s">
        <v>86</v>
      </c>
      <c r="R471" s="25" t="n">
        <f aca="false">L471*M471*(1-N471)</f>
        <v>278.1</v>
      </c>
    </row>
    <row r="472" customFormat="false" ht="15" hidden="false" customHeight="false" outlineLevel="0" collapsed="false">
      <c r="A472" s="30" t="s">
        <v>643</v>
      </c>
      <c r="B472" s="44" t="n">
        <v>45466</v>
      </c>
      <c r="C472" s="19" t="n">
        <f aca="false">YEAR(B472)</f>
        <v>2024</v>
      </c>
      <c r="D472" s="19" t="n">
        <f aca="false">MONTH(B472)</f>
        <v>6</v>
      </c>
      <c r="E472" s="30" t="str">
        <f aca="false">INDEX(Lists!$K$2:$K$13,MATCH(D472,Lists!$J$2:$J$13,0))</f>
        <v>يونيو</v>
      </c>
      <c r="F472" s="19" t="str">
        <f aca="false">"Q"&amp;ROUNDUP(D472/3,0)</f>
        <v>Q2</v>
      </c>
      <c r="G472" s="30" t="str">
        <f aca="false">INDEX(Lists!$N$2:$N$8,MATCH(WEEKDAY(B472,2),Lists!$M$2:$M$8,0))</f>
        <v>الأحد</v>
      </c>
      <c r="H472" s="30" t="s">
        <v>46</v>
      </c>
      <c r="I472" s="19" t="str">
        <f aca="false">INDEX(Lists!$B$2:$B$6,MATCH(H472,Lists!$A$2:$A$6,0))</f>
        <v>المنطقة الوسطى</v>
      </c>
      <c r="J472" s="30" t="s">
        <v>109</v>
      </c>
      <c r="K472" s="30" t="s">
        <v>192</v>
      </c>
      <c r="L472" s="31" t="n">
        <v>169</v>
      </c>
      <c r="M472" s="19" t="n">
        <v>1</v>
      </c>
      <c r="N472" s="32" t="n">
        <v>0</v>
      </c>
      <c r="O472" s="30" t="s">
        <v>52</v>
      </c>
      <c r="P472" s="30" t="s">
        <v>47</v>
      </c>
      <c r="Q472" s="30" t="s">
        <v>96</v>
      </c>
      <c r="R472" s="25" t="n">
        <f aca="false">L472*M472*(1-N472)</f>
        <v>169</v>
      </c>
    </row>
    <row r="473" customFormat="false" ht="15" hidden="false" customHeight="false" outlineLevel="0" collapsed="false">
      <c r="A473" s="30" t="s">
        <v>644</v>
      </c>
      <c r="B473" s="44" t="n">
        <v>45466</v>
      </c>
      <c r="C473" s="19" t="n">
        <f aca="false">YEAR(B473)</f>
        <v>2024</v>
      </c>
      <c r="D473" s="19" t="n">
        <f aca="false">MONTH(B473)</f>
        <v>6</v>
      </c>
      <c r="E473" s="30" t="str">
        <f aca="false">INDEX(Lists!$K$2:$K$13,MATCH(D473,Lists!$J$2:$J$13,0))</f>
        <v>يونيو</v>
      </c>
      <c r="F473" s="19" t="str">
        <f aca="false">"Q"&amp;ROUNDUP(D473/3,0)</f>
        <v>Q2</v>
      </c>
      <c r="G473" s="30" t="str">
        <f aca="false">INDEX(Lists!$N$2:$N$8,MATCH(WEEKDAY(B473,2),Lists!$M$2:$M$8,0))</f>
        <v>الأحد</v>
      </c>
      <c r="H473" s="30" t="s">
        <v>57</v>
      </c>
      <c r="I473" s="19" t="str">
        <f aca="false">INDEX(Lists!$B$2:$B$6,MATCH(H473,Lists!$A$2:$A$6,0))</f>
        <v>المنطقة الغربية</v>
      </c>
      <c r="J473" s="30" t="s">
        <v>107</v>
      </c>
      <c r="K473" s="30" t="s">
        <v>115</v>
      </c>
      <c r="L473" s="31" t="n">
        <v>6319</v>
      </c>
      <c r="M473" s="19" t="n">
        <v>4</v>
      </c>
      <c r="N473" s="32" t="n">
        <v>0.1</v>
      </c>
      <c r="O473" s="30" t="s">
        <v>55</v>
      </c>
      <c r="P473" s="30" t="s">
        <v>51</v>
      </c>
      <c r="Q473" s="30" t="s">
        <v>76</v>
      </c>
      <c r="R473" s="25" t="n">
        <f aca="false">L473*M473*(1-N473)</f>
        <v>22748.4</v>
      </c>
    </row>
    <row r="474" customFormat="false" ht="15" hidden="false" customHeight="false" outlineLevel="0" collapsed="false">
      <c r="A474" s="30" t="s">
        <v>645</v>
      </c>
      <c r="B474" s="44" t="n">
        <v>45466</v>
      </c>
      <c r="C474" s="19" t="n">
        <f aca="false">YEAR(B474)</f>
        <v>2024</v>
      </c>
      <c r="D474" s="19" t="n">
        <f aca="false">MONTH(B474)</f>
        <v>6</v>
      </c>
      <c r="E474" s="30" t="str">
        <f aca="false">INDEX(Lists!$K$2:$K$13,MATCH(D474,Lists!$J$2:$J$13,0))</f>
        <v>يونيو</v>
      </c>
      <c r="F474" s="19" t="str">
        <f aca="false">"Q"&amp;ROUNDUP(D474/3,0)</f>
        <v>Q2</v>
      </c>
      <c r="G474" s="30" t="str">
        <f aca="false">INDEX(Lists!$N$2:$N$8,MATCH(WEEKDAY(B474,2),Lists!$M$2:$M$8,0))</f>
        <v>الأحد</v>
      </c>
      <c r="H474" s="30" t="s">
        <v>46</v>
      </c>
      <c r="I474" s="19" t="str">
        <f aca="false">INDEX(Lists!$B$2:$B$6,MATCH(H474,Lists!$A$2:$A$6,0))</f>
        <v>المنطقة الوسطى</v>
      </c>
      <c r="J474" s="30" t="s">
        <v>109</v>
      </c>
      <c r="K474" s="30" t="s">
        <v>192</v>
      </c>
      <c r="L474" s="31" t="n">
        <v>69</v>
      </c>
      <c r="M474" s="19" t="n">
        <v>1</v>
      </c>
      <c r="N474" s="32" t="n">
        <v>0</v>
      </c>
      <c r="O474" s="30" t="s">
        <v>55</v>
      </c>
      <c r="P474" s="30" t="s">
        <v>47</v>
      </c>
      <c r="Q474" s="30" t="s">
        <v>84</v>
      </c>
      <c r="R474" s="25" t="n">
        <f aca="false">L474*M474*(1-N474)</f>
        <v>69</v>
      </c>
    </row>
    <row r="475" customFormat="false" ht="15" hidden="false" customHeight="false" outlineLevel="0" collapsed="false">
      <c r="A475" s="30" t="s">
        <v>646</v>
      </c>
      <c r="B475" s="44" t="n">
        <v>45466</v>
      </c>
      <c r="C475" s="19" t="n">
        <f aca="false">YEAR(B475)</f>
        <v>2024</v>
      </c>
      <c r="D475" s="19" t="n">
        <f aca="false">MONTH(B475)</f>
        <v>6</v>
      </c>
      <c r="E475" s="30" t="str">
        <f aca="false">INDEX(Lists!$K$2:$K$13,MATCH(D475,Lists!$J$2:$J$13,0))</f>
        <v>يونيو</v>
      </c>
      <c r="F475" s="19" t="str">
        <f aca="false">"Q"&amp;ROUNDUP(D475/3,0)</f>
        <v>Q2</v>
      </c>
      <c r="G475" s="30" t="str">
        <f aca="false">INDEX(Lists!$N$2:$N$8,MATCH(WEEKDAY(B475,2),Lists!$M$2:$M$8,0))</f>
        <v>الأحد</v>
      </c>
      <c r="H475" s="30" t="s">
        <v>46</v>
      </c>
      <c r="I475" s="19" t="str">
        <f aca="false">INDEX(Lists!$B$2:$B$6,MATCH(H475,Lists!$A$2:$A$6,0))</f>
        <v>المنطقة الوسطى</v>
      </c>
      <c r="J475" s="30" t="s">
        <v>109</v>
      </c>
      <c r="K475" s="30" t="s">
        <v>192</v>
      </c>
      <c r="L475" s="31" t="n">
        <v>249</v>
      </c>
      <c r="M475" s="19" t="n">
        <v>2</v>
      </c>
      <c r="N475" s="32" t="n">
        <v>0</v>
      </c>
      <c r="O475" s="30" t="s">
        <v>48</v>
      </c>
      <c r="P475" s="30" t="s">
        <v>47</v>
      </c>
      <c r="Q475" s="30" t="s">
        <v>81</v>
      </c>
      <c r="R475" s="25" t="n">
        <f aca="false">L475*M475*(1-N475)</f>
        <v>498</v>
      </c>
    </row>
    <row r="476" customFormat="false" ht="15" hidden="false" customHeight="false" outlineLevel="0" collapsed="false">
      <c r="A476" s="30" t="s">
        <v>647</v>
      </c>
      <c r="B476" s="44" t="n">
        <v>45467</v>
      </c>
      <c r="C476" s="19" t="n">
        <f aca="false">YEAR(B476)</f>
        <v>2024</v>
      </c>
      <c r="D476" s="19" t="n">
        <f aca="false">MONTH(B476)</f>
        <v>6</v>
      </c>
      <c r="E476" s="30" t="str">
        <f aca="false">INDEX(Lists!$K$2:$K$13,MATCH(D476,Lists!$J$2:$J$13,0))</f>
        <v>يونيو</v>
      </c>
      <c r="F476" s="19" t="str">
        <f aca="false">"Q"&amp;ROUNDUP(D476/3,0)</f>
        <v>Q2</v>
      </c>
      <c r="G476" s="30" t="str">
        <f aca="false">INDEX(Lists!$N$2:$N$8,MATCH(WEEKDAY(B476,2),Lists!$M$2:$M$8,0))</f>
        <v>الإثنين</v>
      </c>
      <c r="H476" s="30" t="s">
        <v>57</v>
      </c>
      <c r="I476" s="19" t="str">
        <f aca="false">INDEX(Lists!$B$2:$B$6,MATCH(H476,Lists!$A$2:$A$6,0))</f>
        <v>المنطقة الغربية</v>
      </c>
      <c r="J476" s="30" t="s">
        <v>111</v>
      </c>
      <c r="K476" s="30" t="s">
        <v>122</v>
      </c>
      <c r="L476" s="31" t="n">
        <v>479</v>
      </c>
      <c r="M476" s="19" t="n">
        <v>1</v>
      </c>
      <c r="N476" s="32" t="n">
        <v>0.05</v>
      </c>
      <c r="O476" s="30" t="s">
        <v>58</v>
      </c>
      <c r="P476" s="30" t="s">
        <v>47</v>
      </c>
      <c r="Q476" s="30" t="s">
        <v>92</v>
      </c>
      <c r="R476" s="25" t="n">
        <f aca="false">L476*M476*(1-N476)</f>
        <v>455.05</v>
      </c>
    </row>
    <row r="477" customFormat="false" ht="15" hidden="false" customHeight="false" outlineLevel="0" collapsed="false">
      <c r="A477" s="30" t="s">
        <v>648</v>
      </c>
      <c r="B477" s="44" t="n">
        <v>45467</v>
      </c>
      <c r="C477" s="19" t="n">
        <f aca="false">YEAR(B477)</f>
        <v>2024</v>
      </c>
      <c r="D477" s="19" t="n">
        <f aca="false">MONTH(B477)</f>
        <v>6</v>
      </c>
      <c r="E477" s="30" t="str">
        <f aca="false">INDEX(Lists!$K$2:$K$13,MATCH(D477,Lists!$J$2:$J$13,0))</f>
        <v>يونيو</v>
      </c>
      <c r="F477" s="19" t="str">
        <f aca="false">"Q"&amp;ROUNDUP(D477/3,0)</f>
        <v>Q2</v>
      </c>
      <c r="G477" s="30" t="str">
        <f aca="false">INDEX(Lists!$N$2:$N$8,MATCH(WEEKDAY(B477,2),Lists!$M$2:$M$8,0))</f>
        <v>الإثنين</v>
      </c>
      <c r="H477" s="30" t="s">
        <v>57</v>
      </c>
      <c r="I477" s="19" t="str">
        <f aca="false">INDEX(Lists!$B$2:$B$6,MATCH(H477,Lists!$A$2:$A$6,0))</f>
        <v>المنطقة الغربية</v>
      </c>
      <c r="J477" s="30" t="s">
        <v>109</v>
      </c>
      <c r="K477" s="30" t="s">
        <v>93</v>
      </c>
      <c r="L477" s="31" t="n">
        <v>309</v>
      </c>
      <c r="M477" s="19" t="n">
        <v>1</v>
      </c>
      <c r="N477" s="32" t="n">
        <v>0.05</v>
      </c>
      <c r="O477" s="30" t="s">
        <v>52</v>
      </c>
      <c r="P477" s="30" t="s">
        <v>47</v>
      </c>
      <c r="Q477" s="30" t="s">
        <v>89</v>
      </c>
      <c r="R477" s="25" t="n">
        <f aca="false">L477*M477*(1-N477)</f>
        <v>293.55</v>
      </c>
    </row>
    <row r="478" customFormat="false" ht="15" hidden="false" customHeight="false" outlineLevel="0" collapsed="false">
      <c r="A478" s="30" t="s">
        <v>649</v>
      </c>
      <c r="B478" s="44" t="n">
        <v>45467</v>
      </c>
      <c r="C478" s="19" t="n">
        <f aca="false">YEAR(B478)</f>
        <v>2024</v>
      </c>
      <c r="D478" s="19" t="n">
        <f aca="false">MONTH(B478)</f>
        <v>6</v>
      </c>
      <c r="E478" s="30" t="str">
        <f aca="false">INDEX(Lists!$K$2:$K$13,MATCH(D478,Lists!$J$2:$J$13,0))</f>
        <v>يونيو</v>
      </c>
      <c r="F478" s="19" t="str">
        <f aca="false">"Q"&amp;ROUNDUP(D478/3,0)</f>
        <v>Q2</v>
      </c>
      <c r="G478" s="30" t="str">
        <f aca="false">INDEX(Lists!$N$2:$N$8,MATCH(WEEKDAY(B478,2),Lists!$M$2:$M$8,0))</f>
        <v>الإثنين</v>
      </c>
      <c r="H478" s="30" t="s">
        <v>54</v>
      </c>
      <c r="I478" s="19" t="str">
        <f aca="false">INDEX(Lists!$B$2:$B$6,MATCH(H478,Lists!$A$2:$A$6,0))</f>
        <v>المنطقة الشرقية</v>
      </c>
      <c r="J478" s="30" t="s">
        <v>105</v>
      </c>
      <c r="K478" s="30" t="s">
        <v>90</v>
      </c>
      <c r="L478" s="31" t="n">
        <v>2979</v>
      </c>
      <c r="M478" s="19" t="n">
        <v>1</v>
      </c>
      <c r="N478" s="32" t="n">
        <v>0</v>
      </c>
      <c r="O478" s="30" t="s">
        <v>55</v>
      </c>
      <c r="P478" s="30" t="s">
        <v>47</v>
      </c>
      <c r="Q478" s="30" t="s">
        <v>86</v>
      </c>
      <c r="R478" s="25" t="n">
        <f aca="false">L478*M478*(1-N478)</f>
        <v>2979</v>
      </c>
    </row>
    <row r="479" customFormat="false" ht="15" hidden="false" customHeight="false" outlineLevel="0" collapsed="false">
      <c r="A479" s="30" t="s">
        <v>650</v>
      </c>
      <c r="B479" s="44" t="n">
        <v>45468</v>
      </c>
      <c r="C479" s="19" t="n">
        <f aca="false">YEAR(B479)</f>
        <v>2024</v>
      </c>
      <c r="D479" s="19" t="n">
        <f aca="false">MONTH(B479)</f>
        <v>6</v>
      </c>
      <c r="E479" s="30" t="str">
        <f aca="false">INDEX(Lists!$K$2:$K$13,MATCH(D479,Lists!$J$2:$J$13,0))</f>
        <v>يونيو</v>
      </c>
      <c r="F479" s="19" t="str">
        <f aca="false">"Q"&amp;ROUNDUP(D479/3,0)</f>
        <v>Q2</v>
      </c>
      <c r="G479" s="30" t="str">
        <f aca="false">INDEX(Lists!$N$2:$N$8,MATCH(WEEKDAY(B479,2),Lists!$M$2:$M$8,0))</f>
        <v>الثلاثاء</v>
      </c>
      <c r="H479" s="30" t="s">
        <v>50</v>
      </c>
      <c r="I479" s="19" t="str">
        <f aca="false">INDEX(Lists!$B$2:$B$6,MATCH(H479,Lists!$A$2:$A$6,0))</f>
        <v>المنطقة الغربية</v>
      </c>
      <c r="J479" s="30" t="s">
        <v>107</v>
      </c>
      <c r="K479" s="30" t="s">
        <v>114</v>
      </c>
      <c r="L479" s="31" t="n">
        <v>3519</v>
      </c>
      <c r="M479" s="19" t="n">
        <v>1</v>
      </c>
      <c r="N479" s="32" t="n">
        <v>0</v>
      </c>
      <c r="O479" s="30" t="s">
        <v>55</v>
      </c>
      <c r="P479" s="30" t="s">
        <v>47</v>
      </c>
      <c r="Q479" s="30" t="s">
        <v>99</v>
      </c>
      <c r="R479" s="25" t="n">
        <f aca="false">L479*M479*(1-N479)</f>
        <v>3519</v>
      </c>
    </row>
    <row r="480" customFormat="false" ht="15" hidden="false" customHeight="false" outlineLevel="0" collapsed="false">
      <c r="A480" s="30" t="s">
        <v>651</v>
      </c>
      <c r="B480" s="44" t="n">
        <v>45468</v>
      </c>
      <c r="C480" s="19" t="n">
        <f aca="false">YEAR(B480)</f>
        <v>2024</v>
      </c>
      <c r="D480" s="19" t="n">
        <f aca="false">MONTH(B480)</f>
        <v>6</v>
      </c>
      <c r="E480" s="30" t="str">
        <f aca="false">INDEX(Lists!$K$2:$K$13,MATCH(D480,Lists!$J$2:$J$13,0))</f>
        <v>يونيو</v>
      </c>
      <c r="F480" s="19" t="str">
        <f aca="false">"Q"&amp;ROUNDUP(D480/3,0)</f>
        <v>Q2</v>
      </c>
      <c r="G480" s="30" t="str">
        <f aca="false">INDEX(Lists!$N$2:$N$8,MATCH(WEEKDAY(B480,2),Lists!$M$2:$M$8,0))</f>
        <v>الثلاثاء</v>
      </c>
      <c r="H480" s="30" t="s">
        <v>60</v>
      </c>
      <c r="I480" s="19" t="str">
        <f aca="false">INDEX(Lists!$B$2:$B$6,MATCH(H480,Lists!$A$2:$A$6,0))</f>
        <v>المنطقة الغربية</v>
      </c>
      <c r="J480" s="30" t="s">
        <v>107</v>
      </c>
      <c r="K480" s="30" t="s">
        <v>114</v>
      </c>
      <c r="L480" s="31" t="n">
        <v>4729</v>
      </c>
      <c r="M480" s="19" t="n">
        <v>3</v>
      </c>
      <c r="N480" s="32" t="n">
        <v>0.05</v>
      </c>
      <c r="O480" s="30" t="s">
        <v>55</v>
      </c>
      <c r="P480" s="30" t="s">
        <v>51</v>
      </c>
      <c r="Q480" s="30" t="s">
        <v>81</v>
      </c>
      <c r="R480" s="25" t="n">
        <f aca="false">L480*M480*(1-N480)</f>
        <v>13477.65</v>
      </c>
    </row>
    <row r="481" customFormat="false" ht="15" hidden="false" customHeight="false" outlineLevel="0" collapsed="false">
      <c r="A481" s="30" t="s">
        <v>652</v>
      </c>
      <c r="B481" s="44" t="n">
        <v>45469</v>
      </c>
      <c r="C481" s="19" t="n">
        <f aca="false">YEAR(B481)</f>
        <v>2024</v>
      </c>
      <c r="D481" s="19" t="n">
        <f aca="false">MONTH(B481)</f>
        <v>6</v>
      </c>
      <c r="E481" s="30" t="str">
        <f aca="false">INDEX(Lists!$K$2:$K$13,MATCH(D481,Lists!$J$2:$J$13,0))</f>
        <v>يونيو</v>
      </c>
      <c r="F481" s="19" t="str">
        <f aca="false">"Q"&amp;ROUNDUP(D481/3,0)</f>
        <v>Q2</v>
      </c>
      <c r="G481" s="30" t="str">
        <f aca="false">INDEX(Lists!$N$2:$N$8,MATCH(WEEKDAY(B481,2),Lists!$M$2:$M$8,0))</f>
        <v>الأربعاء</v>
      </c>
      <c r="H481" s="30" t="s">
        <v>50</v>
      </c>
      <c r="I481" s="19" t="str">
        <f aca="false">INDEX(Lists!$B$2:$B$6,MATCH(H481,Lists!$A$2:$A$6,0))</f>
        <v>المنطقة الغربية</v>
      </c>
      <c r="J481" s="30" t="s">
        <v>113</v>
      </c>
      <c r="K481" s="30" t="s">
        <v>95</v>
      </c>
      <c r="L481" s="31" t="n">
        <v>649</v>
      </c>
      <c r="M481" s="19" t="n">
        <v>1</v>
      </c>
      <c r="N481" s="32" t="n">
        <v>0.15</v>
      </c>
      <c r="O481" s="30" t="s">
        <v>52</v>
      </c>
      <c r="P481" s="30" t="s">
        <v>47</v>
      </c>
      <c r="Q481" s="30" t="s">
        <v>84</v>
      </c>
      <c r="R481" s="25" t="n">
        <f aca="false">L481*M481*(1-N481)</f>
        <v>551.65</v>
      </c>
    </row>
    <row r="482" customFormat="false" ht="15" hidden="false" customHeight="false" outlineLevel="0" collapsed="false">
      <c r="A482" s="30" t="s">
        <v>653</v>
      </c>
      <c r="B482" s="44" t="n">
        <v>45469</v>
      </c>
      <c r="C482" s="19" t="n">
        <f aca="false">YEAR(B482)</f>
        <v>2024</v>
      </c>
      <c r="D482" s="19" t="n">
        <f aca="false">MONTH(B482)</f>
        <v>6</v>
      </c>
      <c r="E482" s="30" t="str">
        <f aca="false">INDEX(Lists!$K$2:$K$13,MATCH(D482,Lists!$J$2:$J$13,0))</f>
        <v>يونيو</v>
      </c>
      <c r="F482" s="19" t="str">
        <f aca="false">"Q"&amp;ROUNDUP(D482/3,0)</f>
        <v>Q2</v>
      </c>
      <c r="G482" s="30" t="str">
        <f aca="false">INDEX(Lists!$N$2:$N$8,MATCH(WEEKDAY(B482,2),Lists!$M$2:$M$8,0))</f>
        <v>الأربعاء</v>
      </c>
      <c r="H482" s="30" t="s">
        <v>50</v>
      </c>
      <c r="I482" s="19" t="str">
        <f aca="false">INDEX(Lists!$B$2:$B$6,MATCH(H482,Lists!$A$2:$A$6,0))</f>
        <v>المنطقة الغربية</v>
      </c>
      <c r="J482" s="30" t="s">
        <v>105</v>
      </c>
      <c r="K482" s="30" t="s">
        <v>90</v>
      </c>
      <c r="L482" s="31" t="n">
        <v>1969</v>
      </c>
      <c r="M482" s="19" t="n">
        <v>1</v>
      </c>
      <c r="N482" s="32" t="n">
        <v>0.2</v>
      </c>
      <c r="O482" s="30" t="s">
        <v>58</v>
      </c>
      <c r="P482" s="30" t="s">
        <v>47</v>
      </c>
      <c r="Q482" s="30" t="s">
        <v>94</v>
      </c>
      <c r="R482" s="25" t="n">
        <f aca="false">L482*M482*(1-N482)</f>
        <v>1575.2</v>
      </c>
    </row>
    <row r="483" customFormat="false" ht="15" hidden="false" customHeight="false" outlineLevel="0" collapsed="false">
      <c r="A483" s="30" t="s">
        <v>654</v>
      </c>
      <c r="B483" s="44" t="n">
        <v>45470</v>
      </c>
      <c r="C483" s="19" t="n">
        <f aca="false">YEAR(B483)</f>
        <v>2024</v>
      </c>
      <c r="D483" s="19" t="n">
        <f aca="false">MONTH(B483)</f>
        <v>6</v>
      </c>
      <c r="E483" s="30" t="str">
        <f aca="false">INDEX(Lists!$K$2:$K$13,MATCH(D483,Lists!$J$2:$J$13,0))</f>
        <v>يونيو</v>
      </c>
      <c r="F483" s="19" t="str">
        <f aca="false">"Q"&amp;ROUNDUP(D483/3,0)</f>
        <v>Q2</v>
      </c>
      <c r="G483" s="30" t="str">
        <f aca="false">INDEX(Lists!$N$2:$N$8,MATCH(WEEKDAY(B483,2),Lists!$M$2:$M$8,0))</f>
        <v>الخميس</v>
      </c>
      <c r="H483" s="30" t="s">
        <v>54</v>
      </c>
      <c r="I483" s="19" t="str">
        <f aca="false">INDEX(Lists!$B$2:$B$6,MATCH(H483,Lists!$A$2:$A$6,0))</f>
        <v>المنطقة الشرقية</v>
      </c>
      <c r="J483" s="30" t="s">
        <v>113</v>
      </c>
      <c r="K483" s="30" t="s">
        <v>97</v>
      </c>
      <c r="L483" s="31" t="n">
        <v>509</v>
      </c>
      <c r="M483" s="19" t="n">
        <v>1</v>
      </c>
      <c r="N483" s="32" t="n">
        <v>0</v>
      </c>
      <c r="O483" s="30" t="s">
        <v>52</v>
      </c>
      <c r="P483" s="30" t="s">
        <v>51</v>
      </c>
      <c r="Q483" s="30" t="s">
        <v>96</v>
      </c>
      <c r="R483" s="25" t="n">
        <f aca="false">L483*M483*(1-N483)</f>
        <v>509</v>
      </c>
    </row>
    <row r="484" customFormat="false" ht="15" hidden="false" customHeight="false" outlineLevel="0" collapsed="false">
      <c r="A484" s="30" t="s">
        <v>655</v>
      </c>
      <c r="B484" s="44" t="n">
        <v>45471</v>
      </c>
      <c r="C484" s="19" t="n">
        <f aca="false">YEAR(B484)</f>
        <v>2024</v>
      </c>
      <c r="D484" s="19" t="n">
        <f aca="false">MONTH(B484)</f>
        <v>6</v>
      </c>
      <c r="E484" s="30" t="str">
        <f aca="false">INDEX(Lists!$K$2:$K$13,MATCH(D484,Lists!$J$2:$J$13,0))</f>
        <v>يونيو</v>
      </c>
      <c r="F484" s="19" t="str">
        <f aca="false">"Q"&amp;ROUNDUP(D484/3,0)</f>
        <v>Q2</v>
      </c>
      <c r="G484" s="30" t="str">
        <f aca="false">INDEX(Lists!$N$2:$N$8,MATCH(WEEKDAY(B484,2),Lists!$M$2:$M$8,0))</f>
        <v>الجمعة</v>
      </c>
      <c r="H484" s="30" t="s">
        <v>50</v>
      </c>
      <c r="I484" s="19" t="str">
        <f aca="false">INDEX(Lists!$B$2:$B$6,MATCH(H484,Lists!$A$2:$A$6,0))</f>
        <v>المنطقة الغربية</v>
      </c>
      <c r="J484" s="30" t="s">
        <v>105</v>
      </c>
      <c r="K484" s="30" t="s">
        <v>79</v>
      </c>
      <c r="L484" s="31" t="n">
        <v>2429</v>
      </c>
      <c r="M484" s="19" t="n">
        <v>1</v>
      </c>
      <c r="N484" s="32" t="n">
        <v>0.05</v>
      </c>
      <c r="O484" s="30" t="s">
        <v>52</v>
      </c>
      <c r="P484" s="30" t="s">
        <v>47</v>
      </c>
      <c r="Q484" s="30" t="s">
        <v>81</v>
      </c>
      <c r="R484" s="25" t="n">
        <f aca="false">L484*M484*(1-N484)</f>
        <v>2307.55</v>
      </c>
    </row>
    <row r="485" customFormat="false" ht="15" hidden="false" customHeight="false" outlineLevel="0" collapsed="false">
      <c r="A485" s="30" t="s">
        <v>656</v>
      </c>
      <c r="B485" s="44" t="n">
        <v>45471</v>
      </c>
      <c r="C485" s="19" t="n">
        <f aca="false">YEAR(B485)</f>
        <v>2024</v>
      </c>
      <c r="D485" s="19" t="n">
        <f aca="false">MONTH(B485)</f>
        <v>6</v>
      </c>
      <c r="E485" s="30" t="str">
        <f aca="false">INDEX(Lists!$K$2:$K$13,MATCH(D485,Lists!$J$2:$J$13,0))</f>
        <v>يونيو</v>
      </c>
      <c r="F485" s="19" t="str">
        <f aca="false">"Q"&amp;ROUNDUP(D485/3,0)</f>
        <v>Q2</v>
      </c>
      <c r="G485" s="30" t="str">
        <f aca="false">INDEX(Lists!$N$2:$N$8,MATCH(WEEKDAY(B485,2),Lists!$M$2:$M$8,0))</f>
        <v>الجمعة</v>
      </c>
      <c r="H485" s="30" t="s">
        <v>46</v>
      </c>
      <c r="I485" s="19" t="str">
        <f aca="false">INDEX(Lists!$B$2:$B$6,MATCH(H485,Lists!$A$2:$A$6,0))</f>
        <v>المنطقة الوسطى</v>
      </c>
      <c r="J485" s="30" t="s">
        <v>109</v>
      </c>
      <c r="K485" s="30" t="s">
        <v>175</v>
      </c>
      <c r="L485" s="31" t="n">
        <v>309</v>
      </c>
      <c r="M485" s="19" t="n">
        <v>2</v>
      </c>
      <c r="N485" s="32" t="n">
        <v>0.05</v>
      </c>
      <c r="O485" s="30" t="s">
        <v>52</v>
      </c>
      <c r="P485" s="30" t="s">
        <v>47</v>
      </c>
      <c r="Q485" s="30" t="s">
        <v>76</v>
      </c>
      <c r="R485" s="25" t="n">
        <f aca="false">L485*M485*(1-N485)</f>
        <v>587.1</v>
      </c>
    </row>
    <row r="486" customFormat="false" ht="15" hidden="false" customHeight="false" outlineLevel="0" collapsed="false">
      <c r="A486" s="30" t="s">
        <v>657</v>
      </c>
      <c r="B486" s="44" t="n">
        <v>45472</v>
      </c>
      <c r="C486" s="19" t="n">
        <f aca="false">YEAR(B486)</f>
        <v>2024</v>
      </c>
      <c r="D486" s="19" t="n">
        <f aca="false">MONTH(B486)</f>
        <v>6</v>
      </c>
      <c r="E486" s="30" t="str">
        <f aca="false">INDEX(Lists!$K$2:$K$13,MATCH(D486,Lists!$J$2:$J$13,0))</f>
        <v>يونيو</v>
      </c>
      <c r="F486" s="19" t="str">
        <f aca="false">"Q"&amp;ROUNDUP(D486/3,0)</f>
        <v>Q2</v>
      </c>
      <c r="G486" s="30" t="str">
        <f aca="false">INDEX(Lists!$N$2:$N$8,MATCH(WEEKDAY(B486,2),Lists!$M$2:$M$8,0))</f>
        <v>السبت</v>
      </c>
      <c r="H486" s="30" t="s">
        <v>46</v>
      </c>
      <c r="I486" s="19" t="str">
        <f aca="false">INDEX(Lists!$B$2:$B$6,MATCH(H486,Lists!$A$2:$A$6,0))</f>
        <v>المنطقة الوسطى</v>
      </c>
      <c r="J486" s="30" t="s">
        <v>113</v>
      </c>
      <c r="K486" s="30" t="s">
        <v>100</v>
      </c>
      <c r="L486" s="31" t="n">
        <v>249</v>
      </c>
      <c r="M486" s="19" t="n">
        <v>3</v>
      </c>
      <c r="N486" s="32" t="n">
        <v>0.2</v>
      </c>
      <c r="O486" s="30" t="s">
        <v>52</v>
      </c>
      <c r="P486" s="30" t="s">
        <v>51</v>
      </c>
      <c r="Q486" s="30" t="s">
        <v>81</v>
      </c>
      <c r="R486" s="25" t="n">
        <f aca="false">L486*M486*(1-N486)</f>
        <v>597.6</v>
      </c>
    </row>
    <row r="487" customFormat="false" ht="15" hidden="false" customHeight="false" outlineLevel="0" collapsed="false">
      <c r="A487" s="30" t="s">
        <v>658</v>
      </c>
      <c r="B487" s="44" t="n">
        <v>45472</v>
      </c>
      <c r="C487" s="19" t="n">
        <f aca="false">YEAR(B487)</f>
        <v>2024</v>
      </c>
      <c r="D487" s="19" t="n">
        <f aca="false">MONTH(B487)</f>
        <v>6</v>
      </c>
      <c r="E487" s="30" t="str">
        <f aca="false">INDEX(Lists!$K$2:$K$13,MATCH(D487,Lists!$J$2:$J$13,0))</f>
        <v>يونيو</v>
      </c>
      <c r="F487" s="19" t="str">
        <f aca="false">"Q"&amp;ROUNDUP(D487/3,0)</f>
        <v>Q2</v>
      </c>
      <c r="G487" s="30" t="str">
        <f aca="false">INDEX(Lists!$N$2:$N$8,MATCH(WEEKDAY(B487,2),Lists!$M$2:$M$8,0))</f>
        <v>السبت</v>
      </c>
      <c r="H487" s="30" t="s">
        <v>54</v>
      </c>
      <c r="I487" s="19" t="str">
        <f aca="false">INDEX(Lists!$B$2:$B$6,MATCH(H487,Lists!$A$2:$A$6,0))</f>
        <v>المنطقة الشرقية</v>
      </c>
      <c r="J487" s="30" t="s">
        <v>105</v>
      </c>
      <c r="K487" s="30" t="s">
        <v>90</v>
      </c>
      <c r="L487" s="31" t="n">
        <v>1499</v>
      </c>
      <c r="M487" s="19" t="n">
        <v>2</v>
      </c>
      <c r="N487" s="32" t="n">
        <v>0</v>
      </c>
      <c r="O487" s="30" t="s">
        <v>55</v>
      </c>
      <c r="P487" s="30" t="s">
        <v>47</v>
      </c>
      <c r="Q487" s="30" t="s">
        <v>89</v>
      </c>
      <c r="R487" s="25" t="n">
        <f aca="false">L487*M487*(1-N487)</f>
        <v>2998</v>
      </c>
    </row>
    <row r="488" customFormat="false" ht="15" hidden="false" customHeight="false" outlineLevel="0" collapsed="false">
      <c r="A488" s="30" t="s">
        <v>659</v>
      </c>
      <c r="B488" s="44" t="n">
        <v>45472</v>
      </c>
      <c r="C488" s="19" t="n">
        <f aca="false">YEAR(B488)</f>
        <v>2024</v>
      </c>
      <c r="D488" s="19" t="n">
        <f aca="false">MONTH(B488)</f>
        <v>6</v>
      </c>
      <c r="E488" s="30" t="str">
        <f aca="false">INDEX(Lists!$K$2:$K$13,MATCH(D488,Lists!$J$2:$J$13,0))</f>
        <v>يونيو</v>
      </c>
      <c r="F488" s="19" t="str">
        <f aca="false">"Q"&amp;ROUNDUP(D488/3,0)</f>
        <v>Q2</v>
      </c>
      <c r="G488" s="30" t="str">
        <f aca="false">INDEX(Lists!$N$2:$N$8,MATCH(WEEKDAY(B488,2),Lists!$M$2:$M$8,0))</f>
        <v>السبت</v>
      </c>
      <c r="H488" s="30" t="s">
        <v>46</v>
      </c>
      <c r="I488" s="19" t="str">
        <f aca="false">INDEX(Lists!$B$2:$B$6,MATCH(H488,Lists!$A$2:$A$6,0))</f>
        <v>المنطقة الوسطى</v>
      </c>
      <c r="J488" s="30" t="s">
        <v>107</v>
      </c>
      <c r="K488" s="30" t="s">
        <v>272</v>
      </c>
      <c r="L488" s="31" t="n">
        <v>4009</v>
      </c>
      <c r="M488" s="19" t="n">
        <v>1</v>
      </c>
      <c r="N488" s="32" t="n">
        <v>0.15</v>
      </c>
      <c r="O488" s="30" t="s">
        <v>48</v>
      </c>
      <c r="P488" s="30" t="s">
        <v>47</v>
      </c>
      <c r="Q488" s="30" t="s">
        <v>89</v>
      </c>
      <c r="R488" s="25" t="n">
        <f aca="false">L488*M488*(1-N488)</f>
        <v>3407.65</v>
      </c>
    </row>
    <row r="489" customFormat="false" ht="15" hidden="false" customHeight="false" outlineLevel="0" collapsed="false">
      <c r="A489" s="30" t="s">
        <v>660</v>
      </c>
      <c r="B489" s="44" t="n">
        <v>45472</v>
      </c>
      <c r="C489" s="19" t="n">
        <f aca="false">YEAR(B489)</f>
        <v>2024</v>
      </c>
      <c r="D489" s="19" t="n">
        <f aca="false">MONTH(B489)</f>
        <v>6</v>
      </c>
      <c r="E489" s="30" t="str">
        <f aca="false">INDEX(Lists!$K$2:$K$13,MATCH(D489,Lists!$J$2:$J$13,0))</f>
        <v>يونيو</v>
      </c>
      <c r="F489" s="19" t="str">
        <f aca="false">"Q"&amp;ROUNDUP(D489/3,0)</f>
        <v>Q2</v>
      </c>
      <c r="G489" s="30" t="str">
        <f aca="false">INDEX(Lists!$N$2:$N$8,MATCH(WEEKDAY(B489,2),Lists!$M$2:$M$8,0))</f>
        <v>السبت</v>
      </c>
      <c r="H489" s="30" t="s">
        <v>46</v>
      </c>
      <c r="I489" s="19" t="str">
        <f aca="false">INDEX(Lists!$B$2:$B$6,MATCH(H489,Lists!$A$2:$A$6,0))</f>
        <v>المنطقة الوسطى</v>
      </c>
      <c r="J489" s="30" t="s">
        <v>113</v>
      </c>
      <c r="K489" s="30" t="s">
        <v>121</v>
      </c>
      <c r="L489" s="31" t="n">
        <v>499</v>
      </c>
      <c r="M489" s="19" t="n">
        <v>1</v>
      </c>
      <c r="N489" s="32" t="n">
        <v>0.05</v>
      </c>
      <c r="O489" s="30" t="s">
        <v>48</v>
      </c>
      <c r="P489" s="30" t="s">
        <v>47</v>
      </c>
      <c r="Q489" s="30" t="s">
        <v>94</v>
      </c>
      <c r="R489" s="25" t="n">
        <f aca="false">L489*M489*(1-N489)</f>
        <v>474.05</v>
      </c>
    </row>
    <row r="490" customFormat="false" ht="15" hidden="false" customHeight="false" outlineLevel="0" collapsed="false">
      <c r="A490" s="30" t="s">
        <v>661</v>
      </c>
      <c r="B490" s="44" t="n">
        <v>45472</v>
      </c>
      <c r="C490" s="19" t="n">
        <f aca="false">YEAR(B490)</f>
        <v>2024</v>
      </c>
      <c r="D490" s="19" t="n">
        <f aca="false">MONTH(B490)</f>
        <v>6</v>
      </c>
      <c r="E490" s="30" t="str">
        <f aca="false">INDEX(Lists!$K$2:$K$13,MATCH(D490,Lists!$J$2:$J$13,0))</f>
        <v>يونيو</v>
      </c>
      <c r="F490" s="19" t="str">
        <f aca="false">"Q"&amp;ROUNDUP(D490/3,0)</f>
        <v>Q2</v>
      </c>
      <c r="G490" s="30" t="str">
        <f aca="false">INDEX(Lists!$N$2:$N$8,MATCH(WEEKDAY(B490,2),Lists!$M$2:$M$8,0))</f>
        <v>السبت</v>
      </c>
      <c r="H490" s="30" t="s">
        <v>54</v>
      </c>
      <c r="I490" s="19" t="str">
        <f aca="false">INDEX(Lists!$B$2:$B$6,MATCH(H490,Lists!$A$2:$A$6,0))</f>
        <v>المنطقة الشرقية</v>
      </c>
      <c r="J490" s="30" t="s">
        <v>109</v>
      </c>
      <c r="K490" s="30" t="s">
        <v>192</v>
      </c>
      <c r="L490" s="31" t="n">
        <v>49</v>
      </c>
      <c r="M490" s="19" t="n">
        <v>1</v>
      </c>
      <c r="N490" s="32" t="n">
        <v>0.1</v>
      </c>
      <c r="O490" s="30" t="s">
        <v>55</v>
      </c>
      <c r="P490" s="30" t="s">
        <v>47</v>
      </c>
      <c r="Q490" s="30" t="s">
        <v>92</v>
      </c>
      <c r="R490" s="25" t="n">
        <f aca="false">L490*M490*(1-N490)</f>
        <v>44.1</v>
      </c>
    </row>
    <row r="491" customFormat="false" ht="15" hidden="false" customHeight="false" outlineLevel="0" collapsed="false">
      <c r="A491" s="30" t="s">
        <v>662</v>
      </c>
      <c r="B491" s="44" t="n">
        <v>45473</v>
      </c>
      <c r="C491" s="19" t="n">
        <f aca="false">YEAR(B491)</f>
        <v>2024</v>
      </c>
      <c r="D491" s="19" t="n">
        <f aca="false">MONTH(B491)</f>
        <v>6</v>
      </c>
      <c r="E491" s="30" t="str">
        <f aca="false">INDEX(Lists!$K$2:$K$13,MATCH(D491,Lists!$J$2:$J$13,0))</f>
        <v>يونيو</v>
      </c>
      <c r="F491" s="19" t="str">
        <f aca="false">"Q"&amp;ROUNDUP(D491/3,0)</f>
        <v>Q2</v>
      </c>
      <c r="G491" s="30" t="str">
        <f aca="false">INDEX(Lists!$N$2:$N$8,MATCH(WEEKDAY(B491,2),Lists!$M$2:$M$8,0))</f>
        <v>الأحد</v>
      </c>
      <c r="H491" s="30" t="s">
        <v>50</v>
      </c>
      <c r="I491" s="19" t="str">
        <f aca="false">INDEX(Lists!$B$2:$B$6,MATCH(H491,Lists!$A$2:$A$6,0))</f>
        <v>المنطقة الغربية</v>
      </c>
      <c r="J491" s="30" t="s">
        <v>107</v>
      </c>
      <c r="K491" s="30" t="s">
        <v>115</v>
      </c>
      <c r="L491" s="31" t="n">
        <v>2459</v>
      </c>
      <c r="M491" s="19" t="n">
        <v>3</v>
      </c>
      <c r="N491" s="32" t="n">
        <v>0</v>
      </c>
      <c r="O491" s="30" t="s">
        <v>52</v>
      </c>
      <c r="P491" s="30" t="s">
        <v>47</v>
      </c>
      <c r="Q491" s="30" t="s">
        <v>99</v>
      </c>
      <c r="R491" s="25" t="n">
        <f aca="false">L491*M491*(1-N491)</f>
        <v>7377</v>
      </c>
    </row>
    <row r="492" customFormat="false" ht="15" hidden="false" customHeight="false" outlineLevel="0" collapsed="false">
      <c r="A492" s="30" t="s">
        <v>663</v>
      </c>
      <c r="B492" s="44" t="n">
        <v>45473</v>
      </c>
      <c r="C492" s="19" t="n">
        <f aca="false">YEAR(B492)</f>
        <v>2024</v>
      </c>
      <c r="D492" s="19" t="n">
        <f aca="false">MONTH(B492)</f>
        <v>6</v>
      </c>
      <c r="E492" s="30" t="str">
        <f aca="false">INDEX(Lists!$K$2:$K$13,MATCH(D492,Lists!$J$2:$J$13,0))</f>
        <v>يونيو</v>
      </c>
      <c r="F492" s="19" t="str">
        <f aca="false">"Q"&amp;ROUNDUP(D492/3,0)</f>
        <v>Q2</v>
      </c>
      <c r="G492" s="30" t="str">
        <f aca="false">INDEX(Lists!$N$2:$N$8,MATCH(WEEKDAY(B492,2),Lists!$M$2:$M$8,0))</f>
        <v>الأحد</v>
      </c>
      <c r="H492" s="30" t="s">
        <v>50</v>
      </c>
      <c r="I492" s="19" t="str">
        <f aca="false">INDEX(Lists!$B$2:$B$6,MATCH(H492,Lists!$A$2:$A$6,0))</f>
        <v>المنطقة الغربية</v>
      </c>
      <c r="J492" s="30" t="s">
        <v>109</v>
      </c>
      <c r="K492" s="30" t="s">
        <v>192</v>
      </c>
      <c r="L492" s="31" t="n">
        <v>109</v>
      </c>
      <c r="M492" s="19" t="n">
        <v>2</v>
      </c>
      <c r="N492" s="32" t="n">
        <v>0</v>
      </c>
      <c r="O492" s="30" t="s">
        <v>58</v>
      </c>
      <c r="P492" s="30" t="s">
        <v>47</v>
      </c>
      <c r="Q492" s="30" t="s">
        <v>81</v>
      </c>
      <c r="R492" s="25" t="n">
        <f aca="false">L492*M492*(1-N492)</f>
        <v>218</v>
      </c>
    </row>
    <row r="493" customFormat="false" ht="15" hidden="false" customHeight="false" outlineLevel="0" collapsed="false">
      <c r="A493" s="30" t="s">
        <v>664</v>
      </c>
      <c r="B493" s="44" t="n">
        <v>45473</v>
      </c>
      <c r="C493" s="19" t="n">
        <f aca="false">YEAR(B493)</f>
        <v>2024</v>
      </c>
      <c r="D493" s="19" t="n">
        <f aca="false">MONTH(B493)</f>
        <v>6</v>
      </c>
      <c r="E493" s="30" t="str">
        <f aca="false">INDEX(Lists!$K$2:$K$13,MATCH(D493,Lists!$J$2:$J$13,0))</f>
        <v>يونيو</v>
      </c>
      <c r="F493" s="19" t="str">
        <f aca="false">"Q"&amp;ROUNDUP(D493/3,0)</f>
        <v>Q2</v>
      </c>
      <c r="G493" s="30" t="str">
        <f aca="false">INDEX(Lists!$N$2:$N$8,MATCH(WEEKDAY(B493,2),Lists!$M$2:$M$8,0))</f>
        <v>الأحد</v>
      </c>
      <c r="H493" s="30" t="s">
        <v>50</v>
      </c>
      <c r="I493" s="19" t="str">
        <f aca="false">INDEX(Lists!$B$2:$B$6,MATCH(H493,Lists!$A$2:$A$6,0))</f>
        <v>المنطقة الغربية</v>
      </c>
      <c r="J493" s="30" t="s">
        <v>107</v>
      </c>
      <c r="K493" s="30" t="s">
        <v>272</v>
      </c>
      <c r="L493" s="31" t="n">
        <v>6469</v>
      </c>
      <c r="M493" s="19" t="n">
        <v>2</v>
      </c>
      <c r="N493" s="32" t="n">
        <v>0.15</v>
      </c>
      <c r="O493" s="30" t="s">
        <v>58</v>
      </c>
      <c r="P493" s="30" t="s">
        <v>47</v>
      </c>
      <c r="Q493" s="30" t="s">
        <v>99</v>
      </c>
      <c r="R493" s="25" t="n">
        <f aca="false">L493*M493*(1-N493)</f>
        <v>10997.3</v>
      </c>
    </row>
    <row r="494" customFormat="false" ht="15" hidden="false" customHeight="false" outlineLevel="0" collapsed="false">
      <c r="A494" s="30" t="s">
        <v>665</v>
      </c>
      <c r="B494" s="44" t="n">
        <v>45473</v>
      </c>
      <c r="C494" s="19" t="n">
        <f aca="false">YEAR(B494)</f>
        <v>2024</v>
      </c>
      <c r="D494" s="19" t="n">
        <f aca="false">MONTH(B494)</f>
        <v>6</v>
      </c>
      <c r="E494" s="30" t="str">
        <f aca="false">INDEX(Lists!$K$2:$K$13,MATCH(D494,Lists!$J$2:$J$13,0))</f>
        <v>يونيو</v>
      </c>
      <c r="F494" s="19" t="str">
        <f aca="false">"Q"&amp;ROUNDUP(D494/3,0)</f>
        <v>Q2</v>
      </c>
      <c r="G494" s="30" t="str">
        <f aca="false">INDEX(Lists!$N$2:$N$8,MATCH(WEEKDAY(B494,2),Lists!$M$2:$M$8,0))</f>
        <v>الأحد</v>
      </c>
      <c r="H494" s="30" t="s">
        <v>57</v>
      </c>
      <c r="I494" s="19" t="str">
        <f aca="false">INDEX(Lists!$B$2:$B$6,MATCH(H494,Lists!$A$2:$A$6,0))</f>
        <v>المنطقة الغربية</v>
      </c>
      <c r="J494" s="30" t="s">
        <v>107</v>
      </c>
      <c r="K494" s="30" t="s">
        <v>272</v>
      </c>
      <c r="L494" s="31" t="n">
        <v>5589</v>
      </c>
      <c r="M494" s="19" t="n">
        <v>8</v>
      </c>
      <c r="N494" s="32" t="n">
        <v>0</v>
      </c>
      <c r="O494" s="30" t="s">
        <v>48</v>
      </c>
      <c r="P494" s="30" t="s">
        <v>51</v>
      </c>
      <c r="Q494" s="30" t="s">
        <v>84</v>
      </c>
      <c r="R494" s="25" t="n">
        <f aca="false">L494*M494*(1-N494)</f>
        <v>44712</v>
      </c>
    </row>
    <row r="495" customFormat="false" ht="15" hidden="false" customHeight="false" outlineLevel="0" collapsed="false">
      <c r="A495" s="30" t="s">
        <v>666</v>
      </c>
      <c r="B495" s="44" t="n">
        <v>45473</v>
      </c>
      <c r="C495" s="19" t="n">
        <f aca="false">YEAR(B495)</f>
        <v>2024</v>
      </c>
      <c r="D495" s="19" t="n">
        <f aca="false">MONTH(B495)</f>
        <v>6</v>
      </c>
      <c r="E495" s="30" t="str">
        <f aca="false">INDEX(Lists!$K$2:$K$13,MATCH(D495,Lists!$J$2:$J$13,0))</f>
        <v>يونيو</v>
      </c>
      <c r="F495" s="19" t="str">
        <f aca="false">"Q"&amp;ROUNDUP(D495/3,0)</f>
        <v>Q2</v>
      </c>
      <c r="G495" s="30" t="str">
        <f aca="false">INDEX(Lists!$N$2:$N$8,MATCH(WEEKDAY(B495,2),Lists!$M$2:$M$8,0))</f>
        <v>الأحد</v>
      </c>
      <c r="H495" s="30" t="s">
        <v>50</v>
      </c>
      <c r="I495" s="19" t="str">
        <f aca="false">INDEX(Lists!$B$2:$B$6,MATCH(H495,Lists!$A$2:$A$6,0))</f>
        <v>المنطقة الغربية</v>
      </c>
      <c r="J495" s="30" t="s">
        <v>107</v>
      </c>
      <c r="K495" s="30" t="s">
        <v>184</v>
      </c>
      <c r="L495" s="31" t="n">
        <v>7379</v>
      </c>
      <c r="M495" s="19" t="n">
        <v>3</v>
      </c>
      <c r="N495" s="32" t="n">
        <v>0</v>
      </c>
      <c r="O495" s="30" t="s">
        <v>52</v>
      </c>
      <c r="P495" s="30" t="s">
        <v>47</v>
      </c>
      <c r="Q495" s="30" t="s">
        <v>92</v>
      </c>
      <c r="R495" s="25" t="n">
        <f aca="false">L495*M495*(1-N495)</f>
        <v>22137</v>
      </c>
    </row>
    <row r="496" customFormat="false" ht="15" hidden="false" customHeight="false" outlineLevel="0" collapsed="false">
      <c r="A496" s="30" t="s">
        <v>667</v>
      </c>
      <c r="B496" s="44" t="n">
        <v>45473</v>
      </c>
      <c r="C496" s="19" t="n">
        <f aca="false">YEAR(B496)</f>
        <v>2024</v>
      </c>
      <c r="D496" s="19" t="n">
        <f aca="false">MONTH(B496)</f>
        <v>6</v>
      </c>
      <c r="E496" s="30" t="str">
        <f aca="false">INDEX(Lists!$K$2:$K$13,MATCH(D496,Lists!$J$2:$J$13,0))</f>
        <v>يونيو</v>
      </c>
      <c r="F496" s="19" t="str">
        <f aca="false">"Q"&amp;ROUNDUP(D496/3,0)</f>
        <v>Q2</v>
      </c>
      <c r="G496" s="30" t="str">
        <f aca="false">INDEX(Lists!$N$2:$N$8,MATCH(WEEKDAY(B496,2),Lists!$M$2:$M$8,0))</f>
        <v>الأحد</v>
      </c>
      <c r="H496" s="30" t="s">
        <v>57</v>
      </c>
      <c r="I496" s="19" t="str">
        <f aca="false">INDEX(Lists!$B$2:$B$6,MATCH(H496,Lists!$A$2:$A$6,0))</f>
        <v>المنطقة الغربية</v>
      </c>
      <c r="J496" s="30" t="s">
        <v>113</v>
      </c>
      <c r="K496" s="30" t="s">
        <v>97</v>
      </c>
      <c r="L496" s="31" t="n">
        <v>479</v>
      </c>
      <c r="M496" s="19" t="n">
        <v>4</v>
      </c>
      <c r="N496" s="32" t="n">
        <v>0.05</v>
      </c>
      <c r="O496" s="30" t="s">
        <v>52</v>
      </c>
      <c r="P496" s="30" t="s">
        <v>51</v>
      </c>
      <c r="Q496" s="30" t="s">
        <v>84</v>
      </c>
      <c r="R496" s="25" t="n">
        <f aca="false">L496*M496*(1-N496)</f>
        <v>1820.2</v>
      </c>
    </row>
    <row r="497" customFormat="false" ht="15" hidden="false" customHeight="false" outlineLevel="0" collapsed="false">
      <c r="A497" s="30" t="s">
        <v>668</v>
      </c>
      <c r="B497" s="44" t="n">
        <v>45473</v>
      </c>
      <c r="C497" s="19" t="n">
        <f aca="false">YEAR(B497)</f>
        <v>2024</v>
      </c>
      <c r="D497" s="19" t="n">
        <f aca="false">MONTH(B497)</f>
        <v>6</v>
      </c>
      <c r="E497" s="30" t="str">
        <f aca="false">INDEX(Lists!$K$2:$K$13,MATCH(D497,Lists!$J$2:$J$13,0))</f>
        <v>يونيو</v>
      </c>
      <c r="F497" s="19" t="str">
        <f aca="false">"Q"&amp;ROUNDUP(D497/3,0)</f>
        <v>Q2</v>
      </c>
      <c r="G497" s="30" t="str">
        <f aca="false">INDEX(Lists!$N$2:$N$8,MATCH(WEEKDAY(B497,2),Lists!$M$2:$M$8,0))</f>
        <v>الأحد</v>
      </c>
      <c r="H497" s="30" t="s">
        <v>50</v>
      </c>
      <c r="I497" s="19" t="str">
        <f aca="false">INDEX(Lists!$B$2:$B$6,MATCH(H497,Lists!$A$2:$A$6,0))</f>
        <v>المنطقة الغربية</v>
      </c>
      <c r="J497" s="30" t="s">
        <v>113</v>
      </c>
      <c r="K497" s="30" t="s">
        <v>121</v>
      </c>
      <c r="L497" s="31" t="n">
        <v>129</v>
      </c>
      <c r="M497" s="19" t="n">
        <v>2</v>
      </c>
      <c r="N497" s="32" t="n">
        <v>0</v>
      </c>
      <c r="O497" s="30" t="s">
        <v>52</v>
      </c>
      <c r="P497" s="30" t="s">
        <v>47</v>
      </c>
      <c r="Q497" s="30" t="s">
        <v>99</v>
      </c>
      <c r="R497" s="25" t="n">
        <f aca="false">L497*M497*(1-N497)</f>
        <v>258</v>
      </c>
    </row>
    <row r="498" customFormat="false" ht="15" hidden="false" customHeight="false" outlineLevel="0" collapsed="false">
      <c r="A498" s="30" t="s">
        <v>669</v>
      </c>
      <c r="B498" s="44" t="n">
        <v>45474</v>
      </c>
      <c r="C498" s="19" t="n">
        <f aca="false">YEAR(B498)</f>
        <v>2024</v>
      </c>
      <c r="D498" s="19" t="n">
        <f aca="false">MONTH(B498)</f>
        <v>7</v>
      </c>
      <c r="E498" s="30" t="str">
        <f aca="false">INDEX(Lists!$K$2:$K$13,MATCH(D498,Lists!$J$2:$J$13,0))</f>
        <v>يوليو</v>
      </c>
      <c r="F498" s="19" t="str">
        <f aca="false">"Q"&amp;ROUNDUP(D498/3,0)</f>
        <v>Q3</v>
      </c>
      <c r="G498" s="30" t="str">
        <f aca="false">INDEX(Lists!$N$2:$N$8,MATCH(WEEKDAY(B498,2),Lists!$M$2:$M$8,0))</f>
        <v>الإثنين</v>
      </c>
      <c r="H498" s="30" t="s">
        <v>60</v>
      </c>
      <c r="I498" s="19" t="str">
        <f aca="false">INDEX(Lists!$B$2:$B$6,MATCH(H498,Lists!$A$2:$A$6,0))</f>
        <v>المنطقة الغربية</v>
      </c>
      <c r="J498" s="30" t="s">
        <v>105</v>
      </c>
      <c r="K498" s="30" t="s">
        <v>79</v>
      </c>
      <c r="L498" s="31" t="n">
        <v>2109</v>
      </c>
      <c r="M498" s="19" t="n">
        <v>1</v>
      </c>
      <c r="N498" s="32" t="n">
        <v>0</v>
      </c>
      <c r="O498" s="30" t="s">
        <v>55</v>
      </c>
      <c r="P498" s="30" t="s">
        <v>47</v>
      </c>
      <c r="Q498" s="30" t="s">
        <v>76</v>
      </c>
      <c r="R498" s="25" t="n">
        <f aca="false">L498*M498*(1-N498)</f>
        <v>2109</v>
      </c>
    </row>
    <row r="499" customFormat="false" ht="15" hidden="false" customHeight="false" outlineLevel="0" collapsed="false">
      <c r="A499" s="30" t="s">
        <v>670</v>
      </c>
      <c r="B499" s="44" t="n">
        <v>45474</v>
      </c>
      <c r="C499" s="19" t="n">
        <f aca="false">YEAR(B499)</f>
        <v>2024</v>
      </c>
      <c r="D499" s="19" t="n">
        <f aca="false">MONTH(B499)</f>
        <v>7</v>
      </c>
      <c r="E499" s="30" t="str">
        <f aca="false">INDEX(Lists!$K$2:$K$13,MATCH(D499,Lists!$J$2:$J$13,0))</f>
        <v>يوليو</v>
      </c>
      <c r="F499" s="19" t="str">
        <f aca="false">"Q"&amp;ROUNDUP(D499/3,0)</f>
        <v>Q3</v>
      </c>
      <c r="G499" s="30" t="str">
        <f aca="false">INDEX(Lists!$N$2:$N$8,MATCH(WEEKDAY(B499,2),Lists!$M$2:$M$8,0))</f>
        <v>الإثنين</v>
      </c>
      <c r="H499" s="30" t="s">
        <v>54</v>
      </c>
      <c r="I499" s="19" t="str">
        <f aca="false">INDEX(Lists!$B$2:$B$6,MATCH(H499,Lists!$A$2:$A$6,0))</f>
        <v>المنطقة الشرقية</v>
      </c>
      <c r="J499" s="30" t="s">
        <v>109</v>
      </c>
      <c r="K499" s="30" t="s">
        <v>192</v>
      </c>
      <c r="L499" s="31" t="n">
        <v>259</v>
      </c>
      <c r="M499" s="19" t="n">
        <v>1</v>
      </c>
      <c r="N499" s="32" t="n">
        <v>0</v>
      </c>
      <c r="O499" s="30" t="s">
        <v>48</v>
      </c>
      <c r="P499" s="30" t="s">
        <v>47</v>
      </c>
      <c r="Q499" s="30" t="s">
        <v>76</v>
      </c>
      <c r="R499" s="25" t="n">
        <f aca="false">L499*M499*(1-N499)</f>
        <v>259</v>
      </c>
    </row>
    <row r="500" customFormat="false" ht="15" hidden="false" customHeight="false" outlineLevel="0" collapsed="false">
      <c r="A500" s="30" t="s">
        <v>671</v>
      </c>
      <c r="B500" s="44" t="n">
        <v>45476</v>
      </c>
      <c r="C500" s="19" t="n">
        <f aca="false">YEAR(B500)</f>
        <v>2024</v>
      </c>
      <c r="D500" s="19" t="n">
        <f aca="false">MONTH(B500)</f>
        <v>7</v>
      </c>
      <c r="E500" s="30" t="str">
        <f aca="false">INDEX(Lists!$K$2:$K$13,MATCH(D500,Lists!$J$2:$J$13,0))</f>
        <v>يوليو</v>
      </c>
      <c r="F500" s="19" t="str">
        <f aca="false">"Q"&amp;ROUNDUP(D500/3,0)</f>
        <v>Q3</v>
      </c>
      <c r="G500" s="30" t="str">
        <f aca="false">INDEX(Lists!$N$2:$N$8,MATCH(WEEKDAY(B500,2),Lists!$M$2:$M$8,0))</f>
        <v>الأربعاء</v>
      </c>
      <c r="H500" s="30" t="s">
        <v>54</v>
      </c>
      <c r="I500" s="19" t="str">
        <f aca="false">INDEX(Lists!$B$2:$B$6,MATCH(H500,Lists!$A$2:$A$6,0))</f>
        <v>المنطقة الشرقية</v>
      </c>
      <c r="J500" s="30" t="s">
        <v>109</v>
      </c>
      <c r="K500" s="30" t="s">
        <v>175</v>
      </c>
      <c r="L500" s="31" t="n">
        <v>239</v>
      </c>
      <c r="M500" s="19" t="n">
        <v>2</v>
      </c>
      <c r="N500" s="32" t="n">
        <v>0</v>
      </c>
      <c r="O500" s="30" t="s">
        <v>52</v>
      </c>
      <c r="P500" s="30" t="s">
        <v>47</v>
      </c>
      <c r="Q500" s="30" t="s">
        <v>76</v>
      </c>
      <c r="R500" s="25" t="n">
        <f aca="false">L500*M500*(1-N500)</f>
        <v>478</v>
      </c>
    </row>
    <row r="501" customFormat="false" ht="15" hidden="false" customHeight="false" outlineLevel="0" collapsed="false">
      <c r="A501" s="30" t="s">
        <v>672</v>
      </c>
      <c r="B501" s="44" t="n">
        <v>45476</v>
      </c>
      <c r="C501" s="19" t="n">
        <f aca="false">YEAR(B501)</f>
        <v>2024</v>
      </c>
      <c r="D501" s="19" t="n">
        <f aca="false">MONTH(B501)</f>
        <v>7</v>
      </c>
      <c r="E501" s="30" t="str">
        <f aca="false">INDEX(Lists!$K$2:$K$13,MATCH(D501,Lists!$J$2:$J$13,0))</f>
        <v>يوليو</v>
      </c>
      <c r="F501" s="19" t="str">
        <f aca="false">"Q"&amp;ROUNDUP(D501/3,0)</f>
        <v>Q3</v>
      </c>
      <c r="G501" s="30" t="str">
        <f aca="false">INDEX(Lists!$N$2:$N$8,MATCH(WEEKDAY(B501,2),Lists!$M$2:$M$8,0))</f>
        <v>الأربعاء</v>
      </c>
      <c r="H501" s="30" t="s">
        <v>50</v>
      </c>
      <c r="I501" s="19" t="str">
        <f aca="false">INDEX(Lists!$B$2:$B$6,MATCH(H501,Lists!$A$2:$A$6,0))</f>
        <v>المنطقة الغربية</v>
      </c>
      <c r="J501" s="30" t="s">
        <v>109</v>
      </c>
      <c r="K501" s="30" t="s">
        <v>192</v>
      </c>
      <c r="L501" s="31" t="n">
        <v>249</v>
      </c>
      <c r="M501" s="19" t="n">
        <v>10</v>
      </c>
      <c r="N501" s="32" t="n">
        <v>0.1</v>
      </c>
      <c r="O501" s="30" t="s">
        <v>48</v>
      </c>
      <c r="P501" s="30" t="s">
        <v>51</v>
      </c>
      <c r="Q501" s="30" t="s">
        <v>76</v>
      </c>
      <c r="R501" s="25" t="n">
        <f aca="false">L501*M501*(1-N501)</f>
        <v>2241</v>
      </c>
    </row>
    <row r="502" customFormat="false" ht="15" hidden="false" customHeight="false" outlineLevel="0" collapsed="false">
      <c r="A502" s="30" t="s">
        <v>673</v>
      </c>
      <c r="B502" s="44" t="n">
        <v>45476</v>
      </c>
      <c r="C502" s="19" t="n">
        <f aca="false">YEAR(B502)</f>
        <v>2024</v>
      </c>
      <c r="D502" s="19" t="n">
        <f aca="false">MONTH(B502)</f>
        <v>7</v>
      </c>
      <c r="E502" s="30" t="str">
        <f aca="false">INDEX(Lists!$K$2:$K$13,MATCH(D502,Lists!$J$2:$J$13,0))</f>
        <v>يوليو</v>
      </c>
      <c r="F502" s="19" t="str">
        <f aca="false">"Q"&amp;ROUNDUP(D502/3,0)</f>
        <v>Q3</v>
      </c>
      <c r="G502" s="30" t="str">
        <f aca="false">INDEX(Lists!$N$2:$N$8,MATCH(WEEKDAY(B502,2),Lists!$M$2:$M$8,0))</f>
        <v>الأربعاء</v>
      </c>
      <c r="H502" s="30" t="s">
        <v>46</v>
      </c>
      <c r="I502" s="19" t="str">
        <f aca="false">INDEX(Lists!$B$2:$B$6,MATCH(H502,Lists!$A$2:$A$6,0))</f>
        <v>المنطقة الوسطى</v>
      </c>
      <c r="J502" s="30" t="s">
        <v>113</v>
      </c>
      <c r="K502" s="30" t="s">
        <v>121</v>
      </c>
      <c r="L502" s="31" t="n">
        <v>159</v>
      </c>
      <c r="M502" s="19" t="n">
        <v>5</v>
      </c>
      <c r="N502" s="32" t="n">
        <v>0.05</v>
      </c>
      <c r="O502" s="30" t="s">
        <v>48</v>
      </c>
      <c r="P502" s="30" t="s">
        <v>51</v>
      </c>
      <c r="Q502" s="30" t="s">
        <v>78</v>
      </c>
      <c r="R502" s="25" t="n">
        <f aca="false">L502*M502*(1-N502)</f>
        <v>755.25</v>
      </c>
    </row>
    <row r="503" customFormat="false" ht="15" hidden="false" customHeight="false" outlineLevel="0" collapsed="false">
      <c r="A503" s="30" t="s">
        <v>674</v>
      </c>
      <c r="B503" s="44" t="n">
        <v>45476</v>
      </c>
      <c r="C503" s="19" t="n">
        <f aca="false">YEAR(B503)</f>
        <v>2024</v>
      </c>
      <c r="D503" s="19" t="n">
        <f aca="false">MONTH(B503)</f>
        <v>7</v>
      </c>
      <c r="E503" s="30" t="str">
        <f aca="false">INDEX(Lists!$K$2:$K$13,MATCH(D503,Lists!$J$2:$J$13,0))</f>
        <v>يوليو</v>
      </c>
      <c r="F503" s="19" t="str">
        <f aca="false">"Q"&amp;ROUNDUP(D503/3,0)</f>
        <v>Q3</v>
      </c>
      <c r="G503" s="30" t="str">
        <f aca="false">INDEX(Lists!$N$2:$N$8,MATCH(WEEKDAY(B503,2),Lists!$M$2:$M$8,0))</f>
        <v>الأربعاء</v>
      </c>
      <c r="H503" s="30" t="s">
        <v>54</v>
      </c>
      <c r="I503" s="19" t="str">
        <f aca="false">INDEX(Lists!$B$2:$B$6,MATCH(H503,Lists!$A$2:$A$6,0))</f>
        <v>المنطقة الشرقية</v>
      </c>
      <c r="J503" s="30" t="s">
        <v>109</v>
      </c>
      <c r="K503" s="30" t="s">
        <v>192</v>
      </c>
      <c r="L503" s="31" t="n">
        <v>239</v>
      </c>
      <c r="M503" s="19" t="n">
        <v>3</v>
      </c>
      <c r="N503" s="32" t="n">
        <v>0.1</v>
      </c>
      <c r="O503" s="30" t="s">
        <v>55</v>
      </c>
      <c r="P503" s="30" t="s">
        <v>47</v>
      </c>
      <c r="Q503" s="30" t="s">
        <v>92</v>
      </c>
      <c r="R503" s="25" t="n">
        <f aca="false">L503*M503*(1-N503)</f>
        <v>645.3</v>
      </c>
    </row>
    <row r="504" customFormat="false" ht="15" hidden="false" customHeight="false" outlineLevel="0" collapsed="false">
      <c r="A504" s="30" t="s">
        <v>675</v>
      </c>
      <c r="B504" s="44" t="n">
        <v>45476</v>
      </c>
      <c r="C504" s="19" t="n">
        <f aca="false">YEAR(B504)</f>
        <v>2024</v>
      </c>
      <c r="D504" s="19" t="n">
        <f aca="false">MONTH(B504)</f>
        <v>7</v>
      </c>
      <c r="E504" s="30" t="str">
        <f aca="false">INDEX(Lists!$K$2:$K$13,MATCH(D504,Lists!$J$2:$J$13,0))</f>
        <v>يوليو</v>
      </c>
      <c r="F504" s="19" t="str">
        <f aca="false">"Q"&amp;ROUNDUP(D504/3,0)</f>
        <v>Q3</v>
      </c>
      <c r="G504" s="30" t="str">
        <f aca="false">INDEX(Lists!$N$2:$N$8,MATCH(WEEKDAY(B504,2),Lists!$M$2:$M$8,0))</f>
        <v>الأربعاء</v>
      </c>
      <c r="H504" s="30" t="s">
        <v>57</v>
      </c>
      <c r="I504" s="19" t="str">
        <f aca="false">INDEX(Lists!$B$2:$B$6,MATCH(H504,Lists!$A$2:$A$6,0))</f>
        <v>المنطقة الغربية</v>
      </c>
      <c r="J504" s="30" t="s">
        <v>109</v>
      </c>
      <c r="K504" s="30" t="s">
        <v>175</v>
      </c>
      <c r="L504" s="31" t="n">
        <v>149</v>
      </c>
      <c r="M504" s="19" t="n">
        <v>1</v>
      </c>
      <c r="N504" s="32" t="n">
        <v>0</v>
      </c>
      <c r="O504" s="30" t="s">
        <v>48</v>
      </c>
      <c r="P504" s="30" t="s">
        <v>51</v>
      </c>
      <c r="Q504" s="30" t="s">
        <v>89</v>
      </c>
      <c r="R504" s="25" t="n">
        <f aca="false">L504*M504*(1-N504)</f>
        <v>149</v>
      </c>
    </row>
    <row r="505" customFormat="false" ht="15" hidden="false" customHeight="false" outlineLevel="0" collapsed="false">
      <c r="A505" s="30" t="s">
        <v>676</v>
      </c>
      <c r="B505" s="44" t="n">
        <v>45477</v>
      </c>
      <c r="C505" s="19" t="n">
        <f aca="false">YEAR(B505)</f>
        <v>2024</v>
      </c>
      <c r="D505" s="19" t="n">
        <f aca="false">MONTH(B505)</f>
        <v>7</v>
      </c>
      <c r="E505" s="30" t="str">
        <f aca="false">INDEX(Lists!$K$2:$K$13,MATCH(D505,Lists!$J$2:$J$13,0))</f>
        <v>يوليو</v>
      </c>
      <c r="F505" s="19" t="str">
        <f aca="false">"Q"&amp;ROUNDUP(D505/3,0)</f>
        <v>Q3</v>
      </c>
      <c r="G505" s="30" t="str">
        <f aca="false">INDEX(Lists!$N$2:$N$8,MATCH(WEEKDAY(B505,2),Lists!$M$2:$M$8,0))</f>
        <v>الخميس</v>
      </c>
      <c r="H505" s="30" t="s">
        <v>57</v>
      </c>
      <c r="I505" s="19" t="str">
        <f aca="false">INDEX(Lists!$B$2:$B$6,MATCH(H505,Lists!$A$2:$A$6,0))</f>
        <v>المنطقة الغربية</v>
      </c>
      <c r="J505" s="30" t="s">
        <v>111</v>
      </c>
      <c r="K505" s="30" t="s">
        <v>120</v>
      </c>
      <c r="L505" s="31" t="n">
        <v>469</v>
      </c>
      <c r="M505" s="19" t="n">
        <v>1</v>
      </c>
      <c r="N505" s="32" t="n">
        <v>0</v>
      </c>
      <c r="O505" s="30" t="s">
        <v>58</v>
      </c>
      <c r="P505" s="30" t="s">
        <v>47</v>
      </c>
      <c r="Q505" s="30" t="s">
        <v>86</v>
      </c>
      <c r="R505" s="25" t="n">
        <f aca="false">L505*M505*(1-N505)</f>
        <v>469</v>
      </c>
    </row>
    <row r="506" customFormat="false" ht="15" hidden="false" customHeight="false" outlineLevel="0" collapsed="false">
      <c r="A506" s="30" t="s">
        <v>677</v>
      </c>
      <c r="B506" s="44" t="n">
        <v>45477</v>
      </c>
      <c r="C506" s="19" t="n">
        <f aca="false">YEAR(B506)</f>
        <v>2024</v>
      </c>
      <c r="D506" s="19" t="n">
        <f aca="false">MONTH(B506)</f>
        <v>7</v>
      </c>
      <c r="E506" s="30" t="str">
        <f aca="false">INDEX(Lists!$K$2:$K$13,MATCH(D506,Lists!$J$2:$J$13,0))</f>
        <v>يوليو</v>
      </c>
      <c r="F506" s="19" t="str">
        <f aca="false">"Q"&amp;ROUNDUP(D506/3,0)</f>
        <v>Q3</v>
      </c>
      <c r="G506" s="30" t="str">
        <f aca="false">INDEX(Lists!$N$2:$N$8,MATCH(WEEKDAY(B506,2),Lists!$M$2:$M$8,0))</f>
        <v>الخميس</v>
      </c>
      <c r="H506" s="30" t="s">
        <v>54</v>
      </c>
      <c r="I506" s="19" t="str">
        <f aca="false">INDEX(Lists!$B$2:$B$6,MATCH(H506,Lists!$A$2:$A$6,0))</f>
        <v>المنطقة الشرقية</v>
      </c>
      <c r="J506" s="30" t="s">
        <v>109</v>
      </c>
      <c r="K506" s="30" t="s">
        <v>171</v>
      </c>
      <c r="L506" s="31" t="n">
        <v>319</v>
      </c>
      <c r="M506" s="19" t="n">
        <v>1</v>
      </c>
      <c r="N506" s="32" t="n">
        <v>0</v>
      </c>
      <c r="O506" s="30" t="s">
        <v>52</v>
      </c>
      <c r="P506" s="30" t="s">
        <v>47</v>
      </c>
      <c r="Q506" s="30" t="s">
        <v>84</v>
      </c>
      <c r="R506" s="25" t="n">
        <f aca="false">L506*M506*(1-N506)</f>
        <v>319</v>
      </c>
    </row>
    <row r="507" customFormat="false" ht="15" hidden="false" customHeight="false" outlineLevel="0" collapsed="false">
      <c r="A507" s="30" t="s">
        <v>678</v>
      </c>
      <c r="B507" s="44" t="n">
        <v>45477</v>
      </c>
      <c r="C507" s="19" t="n">
        <f aca="false">YEAR(B507)</f>
        <v>2024</v>
      </c>
      <c r="D507" s="19" t="n">
        <f aca="false">MONTH(B507)</f>
        <v>7</v>
      </c>
      <c r="E507" s="30" t="str">
        <f aca="false">INDEX(Lists!$K$2:$K$13,MATCH(D507,Lists!$J$2:$J$13,0))</f>
        <v>يوليو</v>
      </c>
      <c r="F507" s="19" t="str">
        <f aca="false">"Q"&amp;ROUNDUP(D507/3,0)</f>
        <v>Q3</v>
      </c>
      <c r="G507" s="30" t="str">
        <f aca="false">INDEX(Lists!$N$2:$N$8,MATCH(WEEKDAY(B507,2),Lists!$M$2:$M$8,0))</f>
        <v>الخميس</v>
      </c>
      <c r="H507" s="30" t="s">
        <v>57</v>
      </c>
      <c r="I507" s="19" t="str">
        <f aca="false">INDEX(Lists!$B$2:$B$6,MATCH(H507,Lists!$A$2:$A$6,0))</f>
        <v>المنطقة الغربية</v>
      </c>
      <c r="J507" s="30" t="s">
        <v>111</v>
      </c>
      <c r="K507" s="30" t="s">
        <v>120</v>
      </c>
      <c r="L507" s="31" t="n">
        <v>449</v>
      </c>
      <c r="M507" s="19" t="n">
        <v>2</v>
      </c>
      <c r="N507" s="32" t="n">
        <v>0.05</v>
      </c>
      <c r="O507" s="30" t="s">
        <v>52</v>
      </c>
      <c r="P507" s="30" t="s">
        <v>47</v>
      </c>
      <c r="Q507" s="30" t="s">
        <v>94</v>
      </c>
      <c r="R507" s="25" t="n">
        <f aca="false">L507*M507*(1-N507)</f>
        <v>853.1</v>
      </c>
    </row>
    <row r="508" customFormat="false" ht="15" hidden="false" customHeight="false" outlineLevel="0" collapsed="false">
      <c r="A508" s="30" t="s">
        <v>679</v>
      </c>
      <c r="B508" s="44" t="n">
        <v>45477</v>
      </c>
      <c r="C508" s="19" t="n">
        <f aca="false">YEAR(B508)</f>
        <v>2024</v>
      </c>
      <c r="D508" s="19" t="n">
        <f aca="false">MONTH(B508)</f>
        <v>7</v>
      </c>
      <c r="E508" s="30" t="str">
        <f aca="false">INDEX(Lists!$K$2:$K$13,MATCH(D508,Lists!$J$2:$J$13,0))</f>
        <v>يوليو</v>
      </c>
      <c r="F508" s="19" t="str">
        <f aca="false">"Q"&amp;ROUNDUP(D508/3,0)</f>
        <v>Q3</v>
      </c>
      <c r="G508" s="30" t="str">
        <f aca="false">INDEX(Lists!$N$2:$N$8,MATCH(WEEKDAY(B508,2),Lists!$M$2:$M$8,0))</f>
        <v>الخميس</v>
      </c>
      <c r="H508" s="30" t="s">
        <v>60</v>
      </c>
      <c r="I508" s="19" t="str">
        <f aca="false">INDEX(Lists!$B$2:$B$6,MATCH(H508,Lists!$A$2:$A$6,0))</f>
        <v>المنطقة الغربية</v>
      </c>
      <c r="J508" s="30" t="s">
        <v>109</v>
      </c>
      <c r="K508" s="30" t="s">
        <v>93</v>
      </c>
      <c r="L508" s="31" t="n">
        <v>309</v>
      </c>
      <c r="M508" s="19" t="n">
        <v>1</v>
      </c>
      <c r="N508" s="32" t="n">
        <v>0</v>
      </c>
      <c r="O508" s="30" t="s">
        <v>48</v>
      </c>
      <c r="P508" s="30" t="s">
        <v>47</v>
      </c>
      <c r="Q508" s="30" t="s">
        <v>92</v>
      </c>
      <c r="R508" s="25" t="n">
        <f aca="false">L508*M508*(1-N508)</f>
        <v>309</v>
      </c>
    </row>
    <row r="509" customFormat="false" ht="15" hidden="false" customHeight="false" outlineLevel="0" collapsed="false">
      <c r="A509" s="30" t="s">
        <v>680</v>
      </c>
      <c r="B509" s="44" t="n">
        <v>45478</v>
      </c>
      <c r="C509" s="19" t="n">
        <f aca="false">YEAR(B509)</f>
        <v>2024</v>
      </c>
      <c r="D509" s="19" t="n">
        <f aca="false">MONTH(B509)</f>
        <v>7</v>
      </c>
      <c r="E509" s="30" t="str">
        <f aca="false">INDEX(Lists!$K$2:$K$13,MATCH(D509,Lists!$J$2:$J$13,0))</f>
        <v>يوليو</v>
      </c>
      <c r="F509" s="19" t="str">
        <f aca="false">"Q"&amp;ROUNDUP(D509/3,0)</f>
        <v>Q3</v>
      </c>
      <c r="G509" s="30" t="str">
        <f aca="false">INDEX(Lists!$N$2:$N$8,MATCH(WEEKDAY(B509,2),Lists!$M$2:$M$8,0))</f>
        <v>الجمعة</v>
      </c>
      <c r="H509" s="30" t="s">
        <v>50</v>
      </c>
      <c r="I509" s="19" t="str">
        <f aca="false">INDEX(Lists!$B$2:$B$6,MATCH(H509,Lists!$A$2:$A$6,0))</f>
        <v>المنطقة الغربية</v>
      </c>
      <c r="J509" s="30" t="s">
        <v>107</v>
      </c>
      <c r="K509" s="30" t="s">
        <v>114</v>
      </c>
      <c r="L509" s="31" t="n">
        <v>7249</v>
      </c>
      <c r="M509" s="19" t="n">
        <v>1</v>
      </c>
      <c r="N509" s="32" t="n">
        <v>0.1</v>
      </c>
      <c r="O509" s="30" t="s">
        <v>52</v>
      </c>
      <c r="P509" s="30" t="s">
        <v>47</v>
      </c>
      <c r="Q509" s="30" t="s">
        <v>81</v>
      </c>
      <c r="R509" s="25" t="n">
        <f aca="false">L509*M509*(1-N509)</f>
        <v>6524.1</v>
      </c>
    </row>
    <row r="510" customFormat="false" ht="15" hidden="false" customHeight="false" outlineLevel="0" collapsed="false">
      <c r="A510" s="30" t="s">
        <v>681</v>
      </c>
      <c r="B510" s="44" t="n">
        <v>45478</v>
      </c>
      <c r="C510" s="19" t="n">
        <f aca="false">YEAR(B510)</f>
        <v>2024</v>
      </c>
      <c r="D510" s="19" t="n">
        <f aca="false">MONTH(B510)</f>
        <v>7</v>
      </c>
      <c r="E510" s="30" t="str">
        <f aca="false">INDEX(Lists!$K$2:$K$13,MATCH(D510,Lists!$J$2:$J$13,0))</f>
        <v>يوليو</v>
      </c>
      <c r="F510" s="19" t="str">
        <f aca="false">"Q"&amp;ROUNDUP(D510/3,0)</f>
        <v>Q3</v>
      </c>
      <c r="G510" s="30" t="str">
        <f aca="false">INDEX(Lists!$N$2:$N$8,MATCH(WEEKDAY(B510,2),Lists!$M$2:$M$8,0))</f>
        <v>الجمعة</v>
      </c>
      <c r="H510" s="30" t="s">
        <v>46</v>
      </c>
      <c r="I510" s="19" t="str">
        <f aca="false">INDEX(Lists!$B$2:$B$6,MATCH(H510,Lists!$A$2:$A$6,0))</f>
        <v>المنطقة الوسطى</v>
      </c>
      <c r="J510" s="30" t="s">
        <v>105</v>
      </c>
      <c r="K510" s="30" t="s">
        <v>82</v>
      </c>
      <c r="L510" s="31" t="n">
        <v>1759</v>
      </c>
      <c r="M510" s="19" t="n">
        <v>1</v>
      </c>
      <c r="N510" s="32" t="n">
        <v>0</v>
      </c>
      <c r="O510" s="30" t="s">
        <v>52</v>
      </c>
      <c r="P510" s="30" t="s">
        <v>47</v>
      </c>
      <c r="Q510" s="30" t="s">
        <v>84</v>
      </c>
      <c r="R510" s="25" t="n">
        <f aca="false">L510*M510*(1-N510)</f>
        <v>1759</v>
      </c>
    </row>
    <row r="511" customFormat="false" ht="15" hidden="false" customHeight="false" outlineLevel="0" collapsed="false">
      <c r="A511" s="30" t="s">
        <v>682</v>
      </c>
      <c r="B511" s="44" t="n">
        <v>45478</v>
      </c>
      <c r="C511" s="19" t="n">
        <f aca="false">YEAR(B511)</f>
        <v>2024</v>
      </c>
      <c r="D511" s="19" t="n">
        <f aca="false">MONTH(B511)</f>
        <v>7</v>
      </c>
      <c r="E511" s="30" t="str">
        <f aca="false">INDEX(Lists!$K$2:$K$13,MATCH(D511,Lists!$J$2:$J$13,0))</f>
        <v>يوليو</v>
      </c>
      <c r="F511" s="19" t="str">
        <f aca="false">"Q"&amp;ROUNDUP(D511/3,0)</f>
        <v>Q3</v>
      </c>
      <c r="G511" s="30" t="str">
        <f aca="false">INDEX(Lists!$N$2:$N$8,MATCH(WEEKDAY(B511,2),Lists!$M$2:$M$8,0))</f>
        <v>الجمعة</v>
      </c>
      <c r="H511" s="30" t="s">
        <v>46</v>
      </c>
      <c r="I511" s="19" t="str">
        <f aca="false">INDEX(Lists!$B$2:$B$6,MATCH(H511,Lists!$A$2:$A$6,0))</f>
        <v>المنطقة الوسطى</v>
      </c>
      <c r="J511" s="30" t="s">
        <v>109</v>
      </c>
      <c r="K511" s="30" t="s">
        <v>171</v>
      </c>
      <c r="L511" s="31" t="n">
        <v>339</v>
      </c>
      <c r="M511" s="19" t="n">
        <v>1</v>
      </c>
      <c r="N511" s="32" t="n">
        <v>0</v>
      </c>
      <c r="O511" s="30" t="s">
        <v>52</v>
      </c>
      <c r="P511" s="30" t="s">
        <v>47</v>
      </c>
      <c r="Q511" s="30" t="s">
        <v>86</v>
      </c>
      <c r="R511" s="25" t="n">
        <f aca="false">L511*M511*(1-N511)</f>
        <v>339</v>
      </c>
    </row>
    <row r="512" customFormat="false" ht="15" hidden="false" customHeight="false" outlineLevel="0" collapsed="false">
      <c r="A512" s="30" t="s">
        <v>683</v>
      </c>
      <c r="B512" s="44" t="n">
        <v>45479</v>
      </c>
      <c r="C512" s="19" t="n">
        <f aca="false">YEAR(B512)</f>
        <v>2024</v>
      </c>
      <c r="D512" s="19" t="n">
        <f aca="false">MONTH(B512)</f>
        <v>7</v>
      </c>
      <c r="E512" s="30" t="str">
        <f aca="false">INDEX(Lists!$K$2:$K$13,MATCH(D512,Lists!$J$2:$J$13,0))</f>
        <v>يوليو</v>
      </c>
      <c r="F512" s="19" t="str">
        <f aca="false">"Q"&amp;ROUNDUP(D512/3,0)</f>
        <v>Q3</v>
      </c>
      <c r="G512" s="30" t="str">
        <f aca="false">INDEX(Lists!$N$2:$N$8,MATCH(WEEKDAY(B512,2),Lists!$M$2:$M$8,0))</f>
        <v>السبت</v>
      </c>
      <c r="H512" s="30" t="s">
        <v>46</v>
      </c>
      <c r="I512" s="19" t="str">
        <f aca="false">INDEX(Lists!$B$2:$B$6,MATCH(H512,Lists!$A$2:$A$6,0))</f>
        <v>المنطقة الوسطى</v>
      </c>
      <c r="J512" s="30" t="s">
        <v>109</v>
      </c>
      <c r="K512" s="30" t="s">
        <v>192</v>
      </c>
      <c r="L512" s="31" t="n">
        <v>109</v>
      </c>
      <c r="M512" s="19" t="n">
        <v>1</v>
      </c>
      <c r="N512" s="32" t="n">
        <v>0.15</v>
      </c>
      <c r="O512" s="30" t="s">
        <v>52</v>
      </c>
      <c r="P512" s="30" t="s">
        <v>47</v>
      </c>
      <c r="Q512" s="30" t="s">
        <v>96</v>
      </c>
      <c r="R512" s="25" t="n">
        <f aca="false">L512*M512*(1-N512)</f>
        <v>92.65</v>
      </c>
    </row>
    <row r="513" customFormat="false" ht="15" hidden="false" customHeight="false" outlineLevel="0" collapsed="false">
      <c r="A513" s="30" t="s">
        <v>684</v>
      </c>
      <c r="B513" s="44" t="n">
        <v>45479</v>
      </c>
      <c r="C513" s="19" t="n">
        <f aca="false">YEAR(B513)</f>
        <v>2024</v>
      </c>
      <c r="D513" s="19" t="n">
        <f aca="false">MONTH(B513)</f>
        <v>7</v>
      </c>
      <c r="E513" s="30" t="str">
        <f aca="false">INDEX(Lists!$K$2:$K$13,MATCH(D513,Lists!$J$2:$J$13,0))</f>
        <v>يوليو</v>
      </c>
      <c r="F513" s="19" t="str">
        <f aca="false">"Q"&amp;ROUNDUP(D513/3,0)</f>
        <v>Q3</v>
      </c>
      <c r="G513" s="30" t="str">
        <f aca="false">INDEX(Lists!$N$2:$N$8,MATCH(WEEKDAY(B513,2),Lists!$M$2:$M$8,0))</f>
        <v>السبت</v>
      </c>
      <c r="H513" s="30" t="s">
        <v>60</v>
      </c>
      <c r="I513" s="19" t="str">
        <f aca="false">INDEX(Lists!$B$2:$B$6,MATCH(H513,Lists!$A$2:$A$6,0))</f>
        <v>المنطقة الغربية</v>
      </c>
      <c r="J513" s="30" t="s">
        <v>111</v>
      </c>
      <c r="K513" s="30" t="s">
        <v>122</v>
      </c>
      <c r="L513" s="31" t="n">
        <v>499</v>
      </c>
      <c r="M513" s="19" t="n">
        <v>1</v>
      </c>
      <c r="N513" s="32" t="n">
        <v>0.05</v>
      </c>
      <c r="O513" s="30" t="s">
        <v>55</v>
      </c>
      <c r="P513" s="30" t="s">
        <v>47</v>
      </c>
      <c r="Q513" s="30" t="s">
        <v>86</v>
      </c>
      <c r="R513" s="25" t="n">
        <f aca="false">L513*M513*(1-N513)</f>
        <v>474.05</v>
      </c>
    </row>
    <row r="514" customFormat="false" ht="15" hidden="false" customHeight="false" outlineLevel="0" collapsed="false">
      <c r="A514" s="30" t="s">
        <v>685</v>
      </c>
      <c r="B514" s="44" t="n">
        <v>45480</v>
      </c>
      <c r="C514" s="19" t="n">
        <f aca="false">YEAR(B514)</f>
        <v>2024</v>
      </c>
      <c r="D514" s="19" t="n">
        <f aca="false">MONTH(B514)</f>
        <v>7</v>
      </c>
      <c r="E514" s="30" t="str">
        <f aca="false">INDEX(Lists!$K$2:$K$13,MATCH(D514,Lists!$J$2:$J$13,0))</f>
        <v>يوليو</v>
      </c>
      <c r="F514" s="19" t="str">
        <f aca="false">"Q"&amp;ROUNDUP(D514/3,0)</f>
        <v>Q3</v>
      </c>
      <c r="G514" s="30" t="str">
        <f aca="false">INDEX(Lists!$N$2:$N$8,MATCH(WEEKDAY(B514,2),Lists!$M$2:$M$8,0))</f>
        <v>الأحد</v>
      </c>
      <c r="H514" s="30" t="s">
        <v>54</v>
      </c>
      <c r="I514" s="19" t="str">
        <f aca="false">INDEX(Lists!$B$2:$B$6,MATCH(H514,Lists!$A$2:$A$6,0))</f>
        <v>المنطقة الشرقية</v>
      </c>
      <c r="J514" s="30" t="s">
        <v>111</v>
      </c>
      <c r="K514" s="30" t="s">
        <v>118</v>
      </c>
      <c r="L514" s="31" t="n">
        <v>469</v>
      </c>
      <c r="M514" s="19" t="n">
        <v>2</v>
      </c>
      <c r="N514" s="32" t="n">
        <v>0.1</v>
      </c>
      <c r="O514" s="30" t="s">
        <v>55</v>
      </c>
      <c r="P514" s="30" t="s">
        <v>47</v>
      </c>
      <c r="Q514" s="30" t="s">
        <v>86</v>
      </c>
      <c r="R514" s="25" t="n">
        <f aca="false">L514*M514*(1-N514)</f>
        <v>844.2</v>
      </c>
    </row>
    <row r="515" customFormat="false" ht="15" hidden="false" customHeight="false" outlineLevel="0" collapsed="false">
      <c r="A515" s="30" t="s">
        <v>686</v>
      </c>
      <c r="B515" s="44" t="n">
        <v>45480</v>
      </c>
      <c r="C515" s="19" t="n">
        <f aca="false">YEAR(B515)</f>
        <v>2024</v>
      </c>
      <c r="D515" s="19" t="n">
        <f aca="false">MONTH(B515)</f>
        <v>7</v>
      </c>
      <c r="E515" s="30" t="str">
        <f aca="false">INDEX(Lists!$K$2:$K$13,MATCH(D515,Lists!$J$2:$J$13,0))</f>
        <v>يوليو</v>
      </c>
      <c r="F515" s="19" t="str">
        <f aca="false">"Q"&amp;ROUNDUP(D515/3,0)</f>
        <v>Q3</v>
      </c>
      <c r="G515" s="30" t="str">
        <f aca="false">INDEX(Lists!$N$2:$N$8,MATCH(WEEKDAY(B515,2),Lists!$M$2:$M$8,0))</f>
        <v>الأحد</v>
      </c>
      <c r="H515" s="30" t="s">
        <v>50</v>
      </c>
      <c r="I515" s="19" t="str">
        <f aca="false">INDEX(Lists!$B$2:$B$6,MATCH(H515,Lists!$A$2:$A$6,0))</f>
        <v>المنطقة الغربية</v>
      </c>
      <c r="J515" s="30" t="s">
        <v>109</v>
      </c>
      <c r="K515" s="30" t="s">
        <v>175</v>
      </c>
      <c r="L515" s="31" t="n">
        <v>139</v>
      </c>
      <c r="M515" s="19" t="n">
        <v>1</v>
      </c>
      <c r="N515" s="32" t="n">
        <v>0.1</v>
      </c>
      <c r="O515" s="30" t="s">
        <v>52</v>
      </c>
      <c r="P515" s="30" t="s">
        <v>47</v>
      </c>
      <c r="Q515" s="30" t="s">
        <v>94</v>
      </c>
      <c r="R515" s="25" t="n">
        <f aca="false">L515*M515*(1-N515)</f>
        <v>125.1</v>
      </c>
    </row>
    <row r="516" customFormat="false" ht="15" hidden="false" customHeight="false" outlineLevel="0" collapsed="false">
      <c r="A516" s="30" t="s">
        <v>687</v>
      </c>
      <c r="B516" s="44" t="n">
        <v>45480</v>
      </c>
      <c r="C516" s="19" t="n">
        <f aca="false">YEAR(B516)</f>
        <v>2024</v>
      </c>
      <c r="D516" s="19" t="n">
        <f aca="false">MONTH(B516)</f>
        <v>7</v>
      </c>
      <c r="E516" s="30" t="str">
        <f aca="false">INDEX(Lists!$K$2:$K$13,MATCH(D516,Lists!$J$2:$J$13,0))</f>
        <v>يوليو</v>
      </c>
      <c r="F516" s="19" t="str">
        <f aca="false">"Q"&amp;ROUNDUP(D516/3,0)</f>
        <v>Q3</v>
      </c>
      <c r="G516" s="30" t="str">
        <f aca="false">INDEX(Lists!$N$2:$N$8,MATCH(WEEKDAY(B516,2),Lists!$M$2:$M$8,0))</f>
        <v>الأحد</v>
      </c>
      <c r="H516" s="30" t="s">
        <v>50</v>
      </c>
      <c r="I516" s="19" t="str">
        <f aca="false">INDEX(Lists!$B$2:$B$6,MATCH(H516,Lists!$A$2:$A$6,0))</f>
        <v>المنطقة الغربية</v>
      </c>
      <c r="J516" s="30" t="s">
        <v>111</v>
      </c>
      <c r="K516" s="30" t="s">
        <v>122</v>
      </c>
      <c r="L516" s="31" t="n">
        <v>259</v>
      </c>
      <c r="M516" s="19" t="n">
        <v>1</v>
      </c>
      <c r="N516" s="32" t="n">
        <v>0.2</v>
      </c>
      <c r="O516" s="30" t="s">
        <v>48</v>
      </c>
      <c r="P516" s="30" t="s">
        <v>47</v>
      </c>
      <c r="Q516" s="30" t="s">
        <v>96</v>
      </c>
      <c r="R516" s="25" t="n">
        <f aca="false">L516*M516*(1-N516)</f>
        <v>207.2</v>
      </c>
    </row>
    <row r="517" customFormat="false" ht="15" hidden="false" customHeight="false" outlineLevel="0" collapsed="false">
      <c r="A517" s="30" t="s">
        <v>688</v>
      </c>
      <c r="B517" s="44" t="n">
        <v>45481</v>
      </c>
      <c r="C517" s="19" t="n">
        <f aca="false">YEAR(B517)</f>
        <v>2024</v>
      </c>
      <c r="D517" s="19" t="n">
        <f aca="false">MONTH(B517)</f>
        <v>7</v>
      </c>
      <c r="E517" s="30" t="str">
        <f aca="false">INDEX(Lists!$K$2:$K$13,MATCH(D517,Lists!$J$2:$J$13,0))</f>
        <v>يوليو</v>
      </c>
      <c r="F517" s="19" t="str">
        <f aca="false">"Q"&amp;ROUNDUP(D517/3,0)</f>
        <v>Q3</v>
      </c>
      <c r="G517" s="30" t="str">
        <f aca="false">INDEX(Lists!$N$2:$N$8,MATCH(WEEKDAY(B517,2),Lists!$M$2:$M$8,0))</f>
        <v>الإثنين</v>
      </c>
      <c r="H517" s="30" t="s">
        <v>54</v>
      </c>
      <c r="I517" s="19" t="str">
        <f aca="false">INDEX(Lists!$B$2:$B$6,MATCH(H517,Lists!$A$2:$A$6,0))</f>
        <v>المنطقة الشرقية</v>
      </c>
      <c r="J517" s="30" t="s">
        <v>113</v>
      </c>
      <c r="K517" s="30" t="s">
        <v>121</v>
      </c>
      <c r="L517" s="31" t="n">
        <v>689</v>
      </c>
      <c r="M517" s="19" t="n">
        <v>1</v>
      </c>
      <c r="N517" s="32" t="n">
        <v>0</v>
      </c>
      <c r="O517" s="30" t="s">
        <v>52</v>
      </c>
      <c r="P517" s="30" t="s">
        <v>51</v>
      </c>
      <c r="Q517" s="30" t="s">
        <v>94</v>
      </c>
      <c r="R517" s="25" t="n">
        <f aca="false">L517*M517*(1-N517)</f>
        <v>689</v>
      </c>
    </row>
    <row r="518" customFormat="false" ht="15" hidden="false" customHeight="false" outlineLevel="0" collapsed="false">
      <c r="A518" s="30" t="s">
        <v>689</v>
      </c>
      <c r="B518" s="44" t="n">
        <v>45481</v>
      </c>
      <c r="C518" s="19" t="n">
        <f aca="false">YEAR(B518)</f>
        <v>2024</v>
      </c>
      <c r="D518" s="19" t="n">
        <f aca="false">MONTH(B518)</f>
        <v>7</v>
      </c>
      <c r="E518" s="30" t="str">
        <f aca="false">INDEX(Lists!$K$2:$K$13,MATCH(D518,Lists!$J$2:$J$13,0))</f>
        <v>يوليو</v>
      </c>
      <c r="F518" s="19" t="str">
        <f aca="false">"Q"&amp;ROUNDUP(D518/3,0)</f>
        <v>Q3</v>
      </c>
      <c r="G518" s="30" t="str">
        <f aca="false">INDEX(Lists!$N$2:$N$8,MATCH(WEEKDAY(B518,2),Lists!$M$2:$M$8,0))</f>
        <v>الإثنين</v>
      </c>
      <c r="H518" s="30" t="s">
        <v>46</v>
      </c>
      <c r="I518" s="19" t="str">
        <f aca="false">INDEX(Lists!$B$2:$B$6,MATCH(H518,Lists!$A$2:$A$6,0))</f>
        <v>المنطقة الوسطى</v>
      </c>
      <c r="J518" s="30" t="s">
        <v>105</v>
      </c>
      <c r="K518" s="30" t="s">
        <v>179</v>
      </c>
      <c r="L518" s="31" t="n">
        <v>2029</v>
      </c>
      <c r="M518" s="19" t="n">
        <v>2</v>
      </c>
      <c r="N518" s="32" t="n">
        <v>0.2</v>
      </c>
      <c r="O518" s="30" t="s">
        <v>52</v>
      </c>
      <c r="P518" s="30" t="s">
        <v>51</v>
      </c>
      <c r="Q518" s="30" t="s">
        <v>84</v>
      </c>
      <c r="R518" s="25" t="n">
        <f aca="false">L518*M518*(1-N518)</f>
        <v>3246.4</v>
      </c>
    </row>
    <row r="519" customFormat="false" ht="15" hidden="false" customHeight="false" outlineLevel="0" collapsed="false">
      <c r="A519" s="30" t="s">
        <v>690</v>
      </c>
      <c r="B519" s="44" t="n">
        <v>45481</v>
      </c>
      <c r="C519" s="19" t="n">
        <f aca="false">YEAR(B519)</f>
        <v>2024</v>
      </c>
      <c r="D519" s="19" t="n">
        <f aca="false">MONTH(B519)</f>
        <v>7</v>
      </c>
      <c r="E519" s="30" t="str">
        <f aca="false">INDEX(Lists!$K$2:$K$13,MATCH(D519,Lists!$J$2:$J$13,0))</f>
        <v>يوليو</v>
      </c>
      <c r="F519" s="19" t="str">
        <f aca="false">"Q"&amp;ROUNDUP(D519/3,0)</f>
        <v>Q3</v>
      </c>
      <c r="G519" s="30" t="str">
        <f aca="false">INDEX(Lists!$N$2:$N$8,MATCH(WEEKDAY(B519,2),Lists!$M$2:$M$8,0))</f>
        <v>الإثنين</v>
      </c>
      <c r="H519" s="30" t="s">
        <v>57</v>
      </c>
      <c r="I519" s="19" t="str">
        <f aca="false">INDEX(Lists!$B$2:$B$6,MATCH(H519,Lists!$A$2:$A$6,0))</f>
        <v>المنطقة الغربية</v>
      </c>
      <c r="J519" s="30" t="s">
        <v>109</v>
      </c>
      <c r="K519" s="30" t="s">
        <v>110</v>
      </c>
      <c r="L519" s="31" t="n">
        <v>279</v>
      </c>
      <c r="M519" s="19" t="n">
        <v>2</v>
      </c>
      <c r="N519" s="32" t="n">
        <v>0</v>
      </c>
      <c r="O519" s="30" t="s">
        <v>52</v>
      </c>
      <c r="P519" s="30" t="s">
        <v>47</v>
      </c>
      <c r="Q519" s="30" t="s">
        <v>84</v>
      </c>
      <c r="R519" s="25" t="n">
        <f aca="false">L519*M519*(1-N519)</f>
        <v>558</v>
      </c>
    </row>
    <row r="520" customFormat="false" ht="15" hidden="false" customHeight="false" outlineLevel="0" collapsed="false">
      <c r="A520" s="30" t="s">
        <v>691</v>
      </c>
      <c r="B520" s="44" t="n">
        <v>45482</v>
      </c>
      <c r="C520" s="19" t="n">
        <f aca="false">YEAR(B520)</f>
        <v>2024</v>
      </c>
      <c r="D520" s="19" t="n">
        <f aca="false">MONTH(B520)</f>
        <v>7</v>
      </c>
      <c r="E520" s="30" t="str">
        <f aca="false">INDEX(Lists!$K$2:$K$13,MATCH(D520,Lists!$J$2:$J$13,0))</f>
        <v>يوليو</v>
      </c>
      <c r="F520" s="19" t="str">
        <f aca="false">"Q"&amp;ROUNDUP(D520/3,0)</f>
        <v>Q3</v>
      </c>
      <c r="G520" s="30" t="str">
        <f aca="false">INDEX(Lists!$N$2:$N$8,MATCH(WEEKDAY(B520,2),Lists!$M$2:$M$8,0))</f>
        <v>الثلاثاء</v>
      </c>
      <c r="H520" s="30" t="s">
        <v>46</v>
      </c>
      <c r="I520" s="19" t="str">
        <f aca="false">INDEX(Lists!$B$2:$B$6,MATCH(H520,Lists!$A$2:$A$6,0))</f>
        <v>المنطقة الوسطى</v>
      </c>
      <c r="J520" s="30" t="s">
        <v>105</v>
      </c>
      <c r="K520" s="30" t="s">
        <v>90</v>
      </c>
      <c r="L520" s="31" t="n">
        <v>4379</v>
      </c>
      <c r="M520" s="19" t="n">
        <v>2</v>
      </c>
      <c r="N520" s="32" t="n">
        <v>0.2</v>
      </c>
      <c r="O520" s="30" t="s">
        <v>48</v>
      </c>
      <c r="P520" s="30" t="s">
        <v>47</v>
      </c>
      <c r="Q520" s="30" t="s">
        <v>89</v>
      </c>
      <c r="R520" s="25" t="n">
        <f aca="false">L520*M520*(1-N520)</f>
        <v>7006.4</v>
      </c>
    </row>
    <row r="521" customFormat="false" ht="15" hidden="false" customHeight="false" outlineLevel="0" collapsed="false">
      <c r="A521" s="30" t="s">
        <v>692</v>
      </c>
      <c r="B521" s="44" t="n">
        <v>45483</v>
      </c>
      <c r="C521" s="19" t="n">
        <f aca="false">YEAR(B521)</f>
        <v>2024</v>
      </c>
      <c r="D521" s="19" t="n">
        <f aca="false">MONTH(B521)</f>
        <v>7</v>
      </c>
      <c r="E521" s="30" t="str">
        <f aca="false">INDEX(Lists!$K$2:$K$13,MATCH(D521,Lists!$J$2:$J$13,0))</f>
        <v>يوليو</v>
      </c>
      <c r="F521" s="19" t="str">
        <f aca="false">"Q"&amp;ROUNDUP(D521/3,0)</f>
        <v>Q3</v>
      </c>
      <c r="G521" s="30" t="str">
        <f aca="false">INDEX(Lists!$N$2:$N$8,MATCH(WEEKDAY(B521,2),Lists!$M$2:$M$8,0))</f>
        <v>الأربعاء</v>
      </c>
      <c r="H521" s="30" t="s">
        <v>54</v>
      </c>
      <c r="I521" s="19" t="str">
        <f aca="false">INDEX(Lists!$B$2:$B$6,MATCH(H521,Lists!$A$2:$A$6,0))</f>
        <v>المنطقة الشرقية</v>
      </c>
      <c r="J521" s="30" t="s">
        <v>105</v>
      </c>
      <c r="K521" s="30" t="s">
        <v>179</v>
      </c>
      <c r="L521" s="31" t="n">
        <v>3169</v>
      </c>
      <c r="M521" s="19" t="n">
        <v>1</v>
      </c>
      <c r="N521" s="32" t="n">
        <v>0.05</v>
      </c>
      <c r="O521" s="30" t="s">
        <v>55</v>
      </c>
      <c r="P521" s="30" t="s">
        <v>47</v>
      </c>
      <c r="Q521" s="30" t="s">
        <v>78</v>
      </c>
      <c r="R521" s="25" t="n">
        <f aca="false">L521*M521*(1-N521)</f>
        <v>3010.55</v>
      </c>
    </row>
    <row r="522" customFormat="false" ht="15" hidden="false" customHeight="false" outlineLevel="0" collapsed="false">
      <c r="A522" s="30" t="s">
        <v>693</v>
      </c>
      <c r="B522" s="44" t="n">
        <v>45484</v>
      </c>
      <c r="C522" s="19" t="n">
        <f aca="false">YEAR(B522)</f>
        <v>2024</v>
      </c>
      <c r="D522" s="19" t="n">
        <f aca="false">MONTH(B522)</f>
        <v>7</v>
      </c>
      <c r="E522" s="30" t="str">
        <f aca="false">INDEX(Lists!$K$2:$K$13,MATCH(D522,Lists!$J$2:$J$13,0))</f>
        <v>يوليو</v>
      </c>
      <c r="F522" s="19" t="str">
        <f aca="false">"Q"&amp;ROUNDUP(D522/3,0)</f>
        <v>Q3</v>
      </c>
      <c r="G522" s="30" t="str">
        <f aca="false">INDEX(Lists!$N$2:$N$8,MATCH(WEEKDAY(B522,2),Lists!$M$2:$M$8,0))</f>
        <v>الخميس</v>
      </c>
      <c r="H522" s="30" t="s">
        <v>46</v>
      </c>
      <c r="I522" s="19" t="str">
        <f aca="false">INDEX(Lists!$B$2:$B$6,MATCH(H522,Lists!$A$2:$A$6,0))</f>
        <v>المنطقة الوسطى</v>
      </c>
      <c r="J522" s="30" t="s">
        <v>105</v>
      </c>
      <c r="K522" s="30" t="s">
        <v>85</v>
      </c>
      <c r="L522" s="31" t="n">
        <v>3339</v>
      </c>
      <c r="M522" s="19" t="n">
        <v>1</v>
      </c>
      <c r="N522" s="32" t="n">
        <v>0</v>
      </c>
      <c r="O522" s="30" t="s">
        <v>48</v>
      </c>
      <c r="P522" s="30" t="s">
        <v>47</v>
      </c>
      <c r="Q522" s="30" t="s">
        <v>96</v>
      </c>
      <c r="R522" s="25" t="n">
        <f aca="false">L522*M522*(1-N522)</f>
        <v>3339</v>
      </c>
    </row>
    <row r="523" customFormat="false" ht="15" hidden="false" customHeight="false" outlineLevel="0" collapsed="false">
      <c r="A523" s="30" t="s">
        <v>694</v>
      </c>
      <c r="B523" s="44" t="n">
        <v>45484</v>
      </c>
      <c r="C523" s="19" t="n">
        <f aca="false">YEAR(B523)</f>
        <v>2024</v>
      </c>
      <c r="D523" s="19" t="n">
        <f aca="false">MONTH(B523)</f>
        <v>7</v>
      </c>
      <c r="E523" s="30" t="str">
        <f aca="false">INDEX(Lists!$K$2:$K$13,MATCH(D523,Lists!$J$2:$J$13,0))</f>
        <v>يوليو</v>
      </c>
      <c r="F523" s="19" t="str">
        <f aca="false">"Q"&amp;ROUNDUP(D523/3,0)</f>
        <v>Q3</v>
      </c>
      <c r="G523" s="30" t="str">
        <f aca="false">INDEX(Lists!$N$2:$N$8,MATCH(WEEKDAY(B523,2),Lists!$M$2:$M$8,0))</f>
        <v>الخميس</v>
      </c>
      <c r="H523" s="30" t="s">
        <v>50</v>
      </c>
      <c r="I523" s="19" t="str">
        <f aca="false">INDEX(Lists!$B$2:$B$6,MATCH(H523,Lists!$A$2:$A$6,0))</f>
        <v>المنطقة الغربية</v>
      </c>
      <c r="J523" s="30" t="s">
        <v>107</v>
      </c>
      <c r="K523" s="30" t="s">
        <v>114</v>
      </c>
      <c r="L523" s="31" t="n">
        <v>2099</v>
      </c>
      <c r="M523" s="19" t="n">
        <v>1</v>
      </c>
      <c r="N523" s="32" t="n">
        <v>0</v>
      </c>
      <c r="O523" s="30" t="s">
        <v>55</v>
      </c>
      <c r="P523" s="30" t="s">
        <v>47</v>
      </c>
      <c r="Q523" s="30" t="s">
        <v>92</v>
      </c>
      <c r="R523" s="25" t="n">
        <f aca="false">L523*M523*(1-N523)</f>
        <v>2099</v>
      </c>
    </row>
    <row r="524" customFormat="false" ht="15" hidden="false" customHeight="false" outlineLevel="0" collapsed="false">
      <c r="A524" s="30" t="s">
        <v>695</v>
      </c>
      <c r="B524" s="44" t="n">
        <v>45484</v>
      </c>
      <c r="C524" s="19" t="n">
        <f aca="false">YEAR(B524)</f>
        <v>2024</v>
      </c>
      <c r="D524" s="19" t="n">
        <f aca="false">MONTH(B524)</f>
        <v>7</v>
      </c>
      <c r="E524" s="30" t="str">
        <f aca="false">INDEX(Lists!$K$2:$K$13,MATCH(D524,Lists!$J$2:$J$13,0))</f>
        <v>يوليو</v>
      </c>
      <c r="F524" s="19" t="str">
        <f aca="false">"Q"&amp;ROUNDUP(D524/3,0)</f>
        <v>Q3</v>
      </c>
      <c r="G524" s="30" t="str">
        <f aca="false">INDEX(Lists!$N$2:$N$8,MATCH(WEEKDAY(B524,2),Lists!$M$2:$M$8,0))</f>
        <v>الخميس</v>
      </c>
      <c r="H524" s="30" t="s">
        <v>60</v>
      </c>
      <c r="I524" s="19" t="str">
        <f aca="false">INDEX(Lists!$B$2:$B$6,MATCH(H524,Lists!$A$2:$A$6,0))</f>
        <v>المنطقة الغربية</v>
      </c>
      <c r="J524" s="30" t="s">
        <v>109</v>
      </c>
      <c r="K524" s="30" t="s">
        <v>192</v>
      </c>
      <c r="L524" s="31" t="n">
        <v>299</v>
      </c>
      <c r="M524" s="19" t="n">
        <v>2</v>
      </c>
      <c r="N524" s="32" t="n">
        <v>0</v>
      </c>
      <c r="O524" s="30" t="s">
        <v>48</v>
      </c>
      <c r="P524" s="30" t="s">
        <v>47</v>
      </c>
      <c r="Q524" s="30" t="s">
        <v>84</v>
      </c>
      <c r="R524" s="25" t="n">
        <f aca="false">L524*M524*(1-N524)</f>
        <v>598</v>
      </c>
    </row>
    <row r="525" customFormat="false" ht="15" hidden="false" customHeight="false" outlineLevel="0" collapsed="false">
      <c r="A525" s="30" t="s">
        <v>696</v>
      </c>
      <c r="B525" s="44" t="n">
        <v>45485</v>
      </c>
      <c r="C525" s="19" t="n">
        <f aca="false">YEAR(B525)</f>
        <v>2024</v>
      </c>
      <c r="D525" s="19" t="n">
        <f aca="false">MONTH(B525)</f>
        <v>7</v>
      </c>
      <c r="E525" s="30" t="str">
        <f aca="false">INDEX(Lists!$K$2:$K$13,MATCH(D525,Lists!$J$2:$J$13,0))</f>
        <v>يوليو</v>
      </c>
      <c r="F525" s="19" t="str">
        <f aca="false">"Q"&amp;ROUNDUP(D525/3,0)</f>
        <v>Q3</v>
      </c>
      <c r="G525" s="30" t="str">
        <f aca="false">INDEX(Lists!$N$2:$N$8,MATCH(WEEKDAY(B525,2),Lists!$M$2:$M$8,0))</f>
        <v>الجمعة</v>
      </c>
      <c r="H525" s="30" t="s">
        <v>46</v>
      </c>
      <c r="I525" s="19" t="str">
        <f aca="false">INDEX(Lists!$B$2:$B$6,MATCH(H525,Lists!$A$2:$A$6,0))</f>
        <v>المنطقة الوسطى</v>
      </c>
      <c r="J525" s="30" t="s">
        <v>105</v>
      </c>
      <c r="K525" s="30" t="s">
        <v>85</v>
      </c>
      <c r="L525" s="31" t="n">
        <v>3229</v>
      </c>
      <c r="M525" s="19" t="n">
        <v>4</v>
      </c>
      <c r="N525" s="32" t="n">
        <v>0</v>
      </c>
      <c r="O525" s="30" t="s">
        <v>48</v>
      </c>
      <c r="P525" s="30" t="s">
        <v>51</v>
      </c>
      <c r="Q525" s="30" t="s">
        <v>81</v>
      </c>
      <c r="R525" s="25" t="n">
        <f aca="false">L525*M525*(1-N525)</f>
        <v>12916</v>
      </c>
    </row>
    <row r="526" customFormat="false" ht="15" hidden="false" customHeight="false" outlineLevel="0" collapsed="false">
      <c r="A526" s="30" t="s">
        <v>697</v>
      </c>
      <c r="B526" s="44" t="n">
        <v>45485</v>
      </c>
      <c r="C526" s="19" t="n">
        <f aca="false">YEAR(B526)</f>
        <v>2024</v>
      </c>
      <c r="D526" s="19" t="n">
        <f aca="false">MONTH(B526)</f>
        <v>7</v>
      </c>
      <c r="E526" s="30" t="str">
        <f aca="false">INDEX(Lists!$K$2:$K$13,MATCH(D526,Lists!$J$2:$J$13,0))</f>
        <v>يوليو</v>
      </c>
      <c r="F526" s="19" t="str">
        <f aca="false">"Q"&amp;ROUNDUP(D526/3,0)</f>
        <v>Q3</v>
      </c>
      <c r="G526" s="30" t="str">
        <f aca="false">INDEX(Lists!$N$2:$N$8,MATCH(WEEKDAY(B526,2),Lists!$M$2:$M$8,0))</f>
        <v>الجمعة</v>
      </c>
      <c r="H526" s="30" t="s">
        <v>54</v>
      </c>
      <c r="I526" s="19" t="str">
        <f aca="false">INDEX(Lists!$B$2:$B$6,MATCH(H526,Lists!$A$2:$A$6,0))</f>
        <v>المنطقة الشرقية</v>
      </c>
      <c r="J526" s="30" t="s">
        <v>105</v>
      </c>
      <c r="K526" s="30" t="s">
        <v>90</v>
      </c>
      <c r="L526" s="31" t="n">
        <v>3219</v>
      </c>
      <c r="M526" s="19" t="n">
        <v>1</v>
      </c>
      <c r="N526" s="32" t="n">
        <v>0</v>
      </c>
      <c r="O526" s="30" t="s">
        <v>48</v>
      </c>
      <c r="P526" s="30" t="s">
        <v>47</v>
      </c>
      <c r="Q526" s="30" t="s">
        <v>81</v>
      </c>
      <c r="R526" s="25" t="n">
        <f aca="false">L526*M526*(1-N526)</f>
        <v>3219</v>
      </c>
    </row>
    <row r="527" customFormat="false" ht="15" hidden="false" customHeight="false" outlineLevel="0" collapsed="false">
      <c r="A527" s="30" t="s">
        <v>698</v>
      </c>
      <c r="B527" s="44" t="n">
        <v>45486</v>
      </c>
      <c r="C527" s="19" t="n">
        <f aca="false">YEAR(B527)</f>
        <v>2024</v>
      </c>
      <c r="D527" s="19" t="n">
        <f aca="false">MONTH(B527)</f>
        <v>7</v>
      </c>
      <c r="E527" s="30" t="str">
        <f aca="false">INDEX(Lists!$K$2:$K$13,MATCH(D527,Lists!$J$2:$J$13,0))</f>
        <v>يوليو</v>
      </c>
      <c r="F527" s="19" t="str">
        <f aca="false">"Q"&amp;ROUNDUP(D527/3,0)</f>
        <v>Q3</v>
      </c>
      <c r="G527" s="30" t="str">
        <f aca="false">INDEX(Lists!$N$2:$N$8,MATCH(WEEKDAY(B527,2),Lists!$M$2:$M$8,0))</f>
        <v>السبت</v>
      </c>
      <c r="H527" s="30" t="s">
        <v>50</v>
      </c>
      <c r="I527" s="19" t="str">
        <f aca="false">INDEX(Lists!$B$2:$B$6,MATCH(H527,Lists!$A$2:$A$6,0))</f>
        <v>المنطقة الغربية</v>
      </c>
      <c r="J527" s="30" t="s">
        <v>105</v>
      </c>
      <c r="K527" s="30" t="s">
        <v>85</v>
      </c>
      <c r="L527" s="31" t="n">
        <v>3809</v>
      </c>
      <c r="M527" s="19" t="n">
        <v>1</v>
      </c>
      <c r="N527" s="32" t="n">
        <v>0.1</v>
      </c>
      <c r="O527" s="30" t="s">
        <v>58</v>
      </c>
      <c r="P527" s="30" t="s">
        <v>47</v>
      </c>
      <c r="Q527" s="30" t="s">
        <v>81</v>
      </c>
      <c r="R527" s="25" t="n">
        <f aca="false">L527*M527*(1-N527)</f>
        <v>3428.1</v>
      </c>
    </row>
    <row r="528" customFormat="false" ht="15" hidden="false" customHeight="false" outlineLevel="0" collapsed="false">
      <c r="A528" s="30" t="s">
        <v>699</v>
      </c>
      <c r="B528" s="44" t="n">
        <v>45486</v>
      </c>
      <c r="C528" s="19" t="n">
        <f aca="false">YEAR(B528)</f>
        <v>2024</v>
      </c>
      <c r="D528" s="19" t="n">
        <f aca="false">MONTH(B528)</f>
        <v>7</v>
      </c>
      <c r="E528" s="30" t="str">
        <f aca="false">INDEX(Lists!$K$2:$K$13,MATCH(D528,Lists!$J$2:$J$13,0))</f>
        <v>يوليو</v>
      </c>
      <c r="F528" s="19" t="str">
        <f aca="false">"Q"&amp;ROUNDUP(D528/3,0)</f>
        <v>Q3</v>
      </c>
      <c r="G528" s="30" t="str">
        <f aca="false">INDEX(Lists!$N$2:$N$8,MATCH(WEEKDAY(B528,2),Lists!$M$2:$M$8,0))</f>
        <v>السبت</v>
      </c>
      <c r="H528" s="30" t="s">
        <v>54</v>
      </c>
      <c r="I528" s="19" t="str">
        <f aca="false">INDEX(Lists!$B$2:$B$6,MATCH(H528,Lists!$A$2:$A$6,0))</f>
        <v>المنطقة الشرقية</v>
      </c>
      <c r="J528" s="30" t="s">
        <v>113</v>
      </c>
      <c r="K528" s="30" t="s">
        <v>97</v>
      </c>
      <c r="L528" s="31" t="n">
        <v>549</v>
      </c>
      <c r="M528" s="19" t="n">
        <v>1</v>
      </c>
      <c r="N528" s="32" t="n">
        <v>0</v>
      </c>
      <c r="O528" s="30" t="s">
        <v>48</v>
      </c>
      <c r="P528" s="30" t="s">
        <v>47</v>
      </c>
      <c r="Q528" s="30" t="s">
        <v>86</v>
      </c>
      <c r="R528" s="25" t="n">
        <f aca="false">L528*M528*(1-N528)</f>
        <v>549</v>
      </c>
    </row>
    <row r="529" customFormat="false" ht="15" hidden="false" customHeight="false" outlineLevel="0" collapsed="false">
      <c r="A529" s="30" t="s">
        <v>700</v>
      </c>
      <c r="B529" s="44" t="n">
        <v>45486</v>
      </c>
      <c r="C529" s="19" t="n">
        <f aca="false">YEAR(B529)</f>
        <v>2024</v>
      </c>
      <c r="D529" s="19" t="n">
        <f aca="false">MONTH(B529)</f>
        <v>7</v>
      </c>
      <c r="E529" s="30" t="str">
        <f aca="false">INDEX(Lists!$K$2:$K$13,MATCH(D529,Lists!$J$2:$J$13,0))</f>
        <v>يوليو</v>
      </c>
      <c r="F529" s="19" t="str">
        <f aca="false">"Q"&amp;ROUNDUP(D529/3,0)</f>
        <v>Q3</v>
      </c>
      <c r="G529" s="30" t="str">
        <f aca="false">INDEX(Lists!$N$2:$N$8,MATCH(WEEKDAY(B529,2),Lists!$M$2:$M$8,0))</f>
        <v>السبت</v>
      </c>
      <c r="H529" s="30" t="s">
        <v>46</v>
      </c>
      <c r="I529" s="19" t="str">
        <f aca="false">INDEX(Lists!$B$2:$B$6,MATCH(H529,Lists!$A$2:$A$6,0))</f>
        <v>المنطقة الوسطى</v>
      </c>
      <c r="J529" s="30" t="s">
        <v>109</v>
      </c>
      <c r="K529" s="30" t="s">
        <v>192</v>
      </c>
      <c r="L529" s="31" t="n">
        <v>119</v>
      </c>
      <c r="M529" s="19" t="n">
        <v>2</v>
      </c>
      <c r="N529" s="32" t="n">
        <v>0</v>
      </c>
      <c r="O529" s="30" t="s">
        <v>48</v>
      </c>
      <c r="P529" s="30" t="s">
        <v>47</v>
      </c>
      <c r="Q529" s="30" t="s">
        <v>86</v>
      </c>
      <c r="R529" s="25" t="n">
        <f aca="false">L529*M529*(1-N529)</f>
        <v>238</v>
      </c>
    </row>
    <row r="530" customFormat="false" ht="15" hidden="false" customHeight="false" outlineLevel="0" collapsed="false">
      <c r="A530" s="30" t="s">
        <v>701</v>
      </c>
      <c r="B530" s="44" t="n">
        <v>45486</v>
      </c>
      <c r="C530" s="19" t="n">
        <f aca="false">YEAR(B530)</f>
        <v>2024</v>
      </c>
      <c r="D530" s="19" t="n">
        <f aca="false">MONTH(B530)</f>
        <v>7</v>
      </c>
      <c r="E530" s="30" t="str">
        <f aca="false">INDEX(Lists!$K$2:$K$13,MATCH(D530,Lists!$J$2:$J$13,0))</f>
        <v>يوليو</v>
      </c>
      <c r="F530" s="19" t="str">
        <f aca="false">"Q"&amp;ROUNDUP(D530/3,0)</f>
        <v>Q3</v>
      </c>
      <c r="G530" s="30" t="str">
        <f aca="false">INDEX(Lists!$N$2:$N$8,MATCH(WEEKDAY(B530,2),Lists!$M$2:$M$8,0))</f>
        <v>السبت</v>
      </c>
      <c r="H530" s="30" t="s">
        <v>46</v>
      </c>
      <c r="I530" s="19" t="str">
        <f aca="false">INDEX(Lists!$B$2:$B$6,MATCH(H530,Lists!$A$2:$A$6,0))</f>
        <v>المنطقة الوسطى</v>
      </c>
      <c r="J530" s="30" t="s">
        <v>109</v>
      </c>
      <c r="K530" s="30" t="s">
        <v>110</v>
      </c>
      <c r="L530" s="31" t="n">
        <v>339</v>
      </c>
      <c r="M530" s="19" t="n">
        <v>1</v>
      </c>
      <c r="N530" s="32" t="n">
        <v>0</v>
      </c>
      <c r="O530" s="30" t="s">
        <v>48</v>
      </c>
      <c r="P530" s="30" t="s">
        <v>47</v>
      </c>
      <c r="Q530" s="30" t="s">
        <v>84</v>
      </c>
      <c r="R530" s="25" t="n">
        <f aca="false">L530*M530*(1-N530)</f>
        <v>339</v>
      </c>
    </row>
    <row r="531" customFormat="false" ht="15" hidden="false" customHeight="false" outlineLevel="0" collapsed="false">
      <c r="A531" s="30" t="s">
        <v>702</v>
      </c>
      <c r="B531" s="44" t="n">
        <v>45486</v>
      </c>
      <c r="C531" s="19" t="n">
        <f aca="false">YEAR(B531)</f>
        <v>2024</v>
      </c>
      <c r="D531" s="19" t="n">
        <f aca="false">MONTH(B531)</f>
        <v>7</v>
      </c>
      <c r="E531" s="30" t="str">
        <f aca="false">INDEX(Lists!$K$2:$K$13,MATCH(D531,Lists!$J$2:$J$13,0))</f>
        <v>يوليو</v>
      </c>
      <c r="F531" s="19" t="str">
        <f aca="false">"Q"&amp;ROUNDUP(D531/3,0)</f>
        <v>Q3</v>
      </c>
      <c r="G531" s="30" t="str">
        <f aca="false">INDEX(Lists!$N$2:$N$8,MATCH(WEEKDAY(B531,2),Lists!$M$2:$M$8,0))</f>
        <v>السبت</v>
      </c>
      <c r="H531" s="30" t="s">
        <v>50</v>
      </c>
      <c r="I531" s="19" t="str">
        <f aca="false">INDEX(Lists!$B$2:$B$6,MATCH(H531,Lists!$A$2:$A$6,0))</f>
        <v>المنطقة الغربية</v>
      </c>
      <c r="J531" s="30" t="s">
        <v>105</v>
      </c>
      <c r="K531" s="30" t="s">
        <v>79</v>
      </c>
      <c r="L531" s="31" t="n">
        <v>1679</v>
      </c>
      <c r="M531" s="19" t="n">
        <v>2</v>
      </c>
      <c r="N531" s="32" t="n">
        <v>0</v>
      </c>
      <c r="O531" s="30" t="s">
        <v>52</v>
      </c>
      <c r="P531" s="30" t="s">
        <v>51</v>
      </c>
      <c r="Q531" s="30" t="s">
        <v>94</v>
      </c>
      <c r="R531" s="25" t="n">
        <f aca="false">L531*M531*(1-N531)</f>
        <v>3358</v>
      </c>
    </row>
    <row r="532" customFormat="false" ht="15" hidden="false" customHeight="false" outlineLevel="0" collapsed="false">
      <c r="A532" s="30" t="s">
        <v>703</v>
      </c>
      <c r="B532" s="44" t="n">
        <v>45487</v>
      </c>
      <c r="C532" s="19" t="n">
        <f aca="false">YEAR(B532)</f>
        <v>2024</v>
      </c>
      <c r="D532" s="19" t="n">
        <f aca="false">MONTH(B532)</f>
        <v>7</v>
      </c>
      <c r="E532" s="30" t="str">
        <f aca="false">INDEX(Lists!$K$2:$K$13,MATCH(D532,Lists!$J$2:$J$13,0))</f>
        <v>يوليو</v>
      </c>
      <c r="F532" s="19" t="str">
        <f aca="false">"Q"&amp;ROUNDUP(D532/3,0)</f>
        <v>Q3</v>
      </c>
      <c r="G532" s="30" t="str">
        <f aca="false">INDEX(Lists!$N$2:$N$8,MATCH(WEEKDAY(B532,2),Lists!$M$2:$M$8,0))</f>
        <v>الأحد</v>
      </c>
      <c r="H532" s="30" t="s">
        <v>60</v>
      </c>
      <c r="I532" s="19" t="str">
        <f aca="false">INDEX(Lists!$B$2:$B$6,MATCH(H532,Lists!$A$2:$A$6,0))</f>
        <v>المنطقة الغربية</v>
      </c>
      <c r="J532" s="30" t="s">
        <v>105</v>
      </c>
      <c r="K532" s="30" t="s">
        <v>85</v>
      </c>
      <c r="L532" s="31" t="n">
        <v>3289</v>
      </c>
      <c r="M532" s="19" t="n">
        <v>1</v>
      </c>
      <c r="N532" s="32" t="n">
        <v>0.1</v>
      </c>
      <c r="O532" s="30" t="s">
        <v>48</v>
      </c>
      <c r="P532" s="30" t="s">
        <v>47</v>
      </c>
      <c r="Q532" s="30" t="s">
        <v>96</v>
      </c>
      <c r="R532" s="25" t="n">
        <f aca="false">L532*M532*(1-N532)</f>
        <v>2960.1</v>
      </c>
    </row>
    <row r="533" customFormat="false" ht="15" hidden="false" customHeight="false" outlineLevel="0" collapsed="false">
      <c r="A533" s="30" t="s">
        <v>704</v>
      </c>
      <c r="B533" s="44" t="n">
        <v>45487</v>
      </c>
      <c r="C533" s="19" t="n">
        <f aca="false">YEAR(B533)</f>
        <v>2024</v>
      </c>
      <c r="D533" s="19" t="n">
        <f aca="false">MONTH(B533)</f>
        <v>7</v>
      </c>
      <c r="E533" s="30" t="str">
        <f aca="false">INDEX(Lists!$K$2:$K$13,MATCH(D533,Lists!$J$2:$J$13,0))</f>
        <v>يوليو</v>
      </c>
      <c r="F533" s="19" t="str">
        <f aca="false">"Q"&amp;ROUNDUP(D533/3,0)</f>
        <v>Q3</v>
      </c>
      <c r="G533" s="30" t="str">
        <f aca="false">INDEX(Lists!$N$2:$N$8,MATCH(WEEKDAY(B533,2),Lists!$M$2:$M$8,0))</f>
        <v>الأحد</v>
      </c>
      <c r="H533" s="30" t="s">
        <v>50</v>
      </c>
      <c r="I533" s="19" t="str">
        <f aca="false">INDEX(Lists!$B$2:$B$6,MATCH(H533,Lists!$A$2:$A$6,0))</f>
        <v>المنطقة الغربية</v>
      </c>
      <c r="J533" s="30" t="s">
        <v>113</v>
      </c>
      <c r="K533" s="30" t="s">
        <v>97</v>
      </c>
      <c r="L533" s="31" t="n">
        <v>79</v>
      </c>
      <c r="M533" s="19" t="n">
        <v>1</v>
      </c>
      <c r="N533" s="32" t="n">
        <v>0</v>
      </c>
      <c r="O533" s="30" t="s">
        <v>52</v>
      </c>
      <c r="P533" s="30" t="s">
        <v>47</v>
      </c>
      <c r="Q533" s="30" t="s">
        <v>96</v>
      </c>
      <c r="R533" s="25" t="n">
        <f aca="false">L533*M533*(1-N533)</f>
        <v>79</v>
      </c>
    </row>
    <row r="534" customFormat="false" ht="15" hidden="false" customHeight="false" outlineLevel="0" collapsed="false">
      <c r="A534" s="30" t="s">
        <v>705</v>
      </c>
      <c r="B534" s="44" t="n">
        <v>45487</v>
      </c>
      <c r="C534" s="19" t="n">
        <f aca="false">YEAR(B534)</f>
        <v>2024</v>
      </c>
      <c r="D534" s="19" t="n">
        <f aca="false">MONTH(B534)</f>
        <v>7</v>
      </c>
      <c r="E534" s="30" t="str">
        <f aca="false">INDEX(Lists!$K$2:$K$13,MATCH(D534,Lists!$J$2:$J$13,0))</f>
        <v>يوليو</v>
      </c>
      <c r="F534" s="19" t="str">
        <f aca="false">"Q"&amp;ROUNDUP(D534/3,0)</f>
        <v>Q3</v>
      </c>
      <c r="G534" s="30" t="str">
        <f aca="false">INDEX(Lists!$N$2:$N$8,MATCH(WEEKDAY(B534,2),Lists!$M$2:$M$8,0))</f>
        <v>الأحد</v>
      </c>
      <c r="H534" s="30" t="s">
        <v>50</v>
      </c>
      <c r="I534" s="19" t="str">
        <f aca="false">INDEX(Lists!$B$2:$B$6,MATCH(H534,Lists!$A$2:$A$6,0))</f>
        <v>المنطقة الغربية</v>
      </c>
      <c r="J534" s="30" t="s">
        <v>113</v>
      </c>
      <c r="K534" s="30" t="s">
        <v>97</v>
      </c>
      <c r="L534" s="31" t="n">
        <v>109</v>
      </c>
      <c r="M534" s="19" t="n">
        <v>1</v>
      </c>
      <c r="N534" s="32" t="n">
        <v>0.05</v>
      </c>
      <c r="O534" s="30" t="s">
        <v>48</v>
      </c>
      <c r="P534" s="30" t="s">
        <v>47</v>
      </c>
      <c r="Q534" s="30" t="s">
        <v>92</v>
      </c>
      <c r="R534" s="25" t="n">
        <f aca="false">L534*M534*(1-N534)</f>
        <v>103.55</v>
      </c>
    </row>
    <row r="535" customFormat="false" ht="15" hidden="false" customHeight="false" outlineLevel="0" collapsed="false">
      <c r="A535" s="30" t="s">
        <v>706</v>
      </c>
      <c r="B535" s="44" t="n">
        <v>45488</v>
      </c>
      <c r="C535" s="19" t="n">
        <f aca="false">YEAR(B535)</f>
        <v>2024</v>
      </c>
      <c r="D535" s="19" t="n">
        <f aca="false">MONTH(B535)</f>
        <v>7</v>
      </c>
      <c r="E535" s="30" t="str">
        <f aca="false">INDEX(Lists!$K$2:$K$13,MATCH(D535,Lists!$J$2:$J$13,0))</f>
        <v>يوليو</v>
      </c>
      <c r="F535" s="19" t="str">
        <f aca="false">"Q"&amp;ROUNDUP(D535/3,0)</f>
        <v>Q3</v>
      </c>
      <c r="G535" s="30" t="str">
        <f aca="false">INDEX(Lists!$N$2:$N$8,MATCH(WEEKDAY(B535,2),Lists!$M$2:$M$8,0))</f>
        <v>الإثنين</v>
      </c>
      <c r="H535" s="30" t="s">
        <v>50</v>
      </c>
      <c r="I535" s="19" t="str">
        <f aca="false">INDEX(Lists!$B$2:$B$6,MATCH(H535,Lists!$A$2:$A$6,0))</f>
        <v>المنطقة الغربية</v>
      </c>
      <c r="J535" s="30" t="s">
        <v>105</v>
      </c>
      <c r="K535" s="30" t="s">
        <v>79</v>
      </c>
      <c r="L535" s="31" t="n">
        <v>4329</v>
      </c>
      <c r="M535" s="19" t="n">
        <v>1</v>
      </c>
      <c r="N535" s="32" t="n">
        <v>0</v>
      </c>
      <c r="O535" s="30" t="s">
        <v>48</v>
      </c>
      <c r="P535" s="30" t="s">
        <v>47</v>
      </c>
      <c r="Q535" s="30" t="s">
        <v>84</v>
      </c>
      <c r="R535" s="25" t="n">
        <f aca="false">L535*M535*(1-N535)</f>
        <v>4329</v>
      </c>
    </row>
    <row r="536" customFormat="false" ht="15" hidden="false" customHeight="false" outlineLevel="0" collapsed="false">
      <c r="A536" s="30" t="s">
        <v>707</v>
      </c>
      <c r="B536" s="44" t="n">
        <v>45488</v>
      </c>
      <c r="C536" s="19" t="n">
        <f aca="false">YEAR(B536)</f>
        <v>2024</v>
      </c>
      <c r="D536" s="19" t="n">
        <f aca="false">MONTH(B536)</f>
        <v>7</v>
      </c>
      <c r="E536" s="30" t="str">
        <f aca="false">INDEX(Lists!$K$2:$K$13,MATCH(D536,Lists!$J$2:$J$13,0))</f>
        <v>يوليو</v>
      </c>
      <c r="F536" s="19" t="str">
        <f aca="false">"Q"&amp;ROUNDUP(D536/3,0)</f>
        <v>Q3</v>
      </c>
      <c r="G536" s="30" t="str">
        <f aca="false">INDEX(Lists!$N$2:$N$8,MATCH(WEEKDAY(B536,2),Lists!$M$2:$M$8,0))</f>
        <v>الإثنين</v>
      </c>
      <c r="H536" s="30" t="s">
        <v>57</v>
      </c>
      <c r="I536" s="19" t="str">
        <f aca="false">INDEX(Lists!$B$2:$B$6,MATCH(H536,Lists!$A$2:$A$6,0))</f>
        <v>المنطقة الغربية</v>
      </c>
      <c r="J536" s="30" t="s">
        <v>111</v>
      </c>
      <c r="K536" s="30" t="s">
        <v>122</v>
      </c>
      <c r="L536" s="31" t="n">
        <v>289</v>
      </c>
      <c r="M536" s="19" t="n">
        <v>1</v>
      </c>
      <c r="N536" s="32" t="n">
        <v>0.05</v>
      </c>
      <c r="O536" s="30" t="s">
        <v>48</v>
      </c>
      <c r="P536" s="30" t="s">
        <v>47</v>
      </c>
      <c r="Q536" s="30" t="s">
        <v>92</v>
      </c>
      <c r="R536" s="25" t="n">
        <f aca="false">L536*M536*(1-N536)</f>
        <v>274.55</v>
      </c>
    </row>
    <row r="537" customFormat="false" ht="15" hidden="false" customHeight="false" outlineLevel="0" collapsed="false">
      <c r="A537" s="30" t="s">
        <v>708</v>
      </c>
      <c r="B537" s="44" t="n">
        <v>45488</v>
      </c>
      <c r="C537" s="19" t="n">
        <f aca="false">YEAR(B537)</f>
        <v>2024</v>
      </c>
      <c r="D537" s="19" t="n">
        <f aca="false">MONTH(B537)</f>
        <v>7</v>
      </c>
      <c r="E537" s="30" t="str">
        <f aca="false">INDEX(Lists!$K$2:$K$13,MATCH(D537,Lists!$J$2:$J$13,0))</f>
        <v>يوليو</v>
      </c>
      <c r="F537" s="19" t="str">
        <f aca="false">"Q"&amp;ROUNDUP(D537/3,0)</f>
        <v>Q3</v>
      </c>
      <c r="G537" s="30" t="str">
        <f aca="false">INDEX(Lists!$N$2:$N$8,MATCH(WEEKDAY(B537,2),Lists!$M$2:$M$8,0))</f>
        <v>الإثنين</v>
      </c>
      <c r="H537" s="30" t="s">
        <v>50</v>
      </c>
      <c r="I537" s="19" t="str">
        <f aca="false">INDEX(Lists!$B$2:$B$6,MATCH(H537,Lists!$A$2:$A$6,0))</f>
        <v>المنطقة الغربية</v>
      </c>
      <c r="J537" s="30" t="s">
        <v>105</v>
      </c>
      <c r="K537" s="30" t="s">
        <v>85</v>
      </c>
      <c r="L537" s="31" t="n">
        <v>1939</v>
      </c>
      <c r="M537" s="19" t="n">
        <v>3</v>
      </c>
      <c r="N537" s="32" t="n">
        <v>0</v>
      </c>
      <c r="O537" s="30" t="s">
        <v>52</v>
      </c>
      <c r="P537" s="30" t="s">
        <v>51</v>
      </c>
      <c r="Q537" s="30" t="s">
        <v>81</v>
      </c>
      <c r="R537" s="25" t="n">
        <f aca="false">L537*M537*(1-N537)</f>
        <v>5817</v>
      </c>
    </row>
    <row r="538" customFormat="false" ht="15" hidden="false" customHeight="false" outlineLevel="0" collapsed="false">
      <c r="A538" s="30" t="s">
        <v>709</v>
      </c>
      <c r="B538" s="44" t="n">
        <v>45488</v>
      </c>
      <c r="C538" s="19" t="n">
        <f aca="false">YEAR(B538)</f>
        <v>2024</v>
      </c>
      <c r="D538" s="19" t="n">
        <f aca="false">MONTH(B538)</f>
        <v>7</v>
      </c>
      <c r="E538" s="30" t="str">
        <f aca="false">INDEX(Lists!$K$2:$K$13,MATCH(D538,Lists!$J$2:$J$13,0))</f>
        <v>يوليو</v>
      </c>
      <c r="F538" s="19" t="str">
        <f aca="false">"Q"&amp;ROUNDUP(D538/3,0)</f>
        <v>Q3</v>
      </c>
      <c r="G538" s="30" t="str">
        <f aca="false">INDEX(Lists!$N$2:$N$8,MATCH(WEEKDAY(B538,2),Lists!$M$2:$M$8,0))</f>
        <v>الإثنين</v>
      </c>
      <c r="H538" s="30" t="s">
        <v>60</v>
      </c>
      <c r="I538" s="19" t="str">
        <f aca="false">INDEX(Lists!$B$2:$B$6,MATCH(H538,Lists!$A$2:$A$6,0))</f>
        <v>المنطقة الغربية</v>
      </c>
      <c r="J538" s="30" t="s">
        <v>111</v>
      </c>
      <c r="K538" s="30" t="s">
        <v>108</v>
      </c>
      <c r="L538" s="31" t="n">
        <v>89</v>
      </c>
      <c r="M538" s="19" t="n">
        <v>1</v>
      </c>
      <c r="N538" s="32" t="n">
        <v>0</v>
      </c>
      <c r="O538" s="30" t="s">
        <v>48</v>
      </c>
      <c r="P538" s="30" t="s">
        <v>47</v>
      </c>
      <c r="Q538" s="30" t="s">
        <v>86</v>
      </c>
      <c r="R538" s="25" t="n">
        <f aca="false">L538*M538*(1-N538)</f>
        <v>89</v>
      </c>
    </row>
    <row r="539" customFormat="false" ht="15" hidden="false" customHeight="false" outlineLevel="0" collapsed="false">
      <c r="A539" s="30" t="s">
        <v>710</v>
      </c>
      <c r="B539" s="44" t="n">
        <v>45489</v>
      </c>
      <c r="C539" s="19" t="n">
        <f aca="false">YEAR(B539)</f>
        <v>2024</v>
      </c>
      <c r="D539" s="19" t="n">
        <f aca="false">MONTH(B539)</f>
        <v>7</v>
      </c>
      <c r="E539" s="30" t="str">
        <f aca="false">INDEX(Lists!$K$2:$K$13,MATCH(D539,Lists!$J$2:$J$13,0))</f>
        <v>يوليو</v>
      </c>
      <c r="F539" s="19" t="str">
        <f aca="false">"Q"&amp;ROUNDUP(D539/3,0)</f>
        <v>Q3</v>
      </c>
      <c r="G539" s="30" t="str">
        <f aca="false">INDEX(Lists!$N$2:$N$8,MATCH(WEEKDAY(B539,2),Lists!$M$2:$M$8,0))</f>
        <v>الثلاثاء</v>
      </c>
      <c r="H539" s="30" t="s">
        <v>60</v>
      </c>
      <c r="I539" s="19" t="str">
        <f aca="false">INDEX(Lists!$B$2:$B$6,MATCH(H539,Lists!$A$2:$A$6,0))</f>
        <v>المنطقة الغربية</v>
      </c>
      <c r="J539" s="30" t="s">
        <v>105</v>
      </c>
      <c r="K539" s="30" t="s">
        <v>79</v>
      </c>
      <c r="L539" s="31" t="n">
        <v>2319</v>
      </c>
      <c r="M539" s="19" t="n">
        <v>8</v>
      </c>
      <c r="N539" s="32" t="n">
        <v>0.05</v>
      </c>
      <c r="O539" s="30" t="s">
        <v>55</v>
      </c>
      <c r="P539" s="30" t="s">
        <v>51</v>
      </c>
      <c r="Q539" s="30" t="s">
        <v>86</v>
      </c>
      <c r="R539" s="25" t="n">
        <f aca="false">L539*M539*(1-N539)</f>
        <v>17624.4</v>
      </c>
    </row>
    <row r="540" customFormat="false" ht="15" hidden="false" customHeight="false" outlineLevel="0" collapsed="false">
      <c r="A540" s="30" t="s">
        <v>711</v>
      </c>
      <c r="B540" s="44" t="n">
        <v>45489</v>
      </c>
      <c r="C540" s="19" t="n">
        <f aca="false">YEAR(B540)</f>
        <v>2024</v>
      </c>
      <c r="D540" s="19" t="n">
        <f aca="false">MONTH(B540)</f>
        <v>7</v>
      </c>
      <c r="E540" s="30" t="str">
        <f aca="false">INDEX(Lists!$K$2:$K$13,MATCH(D540,Lists!$J$2:$J$13,0))</f>
        <v>يوليو</v>
      </c>
      <c r="F540" s="19" t="str">
        <f aca="false">"Q"&amp;ROUNDUP(D540/3,0)</f>
        <v>Q3</v>
      </c>
      <c r="G540" s="30" t="str">
        <f aca="false">INDEX(Lists!$N$2:$N$8,MATCH(WEEKDAY(B540,2),Lists!$M$2:$M$8,0))</f>
        <v>الثلاثاء</v>
      </c>
      <c r="H540" s="30" t="s">
        <v>46</v>
      </c>
      <c r="I540" s="19" t="str">
        <f aca="false">INDEX(Lists!$B$2:$B$6,MATCH(H540,Lists!$A$2:$A$6,0))</f>
        <v>المنطقة الوسطى</v>
      </c>
      <c r="J540" s="30" t="s">
        <v>109</v>
      </c>
      <c r="K540" s="30" t="s">
        <v>192</v>
      </c>
      <c r="L540" s="31" t="n">
        <v>169</v>
      </c>
      <c r="M540" s="19" t="n">
        <v>2</v>
      </c>
      <c r="N540" s="32" t="n">
        <v>0</v>
      </c>
      <c r="O540" s="30" t="s">
        <v>48</v>
      </c>
      <c r="P540" s="30" t="s">
        <v>51</v>
      </c>
      <c r="Q540" s="30" t="s">
        <v>92</v>
      </c>
      <c r="R540" s="25" t="n">
        <f aca="false">L540*M540*(1-N540)</f>
        <v>338</v>
      </c>
    </row>
    <row r="541" customFormat="false" ht="15" hidden="false" customHeight="false" outlineLevel="0" collapsed="false">
      <c r="A541" s="30" t="s">
        <v>712</v>
      </c>
      <c r="B541" s="44" t="n">
        <v>45489</v>
      </c>
      <c r="C541" s="19" t="n">
        <f aca="false">YEAR(B541)</f>
        <v>2024</v>
      </c>
      <c r="D541" s="19" t="n">
        <f aca="false">MONTH(B541)</f>
        <v>7</v>
      </c>
      <c r="E541" s="30" t="str">
        <f aca="false">INDEX(Lists!$K$2:$K$13,MATCH(D541,Lists!$J$2:$J$13,0))</f>
        <v>يوليو</v>
      </c>
      <c r="F541" s="19" t="str">
        <f aca="false">"Q"&amp;ROUNDUP(D541/3,0)</f>
        <v>Q3</v>
      </c>
      <c r="G541" s="30" t="str">
        <f aca="false">INDEX(Lists!$N$2:$N$8,MATCH(WEEKDAY(B541,2),Lists!$M$2:$M$8,0))</f>
        <v>الثلاثاء</v>
      </c>
      <c r="H541" s="30" t="s">
        <v>50</v>
      </c>
      <c r="I541" s="19" t="str">
        <f aca="false">INDEX(Lists!$B$2:$B$6,MATCH(H541,Lists!$A$2:$A$6,0))</f>
        <v>المنطقة الغربية</v>
      </c>
      <c r="J541" s="30" t="s">
        <v>109</v>
      </c>
      <c r="K541" s="30" t="s">
        <v>175</v>
      </c>
      <c r="L541" s="31" t="n">
        <v>249</v>
      </c>
      <c r="M541" s="19" t="n">
        <v>1</v>
      </c>
      <c r="N541" s="32" t="n">
        <v>0.1</v>
      </c>
      <c r="O541" s="30" t="s">
        <v>52</v>
      </c>
      <c r="P541" s="30" t="s">
        <v>47</v>
      </c>
      <c r="Q541" s="30" t="s">
        <v>81</v>
      </c>
      <c r="R541" s="25" t="n">
        <f aca="false">L541*M541*(1-N541)</f>
        <v>224.1</v>
      </c>
    </row>
    <row r="542" customFormat="false" ht="15" hidden="false" customHeight="false" outlineLevel="0" collapsed="false">
      <c r="A542" s="30" t="s">
        <v>713</v>
      </c>
      <c r="B542" s="44" t="n">
        <v>45490</v>
      </c>
      <c r="C542" s="19" t="n">
        <f aca="false">YEAR(B542)</f>
        <v>2024</v>
      </c>
      <c r="D542" s="19" t="n">
        <f aca="false">MONTH(B542)</f>
        <v>7</v>
      </c>
      <c r="E542" s="30" t="str">
        <f aca="false">INDEX(Lists!$K$2:$K$13,MATCH(D542,Lists!$J$2:$J$13,0))</f>
        <v>يوليو</v>
      </c>
      <c r="F542" s="19" t="str">
        <f aca="false">"Q"&amp;ROUNDUP(D542/3,0)</f>
        <v>Q3</v>
      </c>
      <c r="G542" s="30" t="str">
        <f aca="false">INDEX(Lists!$N$2:$N$8,MATCH(WEEKDAY(B542,2),Lists!$M$2:$M$8,0))</f>
        <v>الأربعاء</v>
      </c>
      <c r="H542" s="30" t="s">
        <v>46</v>
      </c>
      <c r="I542" s="19" t="str">
        <f aca="false">INDEX(Lists!$B$2:$B$6,MATCH(H542,Lists!$A$2:$A$6,0))</f>
        <v>المنطقة الوسطى</v>
      </c>
      <c r="J542" s="30" t="s">
        <v>107</v>
      </c>
      <c r="K542" s="30" t="s">
        <v>114</v>
      </c>
      <c r="L542" s="31" t="n">
        <v>3799</v>
      </c>
      <c r="M542" s="19" t="n">
        <v>2</v>
      </c>
      <c r="N542" s="32" t="n">
        <v>0</v>
      </c>
      <c r="O542" s="30" t="s">
        <v>48</v>
      </c>
      <c r="P542" s="30" t="s">
        <v>47</v>
      </c>
      <c r="Q542" s="30" t="s">
        <v>99</v>
      </c>
      <c r="R542" s="25" t="n">
        <f aca="false">L542*M542*(1-N542)</f>
        <v>7598</v>
      </c>
    </row>
    <row r="543" customFormat="false" ht="15" hidden="false" customHeight="false" outlineLevel="0" collapsed="false">
      <c r="A543" s="30" t="s">
        <v>714</v>
      </c>
      <c r="B543" s="44" t="n">
        <v>45490</v>
      </c>
      <c r="C543" s="19" t="n">
        <f aca="false">YEAR(B543)</f>
        <v>2024</v>
      </c>
      <c r="D543" s="19" t="n">
        <f aca="false">MONTH(B543)</f>
        <v>7</v>
      </c>
      <c r="E543" s="30" t="str">
        <f aca="false">INDEX(Lists!$K$2:$K$13,MATCH(D543,Lists!$J$2:$J$13,0))</f>
        <v>يوليو</v>
      </c>
      <c r="F543" s="19" t="str">
        <f aca="false">"Q"&amp;ROUNDUP(D543/3,0)</f>
        <v>Q3</v>
      </c>
      <c r="G543" s="30" t="str">
        <f aca="false">INDEX(Lists!$N$2:$N$8,MATCH(WEEKDAY(B543,2),Lists!$M$2:$M$8,0))</f>
        <v>الأربعاء</v>
      </c>
      <c r="H543" s="30" t="s">
        <v>46</v>
      </c>
      <c r="I543" s="19" t="str">
        <f aca="false">INDEX(Lists!$B$2:$B$6,MATCH(H543,Lists!$A$2:$A$6,0))</f>
        <v>المنطقة الوسطى</v>
      </c>
      <c r="J543" s="30" t="s">
        <v>105</v>
      </c>
      <c r="K543" s="30" t="s">
        <v>85</v>
      </c>
      <c r="L543" s="31" t="n">
        <v>4249</v>
      </c>
      <c r="M543" s="19" t="n">
        <v>1</v>
      </c>
      <c r="N543" s="32" t="n">
        <v>0</v>
      </c>
      <c r="O543" s="30" t="s">
        <v>58</v>
      </c>
      <c r="P543" s="30" t="s">
        <v>47</v>
      </c>
      <c r="Q543" s="30" t="s">
        <v>96</v>
      </c>
      <c r="R543" s="25" t="n">
        <f aca="false">L543*M543*(1-N543)</f>
        <v>4249</v>
      </c>
    </row>
    <row r="544" customFormat="false" ht="15" hidden="false" customHeight="false" outlineLevel="0" collapsed="false">
      <c r="A544" s="30" t="s">
        <v>715</v>
      </c>
      <c r="B544" s="44" t="n">
        <v>45491</v>
      </c>
      <c r="C544" s="19" t="n">
        <f aca="false">YEAR(B544)</f>
        <v>2024</v>
      </c>
      <c r="D544" s="19" t="n">
        <f aca="false">MONTH(B544)</f>
        <v>7</v>
      </c>
      <c r="E544" s="30" t="str">
        <f aca="false">INDEX(Lists!$K$2:$K$13,MATCH(D544,Lists!$J$2:$J$13,0))</f>
        <v>يوليو</v>
      </c>
      <c r="F544" s="19" t="str">
        <f aca="false">"Q"&amp;ROUNDUP(D544/3,0)</f>
        <v>Q3</v>
      </c>
      <c r="G544" s="30" t="str">
        <f aca="false">INDEX(Lists!$N$2:$N$8,MATCH(WEEKDAY(B544,2),Lists!$M$2:$M$8,0))</f>
        <v>الخميس</v>
      </c>
      <c r="H544" s="30" t="s">
        <v>54</v>
      </c>
      <c r="I544" s="19" t="str">
        <f aca="false">INDEX(Lists!$B$2:$B$6,MATCH(H544,Lists!$A$2:$A$6,0))</f>
        <v>المنطقة الشرقية</v>
      </c>
      <c r="J544" s="30" t="s">
        <v>109</v>
      </c>
      <c r="K544" s="30" t="s">
        <v>192</v>
      </c>
      <c r="L544" s="31" t="n">
        <v>239</v>
      </c>
      <c r="M544" s="19" t="n">
        <v>1</v>
      </c>
      <c r="N544" s="32" t="n">
        <v>0.05</v>
      </c>
      <c r="O544" s="30" t="s">
        <v>52</v>
      </c>
      <c r="P544" s="30" t="s">
        <v>47</v>
      </c>
      <c r="Q544" s="30" t="s">
        <v>84</v>
      </c>
      <c r="R544" s="25" t="n">
        <f aca="false">L544*M544*(1-N544)</f>
        <v>227.05</v>
      </c>
    </row>
    <row r="545" customFormat="false" ht="15" hidden="false" customHeight="false" outlineLevel="0" collapsed="false">
      <c r="A545" s="30" t="s">
        <v>716</v>
      </c>
      <c r="B545" s="44" t="n">
        <v>45491</v>
      </c>
      <c r="C545" s="19" t="n">
        <f aca="false">YEAR(B545)</f>
        <v>2024</v>
      </c>
      <c r="D545" s="19" t="n">
        <f aca="false">MONTH(B545)</f>
        <v>7</v>
      </c>
      <c r="E545" s="30" t="str">
        <f aca="false">INDEX(Lists!$K$2:$K$13,MATCH(D545,Lists!$J$2:$J$13,0))</f>
        <v>يوليو</v>
      </c>
      <c r="F545" s="19" t="str">
        <f aca="false">"Q"&amp;ROUNDUP(D545/3,0)</f>
        <v>Q3</v>
      </c>
      <c r="G545" s="30" t="str">
        <f aca="false">INDEX(Lists!$N$2:$N$8,MATCH(WEEKDAY(B545,2),Lists!$M$2:$M$8,0))</f>
        <v>الخميس</v>
      </c>
      <c r="H545" s="30" t="s">
        <v>57</v>
      </c>
      <c r="I545" s="19" t="str">
        <f aca="false">INDEX(Lists!$B$2:$B$6,MATCH(H545,Lists!$A$2:$A$6,0))</f>
        <v>المنطقة الغربية</v>
      </c>
      <c r="J545" s="30" t="s">
        <v>109</v>
      </c>
      <c r="K545" s="30" t="s">
        <v>192</v>
      </c>
      <c r="L545" s="31" t="n">
        <v>279</v>
      </c>
      <c r="M545" s="19" t="n">
        <v>1</v>
      </c>
      <c r="N545" s="32" t="n">
        <v>0</v>
      </c>
      <c r="O545" s="30" t="s">
        <v>48</v>
      </c>
      <c r="P545" s="30" t="s">
        <v>47</v>
      </c>
      <c r="Q545" s="30" t="s">
        <v>86</v>
      </c>
      <c r="R545" s="25" t="n">
        <f aca="false">L545*M545*(1-N545)</f>
        <v>279</v>
      </c>
    </row>
    <row r="546" customFormat="false" ht="15" hidden="false" customHeight="false" outlineLevel="0" collapsed="false">
      <c r="A546" s="30" t="s">
        <v>717</v>
      </c>
      <c r="B546" s="44" t="n">
        <v>45492</v>
      </c>
      <c r="C546" s="19" t="n">
        <f aca="false">YEAR(B546)</f>
        <v>2024</v>
      </c>
      <c r="D546" s="19" t="n">
        <f aca="false">MONTH(B546)</f>
        <v>7</v>
      </c>
      <c r="E546" s="30" t="str">
        <f aca="false">INDEX(Lists!$K$2:$K$13,MATCH(D546,Lists!$J$2:$J$13,0))</f>
        <v>يوليو</v>
      </c>
      <c r="F546" s="19" t="str">
        <f aca="false">"Q"&amp;ROUNDUP(D546/3,0)</f>
        <v>Q3</v>
      </c>
      <c r="G546" s="30" t="str">
        <f aca="false">INDEX(Lists!$N$2:$N$8,MATCH(WEEKDAY(B546,2),Lists!$M$2:$M$8,0))</f>
        <v>الجمعة</v>
      </c>
      <c r="H546" s="30" t="s">
        <v>57</v>
      </c>
      <c r="I546" s="19" t="str">
        <f aca="false">INDEX(Lists!$B$2:$B$6,MATCH(H546,Lists!$A$2:$A$6,0))</f>
        <v>المنطقة الغربية</v>
      </c>
      <c r="J546" s="30" t="s">
        <v>105</v>
      </c>
      <c r="K546" s="30" t="s">
        <v>85</v>
      </c>
      <c r="L546" s="31" t="n">
        <v>3039</v>
      </c>
      <c r="M546" s="19" t="n">
        <v>2</v>
      </c>
      <c r="N546" s="32" t="n">
        <v>0</v>
      </c>
      <c r="O546" s="30" t="s">
        <v>52</v>
      </c>
      <c r="P546" s="30" t="s">
        <v>47</v>
      </c>
      <c r="Q546" s="30" t="s">
        <v>89</v>
      </c>
      <c r="R546" s="25" t="n">
        <f aca="false">L546*M546*(1-N546)</f>
        <v>6078</v>
      </c>
    </row>
    <row r="547" customFormat="false" ht="15" hidden="false" customHeight="false" outlineLevel="0" collapsed="false">
      <c r="A547" s="30" t="s">
        <v>718</v>
      </c>
      <c r="B547" s="44" t="n">
        <v>45492</v>
      </c>
      <c r="C547" s="19" t="n">
        <f aca="false">YEAR(B547)</f>
        <v>2024</v>
      </c>
      <c r="D547" s="19" t="n">
        <f aca="false">MONTH(B547)</f>
        <v>7</v>
      </c>
      <c r="E547" s="30" t="str">
        <f aca="false">INDEX(Lists!$K$2:$K$13,MATCH(D547,Lists!$J$2:$J$13,0))</f>
        <v>يوليو</v>
      </c>
      <c r="F547" s="19" t="str">
        <f aca="false">"Q"&amp;ROUNDUP(D547/3,0)</f>
        <v>Q3</v>
      </c>
      <c r="G547" s="30" t="str">
        <f aca="false">INDEX(Lists!$N$2:$N$8,MATCH(WEEKDAY(B547,2),Lists!$M$2:$M$8,0))</f>
        <v>الجمعة</v>
      </c>
      <c r="H547" s="30" t="s">
        <v>46</v>
      </c>
      <c r="I547" s="19" t="str">
        <f aca="false">INDEX(Lists!$B$2:$B$6,MATCH(H547,Lists!$A$2:$A$6,0))</f>
        <v>المنطقة الوسطى</v>
      </c>
      <c r="J547" s="30" t="s">
        <v>109</v>
      </c>
      <c r="K547" s="30" t="s">
        <v>93</v>
      </c>
      <c r="L547" s="31" t="n">
        <v>229</v>
      </c>
      <c r="M547" s="19" t="n">
        <v>2</v>
      </c>
      <c r="N547" s="32" t="n">
        <v>0</v>
      </c>
      <c r="O547" s="30" t="s">
        <v>55</v>
      </c>
      <c r="P547" s="30" t="s">
        <v>47</v>
      </c>
      <c r="Q547" s="30" t="s">
        <v>99</v>
      </c>
      <c r="R547" s="25" t="n">
        <f aca="false">L547*M547*(1-N547)</f>
        <v>458</v>
      </c>
    </row>
    <row r="548" customFormat="false" ht="15" hidden="false" customHeight="false" outlineLevel="0" collapsed="false">
      <c r="A548" s="30" t="s">
        <v>719</v>
      </c>
      <c r="B548" s="44" t="n">
        <v>45493</v>
      </c>
      <c r="C548" s="19" t="n">
        <f aca="false">YEAR(B548)</f>
        <v>2024</v>
      </c>
      <c r="D548" s="19" t="n">
        <f aca="false">MONTH(B548)</f>
        <v>7</v>
      </c>
      <c r="E548" s="30" t="str">
        <f aca="false">INDEX(Lists!$K$2:$K$13,MATCH(D548,Lists!$J$2:$J$13,0))</f>
        <v>يوليو</v>
      </c>
      <c r="F548" s="19" t="str">
        <f aca="false">"Q"&amp;ROUNDUP(D548/3,0)</f>
        <v>Q3</v>
      </c>
      <c r="G548" s="30" t="str">
        <f aca="false">INDEX(Lists!$N$2:$N$8,MATCH(WEEKDAY(B548,2),Lists!$M$2:$M$8,0))</f>
        <v>السبت</v>
      </c>
      <c r="H548" s="30" t="s">
        <v>57</v>
      </c>
      <c r="I548" s="19" t="str">
        <f aca="false">INDEX(Lists!$B$2:$B$6,MATCH(H548,Lists!$A$2:$A$6,0))</f>
        <v>المنطقة الغربية</v>
      </c>
      <c r="J548" s="30" t="s">
        <v>105</v>
      </c>
      <c r="K548" s="30" t="s">
        <v>79</v>
      </c>
      <c r="L548" s="31" t="n">
        <v>2929</v>
      </c>
      <c r="M548" s="19" t="n">
        <v>1</v>
      </c>
      <c r="N548" s="32" t="n">
        <v>0</v>
      </c>
      <c r="O548" s="30" t="s">
        <v>55</v>
      </c>
      <c r="P548" s="30" t="s">
        <v>47</v>
      </c>
      <c r="Q548" s="30" t="s">
        <v>86</v>
      </c>
      <c r="R548" s="25" t="n">
        <f aca="false">L548*M548*(1-N548)</f>
        <v>2929</v>
      </c>
    </row>
    <row r="549" customFormat="false" ht="15" hidden="false" customHeight="false" outlineLevel="0" collapsed="false">
      <c r="A549" s="30" t="s">
        <v>720</v>
      </c>
      <c r="B549" s="44" t="n">
        <v>45493</v>
      </c>
      <c r="C549" s="19" t="n">
        <f aca="false">YEAR(B549)</f>
        <v>2024</v>
      </c>
      <c r="D549" s="19" t="n">
        <f aca="false">MONTH(B549)</f>
        <v>7</v>
      </c>
      <c r="E549" s="30" t="str">
        <f aca="false">INDEX(Lists!$K$2:$K$13,MATCH(D549,Lists!$J$2:$J$13,0))</f>
        <v>يوليو</v>
      </c>
      <c r="F549" s="19" t="str">
        <f aca="false">"Q"&amp;ROUNDUP(D549/3,0)</f>
        <v>Q3</v>
      </c>
      <c r="G549" s="30" t="str">
        <f aca="false">INDEX(Lists!$N$2:$N$8,MATCH(WEEKDAY(B549,2),Lists!$M$2:$M$8,0))</f>
        <v>السبت</v>
      </c>
      <c r="H549" s="30" t="s">
        <v>60</v>
      </c>
      <c r="I549" s="19" t="str">
        <f aca="false">INDEX(Lists!$B$2:$B$6,MATCH(H549,Lists!$A$2:$A$6,0))</f>
        <v>المنطقة الغربية</v>
      </c>
      <c r="J549" s="30" t="s">
        <v>113</v>
      </c>
      <c r="K549" s="30" t="s">
        <v>121</v>
      </c>
      <c r="L549" s="31" t="n">
        <v>149</v>
      </c>
      <c r="M549" s="19" t="n">
        <v>1</v>
      </c>
      <c r="N549" s="32" t="n">
        <v>0.05</v>
      </c>
      <c r="O549" s="30" t="s">
        <v>48</v>
      </c>
      <c r="P549" s="30" t="s">
        <v>47</v>
      </c>
      <c r="Q549" s="30" t="s">
        <v>76</v>
      </c>
      <c r="R549" s="25" t="n">
        <f aca="false">L549*M549*(1-N549)</f>
        <v>141.55</v>
      </c>
    </row>
    <row r="550" customFormat="false" ht="15" hidden="false" customHeight="false" outlineLevel="0" collapsed="false">
      <c r="A550" s="30" t="s">
        <v>721</v>
      </c>
      <c r="B550" s="44" t="n">
        <v>45493</v>
      </c>
      <c r="C550" s="19" t="n">
        <f aca="false">YEAR(B550)</f>
        <v>2024</v>
      </c>
      <c r="D550" s="19" t="n">
        <f aca="false">MONTH(B550)</f>
        <v>7</v>
      </c>
      <c r="E550" s="30" t="str">
        <f aca="false">INDEX(Lists!$K$2:$K$13,MATCH(D550,Lists!$J$2:$J$13,0))</f>
        <v>يوليو</v>
      </c>
      <c r="F550" s="19" t="str">
        <f aca="false">"Q"&amp;ROUNDUP(D550/3,0)</f>
        <v>Q3</v>
      </c>
      <c r="G550" s="30" t="str">
        <f aca="false">INDEX(Lists!$N$2:$N$8,MATCH(WEEKDAY(B550,2),Lists!$M$2:$M$8,0))</f>
        <v>السبت</v>
      </c>
      <c r="H550" s="30" t="s">
        <v>57</v>
      </c>
      <c r="I550" s="19" t="str">
        <f aca="false">INDEX(Lists!$B$2:$B$6,MATCH(H550,Lists!$A$2:$A$6,0))</f>
        <v>المنطقة الغربية</v>
      </c>
      <c r="J550" s="30" t="s">
        <v>111</v>
      </c>
      <c r="K550" s="30" t="s">
        <v>122</v>
      </c>
      <c r="L550" s="31" t="n">
        <v>369</v>
      </c>
      <c r="M550" s="19" t="n">
        <v>1</v>
      </c>
      <c r="N550" s="32" t="n">
        <v>0</v>
      </c>
      <c r="O550" s="30" t="s">
        <v>52</v>
      </c>
      <c r="P550" s="30" t="s">
        <v>47</v>
      </c>
      <c r="Q550" s="30" t="s">
        <v>89</v>
      </c>
      <c r="R550" s="25" t="n">
        <f aca="false">L550*M550*(1-N550)</f>
        <v>369</v>
      </c>
    </row>
    <row r="551" customFormat="false" ht="15" hidden="false" customHeight="false" outlineLevel="0" collapsed="false">
      <c r="A551" s="30" t="s">
        <v>722</v>
      </c>
      <c r="B551" s="44" t="n">
        <v>45493</v>
      </c>
      <c r="C551" s="19" t="n">
        <f aca="false">YEAR(B551)</f>
        <v>2024</v>
      </c>
      <c r="D551" s="19" t="n">
        <f aca="false">MONTH(B551)</f>
        <v>7</v>
      </c>
      <c r="E551" s="30" t="str">
        <f aca="false">INDEX(Lists!$K$2:$K$13,MATCH(D551,Lists!$J$2:$J$13,0))</f>
        <v>يوليو</v>
      </c>
      <c r="F551" s="19" t="str">
        <f aca="false">"Q"&amp;ROUNDUP(D551/3,0)</f>
        <v>Q3</v>
      </c>
      <c r="G551" s="30" t="str">
        <f aca="false">INDEX(Lists!$N$2:$N$8,MATCH(WEEKDAY(B551,2),Lists!$M$2:$M$8,0))</f>
        <v>السبت</v>
      </c>
      <c r="H551" s="30" t="s">
        <v>54</v>
      </c>
      <c r="I551" s="19" t="str">
        <f aca="false">INDEX(Lists!$B$2:$B$6,MATCH(H551,Lists!$A$2:$A$6,0))</f>
        <v>المنطقة الشرقية</v>
      </c>
      <c r="J551" s="30" t="s">
        <v>105</v>
      </c>
      <c r="K551" s="30" t="s">
        <v>79</v>
      </c>
      <c r="L551" s="31" t="n">
        <v>4029</v>
      </c>
      <c r="M551" s="19" t="n">
        <v>4</v>
      </c>
      <c r="N551" s="32" t="n">
        <v>0.05</v>
      </c>
      <c r="O551" s="30" t="s">
        <v>58</v>
      </c>
      <c r="P551" s="30" t="s">
        <v>51</v>
      </c>
      <c r="Q551" s="30" t="s">
        <v>89</v>
      </c>
      <c r="R551" s="25" t="n">
        <f aca="false">L551*M551*(1-N551)</f>
        <v>15310.2</v>
      </c>
    </row>
    <row r="552" customFormat="false" ht="15" hidden="false" customHeight="false" outlineLevel="0" collapsed="false">
      <c r="A552" s="30" t="s">
        <v>723</v>
      </c>
      <c r="B552" s="44" t="n">
        <v>45494</v>
      </c>
      <c r="C552" s="19" t="n">
        <f aca="false">YEAR(B552)</f>
        <v>2024</v>
      </c>
      <c r="D552" s="19" t="n">
        <f aca="false">MONTH(B552)</f>
        <v>7</v>
      </c>
      <c r="E552" s="30" t="str">
        <f aca="false">INDEX(Lists!$K$2:$K$13,MATCH(D552,Lists!$J$2:$J$13,0))</f>
        <v>يوليو</v>
      </c>
      <c r="F552" s="19" t="str">
        <f aca="false">"Q"&amp;ROUNDUP(D552/3,0)</f>
        <v>Q3</v>
      </c>
      <c r="G552" s="30" t="str">
        <f aca="false">INDEX(Lists!$N$2:$N$8,MATCH(WEEKDAY(B552,2),Lists!$M$2:$M$8,0))</f>
        <v>الأحد</v>
      </c>
      <c r="H552" s="30" t="s">
        <v>54</v>
      </c>
      <c r="I552" s="19" t="str">
        <f aca="false">INDEX(Lists!$B$2:$B$6,MATCH(H552,Lists!$A$2:$A$6,0))</f>
        <v>المنطقة الشرقية</v>
      </c>
      <c r="J552" s="30" t="s">
        <v>109</v>
      </c>
      <c r="K552" s="30" t="s">
        <v>192</v>
      </c>
      <c r="L552" s="31" t="n">
        <v>289</v>
      </c>
      <c r="M552" s="19" t="n">
        <v>1</v>
      </c>
      <c r="N552" s="32" t="n">
        <v>0</v>
      </c>
      <c r="O552" s="30" t="s">
        <v>48</v>
      </c>
      <c r="P552" s="30" t="s">
        <v>47</v>
      </c>
      <c r="Q552" s="30" t="s">
        <v>94</v>
      </c>
      <c r="R552" s="25" t="n">
        <f aca="false">L552*M552*(1-N552)</f>
        <v>289</v>
      </c>
    </row>
    <row r="553" customFormat="false" ht="15" hidden="false" customHeight="false" outlineLevel="0" collapsed="false">
      <c r="A553" s="30" t="s">
        <v>724</v>
      </c>
      <c r="B553" s="44" t="n">
        <v>45495</v>
      </c>
      <c r="C553" s="19" t="n">
        <f aca="false">YEAR(B553)</f>
        <v>2024</v>
      </c>
      <c r="D553" s="19" t="n">
        <f aca="false">MONTH(B553)</f>
        <v>7</v>
      </c>
      <c r="E553" s="30" t="str">
        <f aca="false">INDEX(Lists!$K$2:$K$13,MATCH(D553,Lists!$J$2:$J$13,0))</f>
        <v>يوليو</v>
      </c>
      <c r="F553" s="19" t="str">
        <f aca="false">"Q"&amp;ROUNDUP(D553/3,0)</f>
        <v>Q3</v>
      </c>
      <c r="G553" s="30" t="str">
        <f aca="false">INDEX(Lists!$N$2:$N$8,MATCH(WEEKDAY(B553,2),Lists!$M$2:$M$8,0))</f>
        <v>الإثنين</v>
      </c>
      <c r="H553" s="30" t="s">
        <v>50</v>
      </c>
      <c r="I553" s="19" t="str">
        <f aca="false">INDEX(Lists!$B$2:$B$6,MATCH(H553,Lists!$A$2:$A$6,0))</f>
        <v>المنطقة الغربية</v>
      </c>
      <c r="J553" s="30" t="s">
        <v>107</v>
      </c>
      <c r="K553" s="30" t="s">
        <v>272</v>
      </c>
      <c r="L553" s="31" t="n">
        <v>6579</v>
      </c>
      <c r="M553" s="19" t="n">
        <v>1</v>
      </c>
      <c r="N553" s="32" t="n">
        <v>0</v>
      </c>
      <c r="O553" s="30" t="s">
        <v>48</v>
      </c>
      <c r="P553" s="30" t="s">
        <v>47</v>
      </c>
      <c r="Q553" s="30" t="s">
        <v>96</v>
      </c>
      <c r="R553" s="25" t="n">
        <f aca="false">L553*M553*(1-N553)</f>
        <v>6579</v>
      </c>
    </row>
    <row r="554" customFormat="false" ht="15" hidden="false" customHeight="false" outlineLevel="0" collapsed="false">
      <c r="A554" s="30" t="s">
        <v>725</v>
      </c>
      <c r="B554" s="44" t="n">
        <v>45495</v>
      </c>
      <c r="C554" s="19" t="n">
        <f aca="false">YEAR(B554)</f>
        <v>2024</v>
      </c>
      <c r="D554" s="19" t="n">
        <f aca="false">MONTH(B554)</f>
        <v>7</v>
      </c>
      <c r="E554" s="30" t="str">
        <f aca="false">INDEX(Lists!$K$2:$K$13,MATCH(D554,Lists!$J$2:$J$13,0))</f>
        <v>يوليو</v>
      </c>
      <c r="F554" s="19" t="str">
        <f aca="false">"Q"&amp;ROUNDUP(D554/3,0)</f>
        <v>Q3</v>
      </c>
      <c r="G554" s="30" t="str">
        <f aca="false">INDEX(Lists!$N$2:$N$8,MATCH(WEEKDAY(B554,2),Lists!$M$2:$M$8,0))</f>
        <v>الإثنين</v>
      </c>
      <c r="H554" s="30" t="s">
        <v>50</v>
      </c>
      <c r="I554" s="19" t="str">
        <f aca="false">INDEX(Lists!$B$2:$B$6,MATCH(H554,Lists!$A$2:$A$6,0))</f>
        <v>المنطقة الغربية</v>
      </c>
      <c r="J554" s="30" t="s">
        <v>109</v>
      </c>
      <c r="K554" s="30" t="s">
        <v>192</v>
      </c>
      <c r="L554" s="31" t="n">
        <v>79</v>
      </c>
      <c r="M554" s="19" t="n">
        <v>1</v>
      </c>
      <c r="N554" s="32" t="n">
        <v>0.05</v>
      </c>
      <c r="O554" s="30" t="s">
        <v>48</v>
      </c>
      <c r="P554" s="30" t="s">
        <v>47</v>
      </c>
      <c r="Q554" s="30" t="s">
        <v>86</v>
      </c>
      <c r="R554" s="25" t="n">
        <f aca="false">L554*M554*(1-N554)</f>
        <v>75.05</v>
      </c>
    </row>
    <row r="555" customFormat="false" ht="15" hidden="false" customHeight="false" outlineLevel="0" collapsed="false">
      <c r="A555" s="30" t="s">
        <v>726</v>
      </c>
      <c r="B555" s="44" t="n">
        <v>45495</v>
      </c>
      <c r="C555" s="19" t="n">
        <f aca="false">YEAR(B555)</f>
        <v>2024</v>
      </c>
      <c r="D555" s="19" t="n">
        <f aca="false">MONTH(B555)</f>
        <v>7</v>
      </c>
      <c r="E555" s="30" t="str">
        <f aca="false">INDEX(Lists!$K$2:$K$13,MATCH(D555,Lists!$J$2:$J$13,0))</f>
        <v>يوليو</v>
      </c>
      <c r="F555" s="19" t="str">
        <f aca="false">"Q"&amp;ROUNDUP(D555/3,0)</f>
        <v>Q3</v>
      </c>
      <c r="G555" s="30" t="str">
        <f aca="false">INDEX(Lists!$N$2:$N$8,MATCH(WEEKDAY(B555,2),Lists!$M$2:$M$8,0))</f>
        <v>الإثنين</v>
      </c>
      <c r="H555" s="30" t="s">
        <v>60</v>
      </c>
      <c r="I555" s="19" t="str">
        <f aca="false">INDEX(Lists!$B$2:$B$6,MATCH(H555,Lists!$A$2:$A$6,0))</f>
        <v>المنطقة الغربية</v>
      </c>
      <c r="J555" s="30" t="s">
        <v>109</v>
      </c>
      <c r="K555" s="30" t="s">
        <v>110</v>
      </c>
      <c r="L555" s="31" t="n">
        <v>49</v>
      </c>
      <c r="M555" s="19" t="n">
        <v>2</v>
      </c>
      <c r="N555" s="32" t="n">
        <v>0.1</v>
      </c>
      <c r="O555" s="30" t="s">
        <v>52</v>
      </c>
      <c r="P555" s="30" t="s">
        <v>47</v>
      </c>
      <c r="Q555" s="30" t="s">
        <v>96</v>
      </c>
      <c r="R555" s="25" t="n">
        <f aca="false">L555*M555*(1-N555)</f>
        <v>88.2</v>
      </c>
    </row>
    <row r="556" customFormat="false" ht="15" hidden="false" customHeight="false" outlineLevel="0" collapsed="false">
      <c r="A556" s="30" t="s">
        <v>727</v>
      </c>
      <c r="B556" s="44" t="n">
        <v>45496</v>
      </c>
      <c r="C556" s="19" t="n">
        <f aca="false">YEAR(B556)</f>
        <v>2024</v>
      </c>
      <c r="D556" s="19" t="n">
        <f aca="false">MONTH(B556)</f>
        <v>7</v>
      </c>
      <c r="E556" s="30" t="str">
        <f aca="false">INDEX(Lists!$K$2:$K$13,MATCH(D556,Lists!$J$2:$J$13,0))</f>
        <v>يوليو</v>
      </c>
      <c r="F556" s="19" t="str">
        <f aca="false">"Q"&amp;ROUNDUP(D556/3,0)</f>
        <v>Q3</v>
      </c>
      <c r="G556" s="30" t="str">
        <f aca="false">INDEX(Lists!$N$2:$N$8,MATCH(WEEKDAY(B556,2),Lists!$M$2:$M$8,0))</f>
        <v>الثلاثاء</v>
      </c>
      <c r="H556" s="30" t="s">
        <v>46</v>
      </c>
      <c r="I556" s="19" t="str">
        <f aca="false">INDEX(Lists!$B$2:$B$6,MATCH(H556,Lists!$A$2:$A$6,0))</f>
        <v>المنطقة الوسطى</v>
      </c>
      <c r="J556" s="30" t="s">
        <v>105</v>
      </c>
      <c r="K556" s="30" t="s">
        <v>90</v>
      </c>
      <c r="L556" s="31" t="n">
        <v>3799</v>
      </c>
      <c r="M556" s="19" t="n">
        <v>1</v>
      </c>
      <c r="N556" s="32" t="n">
        <v>0.15</v>
      </c>
      <c r="O556" s="30" t="s">
        <v>48</v>
      </c>
      <c r="P556" s="30" t="s">
        <v>47</v>
      </c>
      <c r="Q556" s="30" t="s">
        <v>81</v>
      </c>
      <c r="R556" s="25" t="n">
        <f aca="false">L556*M556*(1-N556)</f>
        <v>3229.15</v>
      </c>
    </row>
    <row r="557" customFormat="false" ht="15" hidden="false" customHeight="false" outlineLevel="0" collapsed="false">
      <c r="A557" s="30" t="s">
        <v>728</v>
      </c>
      <c r="B557" s="44" t="n">
        <v>45496</v>
      </c>
      <c r="C557" s="19" t="n">
        <f aca="false">YEAR(B557)</f>
        <v>2024</v>
      </c>
      <c r="D557" s="19" t="n">
        <f aca="false">MONTH(B557)</f>
        <v>7</v>
      </c>
      <c r="E557" s="30" t="str">
        <f aca="false">INDEX(Lists!$K$2:$K$13,MATCH(D557,Lists!$J$2:$J$13,0))</f>
        <v>يوليو</v>
      </c>
      <c r="F557" s="19" t="str">
        <f aca="false">"Q"&amp;ROUNDUP(D557/3,0)</f>
        <v>Q3</v>
      </c>
      <c r="G557" s="30" t="str">
        <f aca="false">INDEX(Lists!$N$2:$N$8,MATCH(WEEKDAY(B557,2),Lists!$M$2:$M$8,0))</f>
        <v>الثلاثاء</v>
      </c>
      <c r="H557" s="30" t="s">
        <v>46</v>
      </c>
      <c r="I557" s="19" t="str">
        <f aca="false">INDEX(Lists!$B$2:$B$6,MATCH(H557,Lists!$A$2:$A$6,0))</f>
        <v>المنطقة الوسطى</v>
      </c>
      <c r="J557" s="30" t="s">
        <v>107</v>
      </c>
      <c r="K557" s="30" t="s">
        <v>272</v>
      </c>
      <c r="L557" s="31" t="n">
        <v>4479</v>
      </c>
      <c r="M557" s="19" t="n">
        <v>3</v>
      </c>
      <c r="N557" s="32" t="n">
        <v>0</v>
      </c>
      <c r="O557" s="30" t="s">
        <v>48</v>
      </c>
      <c r="P557" s="30" t="s">
        <v>47</v>
      </c>
      <c r="Q557" s="30" t="s">
        <v>78</v>
      </c>
      <c r="R557" s="25" t="n">
        <f aca="false">L557*M557*(1-N557)</f>
        <v>13437</v>
      </c>
    </row>
    <row r="558" customFormat="false" ht="15" hidden="false" customHeight="false" outlineLevel="0" collapsed="false">
      <c r="A558" s="30" t="s">
        <v>729</v>
      </c>
      <c r="B558" s="44" t="n">
        <v>45496</v>
      </c>
      <c r="C558" s="19" t="n">
        <f aca="false">YEAR(B558)</f>
        <v>2024</v>
      </c>
      <c r="D558" s="19" t="n">
        <f aca="false">MONTH(B558)</f>
        <v>7</v>
      </c>
      <c r="E558" s="30" t="str">
        <f aca="false">INDEX(Lists!$K$2:$K$13,MATCH(D558,Lists!$J$2:$J$13,0))</f>
        <v>يوليو</v>
      </c>
      <c r="F558" s="19" t="str">
        <f aca="false">"Q"&amp;ROUNDUP(D558/3,0)</f>
        <v>Q3</v>
      </c>
      <c r="G558" s="30" t="str">
        <f aca="false">INDEX(Lists!$N$2:$N$8,MATCH(WEEKDAY(B558,2),Lists!$M$2:$M$8,0))</f>
        <v>الثلاثاء</v>
      </c>
      <c r="H558" s="30" t="s">
        <v>46</v>
      </c>
      <c r="I558" s="19" t="str">
        <f aca="false">INDEX(Lists!$B$2:$B$6,MATCH(H558,Lists!$A$2:$A$6,0))</f>
        <v>المنطقة الوسطى</v>
      </c>
      <c r="J558" s="30" t="s">
        <v>107</v>
      </c>
      <c r="K558" s="30" t="s">
        <v>272</v>
      </c>
      <c r="L558" s="31" t="n">
        <v>6689</v>
      </c>
      <c r="M558" s="19" t="n">
        <v>1</v>
      </c>
      <c r="N558" s="32" t="n">
        <v>0</v>
      </c>
      <c r="O558" s="30" t="s">
        <v>48</v>
      </c>
      <c r="P558" s="30" t="s">
        <v>47</v>
      </c>
      <c r="Q558" s="30" t="s">
        <v>92</v>
      </c>
      <c r="R558" s="25" t="n">
        <f aca="false">L558*M558*(1-N558)</f>
        <v>6689</v>
      </c>
    </row>
    <row r="559" customFormat="false" ht="15" hidden="false" customHeight="false" outlineLevel="0" collapsed="false">
      <c r="A559" s="30" t="s">
        <v>730</v>
      </c>
      <c r="B559" s="44" t="n">
        <v>45496</v>
      </c>
      <c r="C559" s="19" t="n">
        <f aca="false">YEAR(B559)</f>
        <v>2024</v>
      </c>
      <c r="D559" s="19" t="n">
        <f aca="false">MONTH(B559)</f>
        <v>7</v>
      </c>
      <c r="E559" s="30" t="str">
        <f aca="false">INDEX(Lists!$K$2:$K$13,MATCH(D559,Lists!$J$2:$J$13,0))</f>
        <v>يوليو</v>
      </c>
      <c r="F559" s="19" t="str">
        <f aca="false">"Q"&amp;ROUNDUP(D559/3,0)</f>
        <v>Q3</v>
      </c>
      <c r="G559" s="30" t="str">
        <f aca="false">INDEX(Lists!$N$2:$N$8,MATCH(WEEKDAY(B559,2),Lists!$M$2:$M$8,0))</f>
        <v>الثلاثاء</v>
      </c>
      <c r="H559" s="30" t="s">
        <v>46</v>
      </c>
      <c r="I559" s="19" t="str">
        <f aca="false">INDEX(Lists!$B$2:$B$6,MATCH(H559,Lists!$A$2:$A$6,0))</f>
        <v>المنطقة الوسطى</v>
      </c>
      <c r="J559" s="30" t="s">
        <v>109</v>
      </c>
      <c r="K559" s="30" t="s">
        <v>110</v>
      </c>
      <c r="L559" s="31" t="n">
        <v>129</v>
      </c>
      <c r="M559" s="19" t="n">
        <v>1</v>
      </c>
      <c r="N559" s="32" t="n">
        <v>0</v>
      </c>
      <c r="O559" s="30" t="s">
        <v>58</v>
      </c>
      <c r="P559" s="30" t="s">
        <v>47</v>
      </c>
      <c r="Q559" s="30" t="s">
        <v>81</v>
      </c>
      <c r="R559" s="25" t="n">
        <f aca="false">L559*M559*(1-N559)</f>
        <v>129</v>
      </c>
    </row>
    <row r="560" customFormat="false" ht="15" hidden="false" customHeight="false" outlineLevel="0" collapsed="false">
      <c r="A560" s="30" t="s">
        <v>731</v>
      </c>
      <c r="B560" s="44" t="n">
        <v>45496</v>
      </c>
      <c r="C560" s="19" t="n">
        <f aca="false">YEAR(B560)</f>
        <v>2024</v>
      </c>
      <c r="D560" s="19" t="n">
        <f aca="false">MONTH(B560)</f>
        <v>7</v>
      </c>
      <c r="E560" s="30" t="str">
        <f aca="false">INDEX(Lists!$K$2:$K$13,MATCH(D560,Lists!$J$2:$J$13,0))</f>
        <v>يوليو</v>
      </c>
      <c r="F560" s="19" t="str">
        <f aca="false">"Q"&amp;ROUNDUP(D560/3,0)</f>
        <v>Q3</v>
      </c>
      <c r="G560" s="30" t="str">
        <f aca="false">INDEX(Lists!$N$2:$N$8,MATCH(WEEKDAY(B560,2),Lists!$M$2:$M$8,0))</f>
        <v>الثلاثاء</v>
      </c>
      <c r="H560" s="30" t="s">
        <v>50</v>
      </c>
      <c r="I560" s="19" t="str">
        <f aca="false">INDEX(Lists!$B$2:$B$6,MATCH(H560,Lists!$A$2:$A$6,0))</f>
        <v>المنطقة الغربية</v>
      </c>
      <c r="J560" s="30" t="s">
        <v>107</v>
      </c>
      <c r="K560" s="30" t="s">
        <v>114</v>
      </c>
      <c r="L560" s="31" t="n">
        <v>5729</v>
      </c>
      <c r="M560" s="19" t="n">
        <v>2</v>
      </c>
      <c r="N560" s="32" t="n">
        <v>0.15</v>
      </c>
      <c r="O560" s="30" t="s">
        <v>55</v>
      </c>
      <c r="P560" s="30" t="s">
        <v>51</v>
      </c>
      <c r="Q560" s="30" t="s">
        <v>81</v>
      </c>
      <c r="R560" s="25" t="n">
        <f aca="false">L560*M560*(1-N560)</f>
        <v>9739.3</v>
      </c>
    </row>
    <row r="561" customFormat="false" ht="15" hidden="false" customHeight="false" outlineLevel="0" collapsed="false">
      <c r="A561" s="30" t="s">
        <v>732</v>
      </c>
      <c r="B561" s="44" t="n">
        <v>45496</v>
      </c>
      <c r="C561" s="19" t="n">
        <f aca="false">YEAR(B561)</f>
        <v>2024</v>
      </c>
      <c r="D561" s="19" t="n">
        <f aca="false">MONTH(B561)</f>
        <v>7</v>
      </c>
      <c r="E561" s="30" t="str">
        <f aca="false">INDEX(Lists!$K$2:$K$13,MATCH(D561,Lists!$J$2:$J$13,0))</f>
        <v>يوليو</v>
      </c>
      <c r="F561" s="19" t="str">
        <f aca="false">"Q"&amp;ROUNDUP(D561/3,0)</f>
        <v>Q3</v>
      </c>
      <c r="G561" s="30" t="str">
        <f aca="false">INDEX(Lists!$N$2:$N$8,MATCH(WEEKDAY(B561,2),Lists!$M$2:$M$8,0))</f>
        <v>الثلاثاء</v>
      </c>
      <c r="H561" s="30" t="s">
        <v>60</v>
      </c>
      <c r="I561" s="19" t="str">
        <f aca="false">INDEX(Lists!$B$2:$B$6,MATCH(H561,Lists!$A$2:$A$6,0))</f>
        <v>المنطقة الغربية</v>
      </c>
      <c r="J561" s="30" t="s">
        <v>105</v>
      </c>
      <c r="K561" s="30" t="s">
        <v>90</v>
      </c>
      <c r="L561" s="31" t="n">
        <v>2099</v>
      </c>
      <c r="M561" s="19" t="n">
        <v>3</v>
      </c>
      <c r="N561" s="32" t="n">
        <v>0</v>
      </c>
      <c r="O561" s="30" t="s">
        <v>52</v>
      </c>
      <c r="P561" s="30" t="s">
        <v>51</v>
      </c>
      <c r="Q561" s="30" t="s">
        <v>99</v>
      </c>
      <c r="R561" s="25" t="n">
        <f aca="false">L561*M561*(1-N561)</f>
        <v>6297</v>
      </c>
    </row>
    <row r="562" customFormat="false" ht="15" hidden="false" customHeight="false" outlineLevel="0" collapsed="false">
      <c r="A562" s="30" t="s">
        <v>733</v>
      </c>
      <c r="B562" s="44" t="n">
        <v>45496</v>
      </c>
      <c r="C562" s="19" t="n">
        <f aca="false">YEAR(B562)</f>
        <v>2024</v>
      </c>
      <c r="D562" s="19" t="n">
        <f aca="false">MONTH(B562)</f>
        <v>7</v>
      </c>
      <c r="E562" s="30" t="str">
        <f aca="false">INDEX(Lists!$K$2:$K$13,MATCH(D562,Lists!$J$2:$J$13,0))</f>
        <v>يوليو</v>
      </c>
      <c r="F562" s="19" t="str">
        <f aca="false">"Q"&amp;ROUNDUP(D562/3,0)</f>
        <v>Q3</v>
      </c>
      <c r="G562" s="30" t="str">
        <f aca="false">INDEX(Lists!$N$2:$N$8,MATCH(WEEKDAY(B562,2),Lists!$M$2:$M$8,0))</f>
        <v>الثلاثاء</v>
      </c>
      <c r="H562" s="30" t="s">
        <v>57</v>
      </c>
      <c r="I562" s="19" t="str">
        <f aca="false">INDEX(Lists!$B$2:$B$6,MATCH(H562,Lists!$A$2:$A$6,0))</f>
        <v>المنطقة الغربية</v>
      </c>
      <c r="J562" s="30" t="s">
        <v>107</v>
      </c>
      <c r="K562" s="30" t="s">
        <v>184</v>
      </c>
      <c r="L562" s="31" t="n">
        <v>2099</v>
      </c>
      <c r="M562" s="19" t="n">
        <v>2</v>
      </c>
      <c r="N562" s="32" t="n">
        <v>0</v>
      </c>
      <c r="O562" s="30" t="s">
        <v>48</v>
      </c>
      <c r="P562" s="30" t="s">
        <v>51</v>
      </c>
      <c r="Q562" s="30" t="s">
        <v>94</v>
      </c>
      <c r="R562" s="25" t="n">
        <f aca="false">L562*M562*(1-N562)</f>
        <v>4198</v>
      </c>
    </row>
    <row r="563" customFormat="false" ht="15" hidden="false" customHeight="false" outlineLevel="0" collapsed="false">
      <c r="A563" s="30" t="s">
        <v>734</v>
      </c>
      <c r="B563" s="44" t="n">
        <v>45497</v>
      </c>
      <c r="C563" s="19" t="n">
        <f aca="false">YEAR(B563)</f>
        <v>2024</v>
      </c>
      <c r="D563" s="19" t="n">
        <f aca="false">MONTH(B563)</f>
        <v>7</v>
      </c>
      <c r="E563" s="30" t="str">
        <f aca="false">INDEX(Lists!$K$2:$K$13,MATCH(D563,Lists!$J$2:$J$13,0))</f>
        <v>يوليو</v>
      </c>
      <c r="F563" s="19" t="str">
        <f aca="false">"Q"&amp;ROUNDUP(D563/3,0)</f>
        <v>Q3</v>
      </c>
      <c r="G563" s="30" t="str">
        <f aca="false">INDEX(Lists!$N$2:$N$8,MATCH(WEEKDAY(B563,2),Lists!$M$2:$M$8,0))</f>
        <v>الأربعاء</v>
      </c>
      <c r="H563" s="30" t="s">
        <v>46</v>
      </c>
      <c r="I563" s="19" t="str">
        <f aca="false">INDEX(Lists!$B$2:$B$6,MATCH(H563,Lists!$A$2:$A$6,0))</f>
        <v>المنطقة الوسطى</v>
      </c>
      <c r="J563" s="30" t="s">
        <v>113</v>
      </c>
      <c r="K563" s="30" t="s">
        <v>100</v>
      </c>
      <c r="L563" s="31" t="n">
        <v>699</v>
      </c>
      <c r="M563" s="19" t="n">
        <v>2</v>
      </c>
      <c r="N563" s="32" t="n">
        <v>0</v>
      </c>
      <c r="O563" s="30" t="s">
        <v>48</v>
      </c>
      <c r="P563" s="30" t="s">
        <v>47</v>
      </c>
      <c r="Q563" s="30" t="s">
        <v>89</v>
      </c>
      <c r="R563" s="25" t="n">
        <f aca="false">L563*M563*(1-N563)</f>
        <v>1398</v>
      </c>
    </row>
    <row r="564" customFormat="false" ht="15" hidden="false" customHeight="false" outlineLevel="0" collapsed="false">
      <c r="A564" s="30" t="s">
        <v>735</v>
      </c>
      <c r="B564" s="44" t="n">
        <v>45497</v>
      </c>
      <c r="C564" s="19" t="n">
        <f aca="false">YEAR(B564)</f>
        <v>2024</v>
      </c>
      <c r="D564" s="19" t="n">
        <f aca="false">MONTH(B564)</f>
        <v>7</v>
      </c>
      <c r="E564" s="30" t="str">
        <f aca="false">INDEX(Lists!$K$2:$K$13,MATCH(D564,Lists!$J$2:$J$13,0))</f>
        <v>يوليو</v>
      </c>
      <c r="F564" s="19" t="str">
        <f aca="false">"Q"&amp;ROUNDUP(D564/3,0)</f>
        <v>Q3</v>
      </c>
      <c r="G564" s="30" t="str">
        <f aca="false">INDEX(Lists!$N$2:$N$8,MATCH(WEEKDAY(B564,2),Lists!$M$2:$M$8,0))</f>
        <v>الأربعاء</v>
      </c>
      <c r="H564" s="30" t="s">
        <v>50</v>
      </c>
      <c r="I564" s="19" t="str">
        <f aca="false">INDEX(Lists!$B$2:$B$6,MATCH(H564,Lists!$A$2:$A$6,0))</f>
        <v>المنطقة الغربية</v>
      </c>
      <c r="J564" s="30" t="s">
        <v>109</v>
      </c>
      <c r="K564" s="30" t="s">
        <v>171</v>
      </c>
      <c r="L564" s="31" t="n">
        <v>79</v>
      </c>
      <c r="M564" s="19" t="n">
        <v>3</v>
      </c>
      <c r="N564" s="32" t="n">
        <v>0</v>
      </c>
      <c r="O564" s="30" t="s">
        <v>52</v>
      </c>
      <c r="P564" s="30" t="s">
        <v>47</v>
      </c>
      <c r="Q564" s="30" t="s">
        <v>94</v>
      </c>
      <c r="R564" s="25" t="n">
        <f aca="false">L564*M564*(1-N564)</f>
        <v>237</v>
      </c>
    </row>
    <row r="565" customFormat="false" ht="15" hidden="false" customHeight="false" outlineLevel="0" collapsed="false">
      <c r="A565" s="30" t="s">
        <v>736</v>
      </c>
      <c r="B565" s="44" t="n">
        <v>45497</v>
      </c>
      <c r="C565" s="19" t="n">
        <f aca="false">YEAR(B565)</f>
        <v>2024</v>
      </c>
      <c r="D565" s="19" t="n">
        <f aca="false">MONTH(B565)</f>
        <v>7</v>
      </c>
      <c r="E565" s="30" t="str">
        <f aca="false">INDEX(Lists!$K$2:$K$13,MATCH(D565,Lists!$J$2:$J$13,0))</f>
        <v>يوليو</v>
      </c>
      <c r="F565" s="19" t="str">
        <f aca="false">"Q"&amp;ROUNDUP(D565/3,0)</f>
        <v>Q3</v>
      </c>
      <c r="G565" s="30" t="str">
        <f aca="false">INDEX(Lists!$N$2:$N$8,MATCH(WEEKDAY(B565,2),Lists!$M$2:$M$8,0))</f>
        <v>الأربعاء</v>
      </c>
      <c r="H565" s="30" t="s">
        <v>50</v>
      </c>
      <c r="I565" s="19" t="str">
        <f aca="false">INDEX(Lists!$B$2:$B$6,MATCH(H565,Lists!$A$2:$A$6,0))</f>
        <v>المنطقة الغربية</v>
      </c>
      <c r="J565" s="30" t="s">
        <v>109</v>
      </c>
      <c r="K565" s="30" t="s">
        <v>93</v>
      </c>
      <c r="L565" s="31" t="n">
        <v>69</v>
      </c>
      <c r="M565" s="19" t="n">
        <v>1</v>
      </c>
      <c r="N565" s="32" t="n">
        <v>0.1</v>
      </c>
      <c r="O565" s="30" t="s">
        <v>48</v>
      </c>
      <c r="P565" s="30" t="s">
        <v>47</v>
      </c>
      <c r="Q565" s="30" t="s">
        <v>89</v>
      </c>
      <c r="R565" s="25" t="n">
        <f aca="false">L565*M565*(1-N565)</f>
        <v>62.1</v>
      </c>
    </row>
    <row r="566" customFormat="false" ht="15" hidden="false" customHeight="false" outlineLevel="0" collapsed="false">
      <c r="A566" s="30" t="s">
        <v>737</v>
      </c>
      <c r="B566" s="44" t="n">
        <v>45497</v>
      </c>
      <c r="C566" s="19" t="n">
        <f aca="false">YEAR(B566)</f>
        <v>2024</v>
      </c>
      <c r="D566" s="19" t="n">
        <f aca="false">MONTH(B566)</f>
        <v>7</v>
      </c>
      <c r="E566" s="30" t="str">
        <f aca="false">INDEX(Lists!$K$2:$K$13,MATCH(D566,Lists!$J$2:$J$13,0))</f>
        <v>يوليو</v>
      </c>
      <c r="F566" s="19" t="str">
        <f aca="false">"Q"&amp;ROUNDUP(D566/3,0)</f>
        <v>Q3</v>
      </c>
      <c r="G566" s="30" t="str">
        <f aca="false">INDEX(Lists!$N$2:$N$8,MATCH(WEEKDAY(B566,2),Lists!$M$2:$M$8,0))</f>
        <v>الأربعاء</v>
      </c>
      <c r="H566" s="30" t="s">
        <v>50</v>
      </c>
      <c r="I566" s="19" t="str">
        <f aca="false">INDEX(Lists!$B$2:$B$6,MATCH(H566,Lists!$A$2:$A$6,0))</f>
        <v>المنطقة الغربية</v>
      </c>
      <c r="J566" s="30" t="s">
        <v>111</v>
      </c>
      <c r="K566" s="30" t="s">
        <v>118</v>
      </c>
      <c r="L566" s="31" t="n">
        <v>229</v>
      </c>
      <c r="M566" s="19" t="n">
        <v>1</v>
      </c>
      <c r="N566" s="32" t="n">
        <v>0</v>
      </c>
      <c r="O566" s="30" t="s">
        <v>58</v>
      </c>
      <c r="P566" s="30" t="s">
        <v>47</v>
      </c>
      <c r="Q566" s="30" t="s">
        <v>92</v>
      </c>
      <c r="R566" s="25" t="n">
        <f aca="false">L566*M566*(1-N566)</f>
        <v>229</v>
      </c>
    </row>
    <row r="567" customFormat="false" ht="15" hidden="false" customHeight="false" outlineLevel="0" collapsed="false">
      <c r="A567" s="30" t="s">
        <v>738</v>
      </c>
      <c r="B567" s="44" t="n">
        <v>45497</v>
      </c>
      <c r="C567" s="19" t="n">
        <f aca="false">YEAR(B567)</f>
        <v>2024</v>
      </c>
      <c r="D567" s="19" t="n">
        <f aca="false">MONTH(B567)</f>
        <v>7</v>
      </c>
      <c r="E567" s="30" t="str">
        <f aca="false">INDEX(Lists!$K$2:$K$13,MATCH(D567,Lists!$J$2:$J$13,0))</f>
        <v>يوليو</v>
      </c>
      <c r="F567" s="19" t="str">
        <f aca="false">"Q"&amp;ROUNDUP(D567/3,0)</f>
        <v>Q3</v>
      </c>
      <c r="G567" s="30" t="str">
        <f aca="false">INDEX(Lists!$N$2:$N$8,MATCH(WEEKDAY(B567,2),Lists!$M$2:$M$8,0))</f>
        <v>الأربعاء</v>
      </c>
      <c r="H567" s="30" t="s">
        <v>60</v>
      </c>
      <c r="I567" s="19" t="str">
        <f aca="false">INDEX(Lists!$B$2:$B$6,MATCH(H567,Lists!$A$2:$A$6,0))</f>
        <v>المنطقة الغربية</v>
      </c>
      <c r="J567" s="30" t="s">
        <v>109</v>
      </c>
      <c r="K567" s="30" t="s">
        <v>171</v>
      </c>
      <c r="L567" s="31" t="n">
        <v>149</v>
      </c>
      <c r="M567" s="19" t="n">
        <v>1</v>
      </c>
      <c r="N567" s="32" t="n">
        <v>0</v>
      </c>
      <c r="O567" s="30" t="s">
        <v>48</v>
      </c>
      <c r="P567" s="30" t="s">
        <v>47</v>
      </c>
      <c r="Q567" s="30" t="s">
        <v>99</v>
      </c>
      <c r="R567" s="25" t="n">
        <f aca="false">L567*M567*(1-N567)</f>
        <v>149</v>
      </c>
    </row>
    <row r="568" customFormat="false" ht="15" hidden="false" customHeight="false" outlineLevel="0" collapsed="false">
      <c r="A568" s="30" t="s">
        <v>739</v>
      </c>
      <c r="B568" s="44" t="n">
        <v>45498</v>
      </c>
      <c r="C568" s="19" t="n">
        <f aca="false">YEAR(B568)</f>
        <v>2024</v>
      </c>
      <c r="D568" s="19" t="n">
        <f aca="false">MONTH(B568)</f>
        <v>7</v>
      </c>
      <c r="E568" s="30" t="str">
        <f aca="false">INDEX(Lists!$K$2:$K$13,MATCH(D568,Lists!$J$2:$J$13,0))</f>
        <v>يوليو</v>
      </c>
      <c r="F568" s="19" t="str">
        <f aca="false">"Q"&amp;ROUNDUP(D568/3,0)</f>
        <v>Q3</v>
      </c>
      <c r="G568" s="30" t="str">
        <f aca="false">INDEX(Lists!$N$2:$N$8,MATCH(WEEKDAY(B568,2),Lists!$M$2:$M$8,0))</f>
        <v>الخميس</v>
      </c>
      <c r="H568" s="30" t="s">
        <v>46</v>
      </c>
      <c r="I568" s="19" t="str">
        <f aca="false">INDEX(Lists!$B$2:$B$6,MATCH(H568,Lists!$A$2:$A$6,0))</f>
        <v>المنطقة الوسطى</v>
      </c>
      <c r="J568" s="30" t="s">
        <v>111</v>
      </c>
      <c r="K568" s="30" t="s">
        <v>118</v>
      </c>
      <c r="L568" s="31" t="n">
        <v>179</v>
      </c>
      <c r="M568" s="19" t="n">
        <v>1</v>
      </c>
      <c r="N568" s="32" t="n">
        <v>0.05</v>
      </c>
      <c r="O568" s="30" t="s">
        <v>52</v>
      </c>
      <c r="P568" s="30" t="s">
        <v>47</v>
      </c>
      <c r="Q568" s="30" t="s">
        <v>94</v>
      </c>
      <c r="R568" s="25" t="n">
        <f aca="false">L568*M568*(1-N568)</f>
        <v>170.05</v>
      </c>
    </row>
    <row r="569" customFormat="false" ht="15" hidden="false" customHeight="false" outlineLevel="0" collapsed="false">
      <c r="A569" s="30" t="s">
        <v>740</v>
      </c>
      <c r="B569" s="44" t="n">
        <v>45498</v>
      </c>
      <c r="C569" s="19" t="n">
        <f aca="false">YEAR(B569)</f>
        <v>2024</v>
      </c>
      <c r="D569" s="19" t="n">
        <f aca="false">MONTH(B569)</f>
        <v>7</v>
      </c>
      <c r="E569" s="30" t="str">
        <f aca="false">INDEX(Lists!$K$2:$K$13,MATCH(D569,Lists!$J$2:$J$13,0))</f>
        <v>يوليو</v>
      </c>
      <c r="F569" s="19" t="str">
        <f aca="false">"Q"&amp;ROUNDUP(D569/3,0)</f>
        <v>Q3</v>
      </c>
      <c r="G569" s="30" t="str">
        <f aca="false">INDEX(Lists!$N$2:$N$8,MATCH(WEEKDAY(B569,2),Lists!$M$2:$M$8,0))</f>
        <v>الخميس</v>
      </c>
      <c r="H569" s="30" t="s">
        <v>54</v>
      </c>
      <c r="I569" s="19" t="str">
        <f aca="false">INDEX(Lists!$B$2:$B$6,MATCH(H569,Lists!$A$2:$A$6,0))</f>
        <v>المنطقة الشرقية</v>
      </c>
      <c r="J569" s="30" t="s">
        <v>113</v>
      </c>
      <c r="K569" s="30" t="s">
        <v>100</v>
      </c>
      <c r="L569" s="31" t="n">
        <v>549</v>
      </c>
      <c r="M569" s="19" t="n">
        <v>1</v>
      </c>
      <c r="N569" s="32" t="n">
        <v>0.15</v>
      </c>
      <c r="O569" s="30" t="s">
        <v>55</v>
      </c>
      <c r="P569" s="30" t="s">
        <v>47</v>
      </c>
      <c r="Q569" s="30" t="s">
        <v>94</v>
      </c>
      <c r="R569" s="25" t="n">
        <f aca="false">L569*M569*(1-N569)</f>
        <v>466.65</v>
      </c>
    </row>
    <row r="570" customFormat="false" ht="15" hidden="false" customHeight="false" outlineLevel="0" collapsed="false">
      <c r="A570" s="30" t="s">
        <v>741</v>
      </c>
      <c r="B570" s="44" t="n">
        <v>45498</v>
      </c>
      <c r="C570" s="19" t="n">
        <f aca="false">YEAR(B570)</f>
        <v>2024</v>
      </c>
      <c r="D570" s="19" t="n">
        <f aca="false">MONTH(B570)</f>
        <v>7</v>
      </c>
      <c r="E570" s="30" t="str">
        <f aca="false">INDEX(Lists!$K$2:$K$13,MATCH(D570,Lists!$J$2:$J$13,0))</f>
        <v>يوليو</v>
      </c>
      <c r="F570" s="19" t="str">
        <f aca="false">"Q"&amp;ROUNDUP(D570/3,0)</f>
        <v>Q3</v>
      </c>
      <c r="G570" s="30" t="str">
        <f aca="false">INDEX(Lists!$N$2:$N$8,MATCH(WEEKDAY(B570,2),Lists!$M$2:$M$8,0))</f>
        <v>الخميس</v>
      </c>
      <c r="H570" s="30" t="s">
        <v>46</v>
      </c>
      <c r="I570" s="19" t="str">
        <f aca="false">INDEX(Lists!$B$2:$B$6,MATCH(H570,Lists!$A$2:$A$6,0))</f>
        <v>المنطقة الوسطى</v>
      </c>
      <c r="J570" s="30" t="s">
        <v>109</v>
      </c>
      <c r="K570" s="30" t="s">
        <v>175</v>
      </c>
      <c r="L570" s="31" t="n">
        <v>109</v>
      </c>
      <c r="M570" s="19" t="n">
        <v>1</v>
      </c>
      <c r="N570" s="32" t="n">
        <v>0.1</v>
      </c>
      <c r="O570" s="30" t="s">
        <v>52</v>
      </c>
      <c r="P570" s="30" t="s">
        <v>47</v>
      </c>
      <c r="Q570" s="30" t="s">
        <v>96</v>
      </c>
      <c r="R570" s="25" t="n">
        <f aca="false">L570*M570*(1-N570)</f>
        <v>98.1</v>
      </c>
    </row>
    <row r="571" customFormat="false" ht="15" hidden="false" customHeight="false" outlineLevel="0" collapsed="false">
      <c r="A571" s="30" t="s">
        <v>742</v>
      </c>
      <c r="B571" s="44" t="n">
        <v>45498</v>
      </c>
      <c r="C571" s="19" t="n">
        <f aca="false">YEAR(B571)</f>
        <v>2024</v>
      </c>
      <c r="D571" s="19" t="n">
        <f aca="false">MONTH(B571)</f>
        <v>7</v>
      </c>
      <c r="E571" s="30" t="str">
        <f aca="false">INDEX(Lists!$K$2:$K$13,MATCH(D571,Lists!$J$2:$J$13,0))</f>
        <v>يوليو</v>
      </c>
      <c r="F571" s="19" t="str">
        <f aca="false">"Q"&amp;ROUNDUP(D571/3,0)</f>
        <v>Q3</v>
      </c>
      <c r="G571" s="30" t="str">
        <f aca="false">INDEX(Lists!$N$2:$N$8,MATCH(WEEKDAY(B571,2),Lists!$M$2:$M$8,0))</f>
        <v>الخميس</v>
      </c>
      <c r="H571" s="30" t="s">
        <v>46</v>
      </c>
      <c r="I571" s="19" t="str">
        <f aca="false">INDEX(Lists!$B$2:$B$6,MATCH(H571,Lists!$A$2:$A$6,0))</f>
        <v>المنطقة الوسطى</v>
      </c>
      <c r="J571" s="30" t="s">
        <v>107</v>
      </c>
      <c r="K571" s="30" t="s">
        <v>115</v>
      </c>
      <c r="L571" s="31" t="n">
        <v>7439</v>
      </c>
      <c r="M571" s="19" t="n">
        <v>3</v>
      </c>
      <c r="N571" s="32" t="n">
        <v>0</v>
      </c>
      <c r="O571" s="30" t="s">
        <v>48</v>
      </c>
      <c r="P571" s="30" t="s">
        <v>47</v>
      </c>
      <c r="Q571" s="30" t="s">
        <v>78</v>
      </c>
      <c r="R571" s="25" t="n">
        <f aca="false">L571*M571*(1-N571)</f>
        <v>22317</v>
      </c>
    </row>
    <row r="572" customFormat="false" ht="15" hidden="false" customHeight="false" outlineLevel="0" collapsed="false">
      <c r="A572" s="30" t="s">
        <v>743</v>
      </c>
      <c r="B572" s="44" t="n">
        <v>45498</v>
      </c>
      <c r="C572" s="19" t="n">
        <f aca="false">YEAR(B572)</f>
        <v>2024</v>
      </c>
      <c r="D572" s="19" t="n">
        <f aca="false">MONTH(B572)</f>
        <v>7</v>
      </c>
      <c r="E572" s="30" t="str">
        <f aca="false">INDEX(Lists!$K$2:$K$13,MATCH(D572,Lists!$J$2:$J$13,0))</f>
        <v>يوليو</v>
      </c>
      <c r="F572" s="19" t="str">
        <f aca="false">"Q"&amp;ROUNDUP(D572/3,0)</f>
        <v>Q3</v>
      </c>
      <c r="G572" s="30" t="str">
        <f aca="false">INDEX(Lists!$N$2:$N$8,MATCH(WEEKDAY(B572,2),Lists!$M$2:$M$8,0))</f>
        <v>الخميس</v>
      </c>
      <c r="H572" s="30" t="s">
        <v>57</v>
      </c>
      <c r="I572" s="19" t="str">
        <f aca="false">INDEX(Lists!$B$2:$B$6,MATCH(H572,Lists!$A$2:$A$6,0))</f>
        <v>المنطقة الغربية</v>
      </c>
      <c r="J572" s="30" t="s">
        <v>107</v>
      </c>
      <c r="K572" s="30" t="s">
        <v>115</v>
      </c>
      <c r="L572" s="31" t="n">
        <v>2899</v>
      </c>
      <c r="M572" s="19" t="n">
        <v>1</v>
      </c>
      <c r="N572" s="32" t="n">
        <v>0.05</v>
      </c>
      <c r="O572" s="30" t="s">
        <v>55</v>
      </c>
      <c r="P572" s="30" t="s">
        <v>47</v>
      </c>
      <c r="Q572" s="30" t="s">
        <v>92</v>
      </c>
      <c r="R572" s="25" t="n">
        <f aca="false">L572*M572*(1-N572)</f>
        <v>2754.05</v>
      </c>
    </row>
    <row r="573" customFormat="false" ht="15" hidden="false" customHeight="false" outlineLevel="0" collapsed="false">
      <c r="A573" s="30" t="s">
        <v>744</v>
      </c>
      <c r="B573" s="44" t="n">
        <v>45499</v>
      </c>
      <c r="C573" s="19" t="n">
        <f aca="false">YEAR(B573)</f>
        <v>2024</v>
      </c>
      <c r="D573" s="19" t="n">
        <f aca="false">MONTH(B573)</f>
        <v>7</v>
      </c>
      <c r="E573" s="30" t="str">
        <f aca="false">INDEX(Lists!$K$2:$K$13,MATCH(D573,Lists!$J$2:$J$13,0))</f>
        <v>يوليو</v>
      </c>
      <c r="F573" s="19" t="str">
        <f aca="false">"Q"&amp;ROUNDUP(D573/3,0)</f>
        <v>Q3</v>
      </c>
      <c r="G573" s="30" t="str">
        <f aca="false">INDEX(Lists!$N$2:$N$8,MATCH(WEEKDAY(B573,2),Lists!$M$2:$M$8,0))</f>
        <v>الجمعة</v>
      </c>
      <c r="H573" s="30" t="s">
        <v>60</v>
      </c>
      <c r="I573" s="19" t="str">
        <f aca="false">INDEX(Lists!$B$2:$B$6,MATCH(H573,Lists!$A$2:$A$6,0))</f>
        <v>المنطقة الغربية</v>
      </c>
      <c r="J573" s="30" t="s">
        <v>105</v>
      </c>
      <c r="K573" s="30" t="s">
        <v>82</v>
      </c>
      <c r="L573" s="31" t="n">
        <v>859</v>
      </c>
      <c r="M573" s="19" t="n">
        <v>2</v>
      </c>
      <c r="N573" s="32" t="n">
        <v>0</v>
      </c>
      <c r="O573" s="30" t="s">
        <v>48</v>
      </c>
      <c r="P573" s="30" t="s">
        <v>47</v>
      </c>
      <c r="Q573" s="30" t="s">
        <v>86</v>
      </c>
      <c r="R573" s="25" t="n">
        <f aca="false">L573*M573*(1-N573)</f>
        <v>1718</v>
      </c>
    </row>
    <row r="574" customFormat="false" ht="15" hidden="false" customHeight="false" outlineLevel="0" collapsed="false">
      <c r="A574" s="30" t="s">
        <v>745</v>
      </c>
      <c r="B574" s="44" t="n">
        <v>45500</v>
      </c>
      <c r="C574" s="19" t="n">
        <f aca="false">YEAR(B574)</f>
        <v>2024</v>
      </c>
      <c r="D574" s="19" t="n">
        <f aca="false">MONTH(B574)</f>
        <v>7</v>
      </c>
      <c r="E574" s="30" t="str">
        <f aca="false">INDEX(Lists!$K$2:$K$13,MATCH(D574,Lists!$J$2:$J$13,0))</f>
        <v>يوليو</v>
      </c>
      <c r="F574" s="19" t="str">
        <f aca="false">"Q"&amp;ROUNDUP(D574/3,0)</f>
        <v>Q3</v>
      </c>
      <c r="G574" s="30" t="str">
        <f aca="false">INDEX(Lists!$N$2:$N$8,MATCH(WEEKDAY(B574,2),Lists!$M$2:$M$8,0))</f>
        <v>السبت</v>
      </c>
      <c r="H574" s="30" t="s">
        <v>54</v>
      </c>
      <c r="I574" s="19" t="str">
        <f aca="false">INDEX(Lists!$B$2:$B$6,MATCH(H574,Lists!$A$2:$A$6,0))</f>
        <v>المنطقة الشرقية</v>
      </c>
      <c r="J574" s="30" t="s">
        <v>107</v>
      </c>
      <c r="K574" s="30" t="s">
        <v>114</v>
      </c>
      <c r="L574" s="31" t="n">
        <v>6969</v>
      </c>
      <c r="M574" s="19" t="n">
        <v>1</v>
      </c>
      <c r="N574" s="32" t="n">
        <v>0</v>
      </c>
      <c r="O574" s="30" t="s">
        <v>55</v>
      </c>
      <c r="P574" s="30" t="s">
        <v>47</v>
      </c>
      <c r="Q574" s="30" t="s">
        <v>92</v>
      </c>
      <c r="R574" s="25" t="n">
        <f aca="false">L574*M574*(1-N574)</f>
        <v>6969</v>
      </c>
    </row>
    <row r="575" customFormat="false" ht="15" hidden="false" customHeight="false" outlineLevel="0" collapsed="false">
      <c r="A575" s="30" t="s">
        <v>746</v>
      </c>
      <c r="B575" s="44" t="n">
        <v>45500</v>
      </c>
      <c r="C575" s="19" t="n">
        <f aca="false">YEAR(B575)</f>
        <v>2024</v>
      </c>
      <c r="D575" s="19" t="n">
        <f aca="false">MONTH(B575)</f>
        <v>7</v>
      </c>
      <c r="E575" s="30" t="str">
        <f aca="false">INDEX(Lists!$K$2:$K$13,MATCH(D575,Lists!$J$2:$J$13,0))</f>
        <v>يوليو</v>
      </c>
      <c r="F575" s="19" t="str">
        <f aca="false">"Q"&amp;ROUNDUP(D575/3,0)</f>
        <v>Q3</v>
      </c>
      <c r="G575" s="30" t="str">
        <f aca="false">INDEX(Lists!$N$2:$N$8,MATCH(WEEKDAY(B575,2),Lists!$M$2:$M$8,0))</f>
        <v>السبت</v>
      </c>
      <c r="H575" s="30" t="s">
        <v>57</v>
      </c>
      <c r="I575" s="19" t="str">
        <f aca="false">INDEX(Lists!$B$2:$B$6,MATCH(H575,Lists!$A$2:$A$6,0))</f>
        <v>المنطقة الغربية</v>
      </c>
      <c r="J575" s="30" t="s">
        <v>107</v>
      </c>
      <c r="K575" s="30" t="s">
        <v>115</v>
      </c>
      <c r="L575" s="31" t="n">
        <v>5459</v>
      </c>
      <c r="M575" s="19" t="n">
        <v>1</v>
      </c>
      <c r="N575" s="32" t="n">
        <v>0.1</v>
      </c>
      <c r="O575" s="30" t="s">
        <v>48</v>
      </c>
      <c r="P575" s="30" t="s">
        <v>47</v>
      </c>
      <c r="Q575" s="30" t="s">
        <v>94</v>
      </c>
      <c r="R575" s="25" t="n">
        <f aca="false">L575*M575*(1-N575)</f>
        <v>4913.1</v>
      </c>
    </row>
    <row r="576" customFormat="false" ht="15" hidden="false" customHeight="false" outlineLevel="0" collapsed="false">
      <c r="A576" s="30" t="s">
        <v>747</v>
      </c>
      <c r="B576" s="44" t="n">
        <v>45500</v>
      </c>
      <c r="C576" s="19" t="n">
        <f aca="false">YEAR(B576)</f>
        <v>2024</v>
      </c>
      <c r="D576" s="19" t="n">
        <f aca="false">MONTH(B576)</f>
        <v>7</v>
      </c>
      <c r="E576" s="30" t="str">
        <f aca="false">INDEX(Lists!$K$2:$K$13,MATCH(D576,Lists!$J$2:$J$13,0))</f>
        <v>يوليو</v>
      </c>
      <c r="F576" s="19" t="str">
        <f aca="false">"Q"&amp;ROUNDUP(D576/3,0)</f>
        <v>Q3</v>
      </c>
      <c r="G576" s="30" t="str">
        <f aca="false">INDEX(Lists!$N$2:$N$8,MATCH(WEEKDAY(B576,2),Lists!$M$2:$M$8,0))</f>
        <v>السبت</v>
      </c>
      <c r="H576" s="30" t="s">
        <v>54</v>
      </c>
      <c r="I576" s="19" t="str">
        <f aca="false">INDEX(Lists!$B$2:$B$6,MATCH(H576,Lists!$A$2:$A$6,0))</f>
        <v>المنطقة الشرقية</v>
      </c>
      <c r="J576" s="30" t="s">
        <v>105</v>
      </c>
      <c r="K576" s="30" t="s">
        <v>90</v>
      </c>
      <c r="L576" s="31" t="n">
        <v>2899</v>
      </c>
      <c r="M576" s="19" t="n">
        <v>3</v>
      </c>
      <c r="N576" s="32" t="n">
        <v>0</v>
      </c>
      <c r="O576" s="30" t="s">
        <v>55</v>
      </c>
      <c r="P576" s="30" t="s">
        <v>47</v>
      </c>
      <c r="Q576" s="30" t="s">
        <v>78</v>
      </c>
      <c r="R576" s="25" t="n">
        <f aca="false">L576*M576*(1-N576)</f>
        <v>8697</v>
      </c>
    </row>
    <row r="577" customFormat="false" ht="15" hidden="false" customHeight="false" outlineLevel="0" collapsed="false">
      <c r="A577" s="30" t="s">
        <v>748</v>
      </c>
      <c r="B577" s="44" t="n">
        <v>45501</v>
      </c>
      <c r="C577" s="19" t="n">
        <f aca="false">YEAR(B577)</f>
        <v>2024</v>
      </c>
      <c r="D577" s="19" t="n">
        <f aca="false">MONTH(B577)</f>
        <v>7</v>
      </c>
      <c r="E577" s="30" t="str">
        <f aca="false">INDEX(Lists!$K$2:$K$13,MATCH(D577,Lists!$J$2:$J$13,0))</f>
        <v>يوليو</v>
      </c>
      <c r="F577" s="19" t="str">
        <f aca="false">"Q"&amp;ROUNDUP(D577/3,0)</f>
        <v>Q3</v>
      </c>
      <c r="G577" s="30" t="str">
        <f aca="false">INDEX(Lists!$N$2:$N$8,MATCH(WEEKDAY(B577,2),Lists!$M$2:$M$8,0))</f>
        <v>الأحد</v>
      </c>
      <c r="H577" s="30" t="s">
        <v>54</v>
      </c>
      <c r="I577" s="19" t="str">
        <f aca="false">INDEX(Lists!$B$2:$B$6,MATCH(H577,Lists!$A$2:$A$6,0))</f>
        <v>المنطقة الشرقية</v>
      </c>
      <c r="J577" s="30" t="s">
        <v>113</v>
      </c>
      <c r="K577" s="30" t="s">
        <v>97</v>
      </c>
      <c r="L577" s="31" t="n">
        <v>129</v>
      </c>
      <c r="M577" s="19" t="n">
        <v>1</v>
      </c>
      <c r="N577" s="32" t="n">
        <v>0.15</v>
      </c>
      <c r="O577" s="30" t="s">
        <v>55</v>
      </c>
      <c r="P577" s="30" t="s">
        <v>47</v>
      </c>
      <c r="Q577" s="30" t="s">
        <v>78</v>
      </c>
      <c r="R577" s="25" t="n">
        <f aca="false">L577*M577*(1-N577)</f>
        <v>109.65</v>
      </c>
    </row>
    <row r="578" customFormat="false" ht="15" hidden="false" customHeight="false" outlineLevel="0" collapsed="false">
      <c r="A578" s="30" t="s">
        <v>749</v>
      </c>
      <c r="B578" s="44" t="n">
        <v>45501</v>
      </c>
      <c r="C578" s="19" t="n">
        <f aca="false">YEAR(B578)</f>
        <v>2024</v>
      </c>
      <c r="D578" s="19" t="n">
        <f aca="false">MONTH(B578)</f>
        <v>7</v>
      </c>
      <c r="E578" s="30" t="str">
        <f aca="false">INDEX(Lists!$K$2:$K$13,MATCH(D578,Lists!$J$2:$J$13,0))</f>
        <v>يوليو</v>
      </c>
      <c r="F578" s="19" t="str">
        <f aca="false">"Q"&amp;ROUNDUP(D578/3,0)</f>
        <v>Q3</v>
      </c>
      <c r="G578" s="30" t="str">
        <f aca="false">INDEX(Lists!$N$2:$N$8,MATCH(WEEKDAY(B578,2),Lists!$M$2:$M$8,0))</f>
        <v>الأحد</v>
      </c>
      <c r="H578" s="30" t="s">
        <v>54</v>
      </c>
      <c r="I578" s="19" t="str">
        <f aca="false">INDEX(Lists!$B$2:$B$6,MATCH(H578,Lists!$A$2:$A$6,0))</f>
        <v>المنطقة الشرقية</v>
      </c>
      <c r="J578" s="30" t="s">
        <v>105</v>
      </c>
      <c r="K578" s="30" t="s">
        <v>90</v>
      </c>
      <c r="L578" s="31" t="n">
        <v>3519</v>
      </c>
      <c r="M578" s="19" t="n">
        <v>1</v>
      </c>
      <c r="N578" s="32" t="n">
        <v>0</v>
      </c>
      <c r="O578" s="30" t="s">
        <v>48</v>
      </c>
      <c r="P578" s="30" t="s">
        <v>47</v>
      </c>
      <c r="Q578" s="30" t="s">
        <v>94</v>
      </c>
      <c r="R578" s="25" t="n">
        <f aca="false">L578*M578*(1-N578)</f>
        <v>3519</v>
      </c>
    </row>
    <row r="579" customFormat="false" ht="15" hidden="false" customHeight="false" outlineLevel="0" collapsed="false">
      <c r="A579" s="30" t="s">
        <v>750</v>
      </c>
      <c r="B579" s="44" t="n">
        <v>45502</v>
      </c>
      <c r="C579" s="19" t="n">
        <f aca="false">YEAR(B579)</f>
        <v>2024</v>
      </c>
      <c r="D579" s="19" t="n">
        <f aca="false">MONTH(B579)</f>
        <v>7</v>
      </c>
      <c r="E579" s="30" t="str">
        <f aca="false">INDEX(Lists!$K$2:$K$13,MATCH(D579,Lists!$J$2:$J$13,0))</f>
        <v>يوليو</v>
      </c>
      <c r="F579" s="19" t="str">
        <f aca="false">"Q"&amp;ROUNDUP(D579/3,0)</f>
        <v>Q3</v>
      </c>
      <c r="G579" s="30" t="str">
        <f aca="false">INDEX(Lists!$N$2:$N$8,MATCH(WEEKDAY(B579,2),Lists!$M$2:$M$8,0))</f>
        <v>الإثنين</v>
      </c>
      <c r="H579" s="30" t="s">
        <v>46</v>
      </c>
      <c r="I579" s="19" t="str">
        <f aca="false">INDEX(Lists!$B$2:$B$6,MATCH(H579,Lists!$A$2:$A$6,0))</f>
        <v>المنطقة الوسطى</v>
      </c>
      <c r="J579" s="30" t="s">
        <v>105</v>
      </c>
      <c r="K579" s="30" t="s">
        <v>85</v>
      </c>
      <c r="L579" s="31" t="n">
        <v>2499</v>
      </c>
      <c r="M579" s="19" t="n">
        <v>1</v>
      </c>
      <c r="N579" s="32" t="n">
        <v>0.1</v>
      </c>
      <c r="O579" s="30" t="s">
        <v>48</v>
      </c>
      <c r="P579" s="30" t="s">
        <v>47</v>
      </c>
      <c r="Q579" s="30" t="s">
        <v>78</v>
      </c>
      <c r="R579" s="25" t="n">
        <f aca="false">L579*M579*(1-N579)</f>
        <v>2249.1</v>
      </c>
    </row>
    <row r="580" customFormat="false" ht="15" hidden="false" customHeight="false" outlineLevel="0" collapsed="false">
      <c r="A580" s="30" t="s">
        <v>751</v>
      </c>
      <c r="B580" s="44" t="n">
        <v>45503</v>
      </c>
      <c r="C580" s="19" t="n">
        <f aca="false">YEAR(B580)</f>
        <v>2024</v>
      </c>
      <c r="D580" s="19" t="n">
        <f aca="false">MONTH(B580)</f>
        <v>7</v>
      </c>
      <c r="E580" s="30" t="str">
        <f aca="false">INDEX(Lists!$K$2:$K$13,MATCH(D580,Lists!$J$2:$J$13,0))</f>
        <v>يوليو</v>
      </c>
      <c r="F580" s="19" t="str">
        <f aca="false">"Q"&amp;ROUNDUP(D580/3,0)</f>
        <v>Q3</v>
      </c>
      <c r="G580" s="30" t="str">
        <f aca="false">INDEX(Lists!$N$2:$N$8,MATCH(WEEKDAY(B580,2),Lists!$M$2:$M$8,0))</f>
        <v>الثلاثاء</v>
      </c>
      <c r="H580" s="30" t="s">
        <v>50</v>
      </c>
      <c r="I580" s="19" t="str">
        <f aca="false">INDEX(Lists!$B$2:$B$6,MATCH(H580,Lists!$A$2:$A$6,0))</f>
        <v>المنطقة الغربية</v>
      </c>
      <c r="J580" s="30" t="s">
        <v>109</v>
      </c>
      <c r="K580" s="30" t="s">
        <v>175</v>
      </c>
      <c r="L580" s="31" t="n">
        <v>79</v>
      </c>
      <c r="M580" s="19" t="n">
        <v>1</v>
      </c>
      <c r="N580" s="32" t="n">
        <v>0.2</v>
      </c>
      <c r="O580" s="30" t="s">
        <v>55</v>
      </c>
      <c r="P580" s="30" t="s">
        <v>47</v>
      </c>
      <c r="Q580" s="30" t="s">
        <v>81</v>
      </c>
      <c r="R580" s="25" t="n">
        <f aca="false">L580*M580*(1-N580)</f>
        <v>63.2</v>
      </c>
    </row>
    <row r="581" customFormat="false" ht="15" hidden="false" customHeight="false" outlineLevel="0" collapsed="false">
      <c r="A581" s="30" t="s">
        <v>752</v>
      </c>
      <c r="B581" s="44" t="n">
        <v>45503</v>
      </c>
      <c r="C581" s="19" t="n">
        <f aca="false">YEAR(B581)</f>
        <v>2024</v>
      </c>
      <c r="D581" s="19" t="n">
        <f aca="false">MONTH(B581)</f>
        <v>7</v>
      </c>
      <c r="E581" s="30" t="str">
        <f aca="false">INDEX(Lists!$K$2:$K$13,MATCH(D581,Lists!$J$2:$J$13,0))</f>
        <v>يوليو</v>
      </c>
      <c r="F581" s="19" t="str">
        <f aca="false">"Q"&amp;ROUNDUP(D581/3,0)</f>
        <v>Q3</v>
      </c>
      <c r="G581" s="30" t="str">
        <f aca="false">INDEX(Lists!$N$2:$N$8,MATCH(WEEKDAY(B581,2),Lists!$M$2:$M$8,0))</f>
        <v>الثلاثاء</v>
      </c>
      <c r="H581" s="30" t="s">
        <v>46</v>
      </c>
      <c r="I581" s="19" t="str">
        <f aca="false">INDEX(Lists!$B$2:$B$6,MATCH(H581,Lists!$A$2:$A$6,0))</f>
        <v>المنطقة الوسطى</v>
      </c>
      <c r="J581" s="30" t="s">
        <v>109</v>
      </c>
      <c r="K581" s="30" t="s">
        <v>93</v>
      </c>
      <c r="L581" s="31" t="n">
        <v>119</v>
      </c>
      <c r="M581" s="19" t="n">
        <v>1</v>
      </c>
      <c r="N581" s="32" t="n">
        <v>0</v>
      </c>
      <c r="O581" s="30" t="s">
        <v>48</v>
      </c>
      <c r="P581" s="30" t="s">
        <v>47</v>
      </c>
      <c r="Q581" s="30" t="s">
        <v>78</v>
      </c>
      <c r="R581" s="25" t="n">
        <f aca="false">L581*M581*(1-N581)</f>
        <v>119</v>
      </c>
    </row>
    <row r="582" customFormat="false" ht="15" hidden="false" customHeight="false" outlineLevel="0" collapsed="false">
      <c r="A582" s="30" t="s">
        <v>753</v>
      </c>
      <c r="B582" s="44" t="n">
        <v>45504</v>
      </c>
      <c r="C582" s="19" t="n">
        <f aca="false">YEAR(B582)</f>
        <v>2024</v>
      </c>
      <c r="D582" s="19" t="n">
        <f aca="false">MONTH(B582)</f>
        <v>7</v>
      </c>
      <c r="E582" s="30" t="str">
        <f aca="false">INDEX(Lists!$K$2:$K$13,MATCH(D582,Lists!$J$2:$J$13,0))</f>
        <v>يوليو</v>
      </c>
      <c r="F582" s="19" t="str">
        <f aca="false">"Q"&amp;ROUNDUP(D582/3,0)</f>
        <v>Q3</v>
      </c>
      <c r="G582" s="30" t="str">
        <f aca="false">INDEX(Lists!$N$2:$N$8,MATCH(WEEKDAY(B582,2),Lists!$M$2:$M$8,0))</f>
        <v>الأربعاء</v>
      </c>
      <c r="H582" s="30" t="s">
        <v>46</v>
      </c>
      <c r="I582" s="19" t="str">
        <f aca="false">INDEX(Lists!$B$2:$B$6,MATCH(H582,Lists!$A$2:$A$6,0))</f>
        <v>المنطقة الوسطى</v>
      </c>
      <c r="J582" s="30" t="s">
        <v>105</v>
      </c>
      <c r="K582" s="30" t="s">
        <v>179</v>
      </c>
      <c r="L582" s="31" t="n">
        <v>2359</v>
      </c>
      <c r="M582" s="19" t="n">
        <v>1</v>
      </c>
      <c r="N582" s="32" t="n">
        <v>0.05</v>
      </c>
      <c r="O582" s="30" t="s">
        <v>48</v>
      </c>
      <c r="P582" s="30" t="s">
        <v>47</v>
      </c>
      <c r="Q582" s="30" t="s">
        <v>86</v>
      </c>
      <c r="R582" s="25" t="n">
        <f aca="false">L582*M582*(1-N582)</f>
        <v>2241.05</v>
      </c>
    </row>
    <row r="583" customFormat="false" ht="15" hidden="false" customHeight="false" outlineLevel="0" collapsed="false">
      <c r="A583" s="30" t="s">
        <v>754</v>
      </c>
      <c r="B583" s="44" t="n">
        <v>45505</v>
      </c>
      <c r="C583" s="19" t="n">
        <f aca="false">YEAR(B583)</f>
        <v>2024</v>
      </c>
      <c r="D583" s="19" t="n">
        <f aca="false">MONTH(B583)</f>
        <v>8</v>
      </c>
      <c r="E583" s="30" t="str">
        <f aca="false">INDEX(Lists!$K$2:$K$13,MATCH(D583,Lists!$J$2:$J$13,0))</f>
        <v>أغسطس</v>
      </c>
      <c r="F583" s="19" t="str">
        <f aca="false">"Q"&amp;ROUNDUP(D583/3,0)</f>
        <v>Q3</v>
      </c>
      <c r="G583" s="30" t="str">
        <f aca="false">INDEX(Lists!$N$2:$N$8,MATCH(WEEKDAY(B583,2),Lists!$M$2:$M$8,0))</f>
        <v>الخميس</v>
      </c>
      <c r="H583" s="30" t="s">
        <v>54</v>
      </c>
      <c r="I583" s="19" t="str">
        <f aca="false">INDEX(Lists!$B$2:$B$6,MATCH(H583,Lists!$A$2:$A$6,0))</f>
        <v>المنطقة الشرقية</v>
      </c>
      <c r="J583" s="30" t="s">
        <v>109</v>
      </c>
      <c r="K583" s="30" t="s">
        <v>110</v>
      </c>
      <c r="L583" s="31" t="n">
        <v>229</v>
      </c>
      <c r="M583" s="19" t="n">
        <v>1</v>
      </c>
      <c r="N583" s="32" t="n">
        <v>0</v>
      </c>
      <c r="O583" s="30" t="s">
        <v>55</v>
      </c>
      <c r="P583" s="30" t="s">
        <v>47</v>
      </c>
      <c r="Q583" s="30" t="s">
        <v>78</v>
      </c>
      <c r="R583" s="25" t="n">
        <f aca="false">L583*M583*(1-N583)</f>
        <v>229</v>
      </c>
    </row>
    <row r="584" customFormat="false" ht="15" hidden="false" customHeight="false" outlineLevel="0" collapsed="false">
      <c r="A584" s="30" t="s">
        <v>755</v>
      </c>
      <c r="B584" s="44" t="n">
        <v>45505</v>
      </c>
      <c r="C584" s="19" t="n">
        <f aca="false">YEAR(B584)</f>
        <v>2024</v>
      </c>
      <c r="D584" s="19" t="n">
        <f aca="false">MONTH(B584)</f>
        <v>8</v>
      </c>
      <c r="E584" s="30" t="str">
        <f aca="false">INDEX(Lists!$K$2:$K$13,MATCH(D584,Lists!$J$2:$J$13,0))</f>
        <v>أغسطس</v>
      </c>
      <c r="F584" s="19" t="str">
        <f aca="false">"Q"&amp;ROUNDUP(D584/3,0)</f>
        <v>Q3</v>
      </c>
      <c r="G584" s="30" t="str">
        <f aca="false">INDEX(Lists!$N$2:$N$8,MATCH(WEEKDAY(B584,2),Lists!$M$2:$M$8,0))</f>
        <v>الخميس</v>
      </c>
      <c r="H584" s="30" t="s">
        <v>60</v>
      </c>
      <c r="I584" s="19" t="str">
        <f aca="false">INDEX(Lists!$B$2:$B$6,MATCH(H584,Lists!$A$2:$A$6,0))</f>
        <v>المنطقة الغربية</v>
      </c>
      <c r="J584" s="30" t="s">
        <v>113</v>
      </c>
      <c r="K584" s="30" t="s">
        <v>121</v>
      </c>
      <c r="L584" s="31" t="n">
        <v>169</v>
      </c>
      <c r="M584" s="19" t="n">
        <v>1</v>
      </c>
      <c r="N584" s="32" t="n">
        <v>0.05</v>
      </c>
      <c r="O584" s="30" t="s">
        <v>48</v>
      </c>
      <c r="P584" s="30" t="s">
        <v>47</v>
      </c>
      <c r="Q584" s="30" t="s">
        <v>76</v>
      </c>
      <c r="R584" s="25" t="n">
        <f aca="false">L584*M584*(1-N584)</f>
        <v>160.55</v>
      </c>
    </row>
    <row r="585" customFormat="false" ht="15" hidden="false" customHeight="false" outlineLevel="0" collapsed="false">
      <c r="A585" s="30" t="s">
        <v>756</v>
      </c>
      <c r="B585" s="44" t="n">
        <v>45505</v>
      </c>
      <c r="C585" s="19" t="n">
        <f aca="false">YEAR(B585)</f>
        <v>2024</v>
      </c>
      <c r="D585" s="19" t="n">
        <f aca="false">MONTH(B585)</f>
        <v>8</v>
      </c>
      <c r="E585" s="30" t="str">
        <f aca="false">INDEX(Lists!$K$2:$K$13,MATCH(D585,Lists!$J$2:$J$13,0))</f>
        <v>أغسطس</v>
      </c>
      <c r="F585" s="19" t="str">
        <f aca="false">"Q"&amp;ROUNDUP(D585/3,0)</f>
        <v>Q3</v>
      </c>
      <c r="G585" s="30" t="str">
        <f aca="false">INDEX(Lists!$N$2:$N$8,MATCH(WEEKDAY(B585,2),Lists!$M$2:$M$8,0))</f>
        <v>الخميس</v>
      </c>
      <c r="H585" s="30" t="s">
        <v>54</v>
      </c>
      <c r="I585" s="19" t="str">
        <f aca="false">INDEX(Lists!$B$2:$B$6,MATCH(H585,Lists!$A$2:$A$6,0))</f>
        <v>المنطقة الشرقية</v>
      </c>
      <c r="J585" s="30" t="s">
        <v>111</v>
      </c>
      <c r="K585" s="30" t="s">
        <v>122</v>
      </c>
      <c r="L585" s="31" t="n">
        <v>289</v>
      </c>
      <c r="M585" s="19" t="n">
        <v>1</v>
      </c>
      <c r="N585" s="32" t="n">
        <v>0.15</v>
      </c>
      <c r="O585" s="30" t="s">
        <v>48</v>
      </c>
      <c r="P585" s="30" t="s">
        <v>47</v>
      </c>
      <c r="Q585" s="30" t="s">
        <v>89</v>
      </c>
      <c r="R585" s="25" t="n">
        <f aca="false">L585*M585*(1-N585)</f>
        <v>245.65</v>
      </c>
    </row>
    <row r="586" customFormat="false" ht="15" hidden="false" customHeight="false" outlineLevel="0" collapsed="false">
      <c r="A586" s="30" t="s">
        <v>757</v>
      </c>
      <c r="B586" s="44" t="n">
        <v>45506</v>
      </c>
      <c r="C586" s="19" t="n">
        <f aca="false">YEAR(B586)</f>
        <v>2024</v>
      </c>
      <c r="D586" s="19" t="n">
        <f aca="false">MONTH(B586)</f>
        <v>8</v>
      </c>
      <c r="E586" s="30" t="str">
        <f aca="false">INDEX(Lists!$K$2:$K$13,MATCH(D586,Lists!$J$2:$J$13,0))</f>
        <v>أغسطس</v>
      </c>
      <c r="F586" s="19" t="str">
        <f aca="false">"Q"&amp;ROUNDUP(D586/3,0)</f>
        <v>Q3</v>
      </c>
      <c r="G586" s="30" t="str">
        <f aca="false">INDEX(Lists!$N$2:$N$8,MATCH(WEEKDAY(B586,2),Lists!$M$2:$M$8,0))</f>
        <v>الجمعة</v>
      </c>
      <c r="H586" s="30" t="s">
        <v>54</v>
      </c>
      <c r="I586" s="19" t="str">
        <f aca="false">INDEX(Lists!$B$2:$B$6,MATCH(H586,Lists!$A$2:$A$6,0))</f>
        <v>المنطقة الشرقية</v>
      </c>
      <c r="J586" s="30" t="s">
        <v>105</v>
      </c>
      <c r="K586" s="30" t="s">
        <v>179</v>
      </c>
      <c r="L586" s="31" t="n">
        <v>1309</v>
      </c>
      <c r="M586" s="19" t="n">
        <v>10</v>
      </c>
      <c r="N586" s="32" t="n">
        <v>0.05</v>
      </c>
      <c r="O586" s="30" t="s">
        <v>48</v>
      </c>
      <c r="P586" s="30" t="s">
        <v>47</v>
      </c>
      <c r="Q586" s="30" t="s">
        <v>94</v>
      </c>
      <c r="R586" s="25" t="n">
        <f aca="false">L586*M586*(1-N586)</f>
        <v>12435.5</v>
      </c>
    </row>
    <row r="587" customFormat="false" ht="15" hidden="false" customHeight="false" outlineLevel="0" collapsed="false">
      <c r="A587" s="30" t="s">
        <v>758</v>
      </c>
      <c r="B587" s="44" t="n">
        <v>45506</v>
      </c>
      <c r="C587" s="19" t="n">
        <f aca="false">YEAR(B587)</f>
        <v>2024</v>
      </c>
      <c r="D587" s="19" t="n">
        <f aca="false">MONTH(B587)</f>
        <v>8</v>
      </c>
      <c r="E587" s="30" t="str">
        <f aca="false">INDEX(Lists!$K$2:$K$13,MATCH(D587,Lists!$J$2:$J$13,0))</f>
        <v>أغسطس</v>
      </c>
      <c r="F587" s="19" t="str">
        <f aca="false">"Q"&amp;ROUNDUP(D587/3,0)</f>
        <v>Q3</v>
      </c>
      <c r="G587" s="30" t="str">
        <f aca="false">INDEX(Lists!$N$2:$N$8,MATCH(WEEKDAY(B587,2),Lists!$M$2:$M$8,0))</f>
        <v>الجمعة</v>
      </c>
      <c r="H587" s="30" t="s">
        <v>60</v>
      </c>
      <c r="I587" s="19" t="str">
        <f aca="false">INDEX(Lists!$B$2:$B$6,MATCH(H587,Lists!$A$2:$A$6,0))</f>
        <v>المنطقة الغربية</v>
      </c>
      <c r="J587" s="30" t="s">
        <v>107</v>
      </c>
      <c r="K587" s="30" t="s">
        <v>272</v>
      </c>
      <c r="L587" s="31" t="n">
        <v>5399</v>
      </c>
      <c r="M587" s="19" t="n">
        <v>1</v>
      </c>
      <c r="N587" s="32" t="n">
        <v>0.15</v>
      </c>
      <c r="O587" s="30" t="s">
        <v>52</v>
      </c>
      <c r="P587" s="30" t="s">
        <v>51</v>
      </c>
      <c r="Q587" s="30" t="s">
        <v>86</v>
      </c>
      <c r="R587" s="25" t="n">
        <f aca="false">L587*M587*(1-N587)</f>
        <v>4589.15</v>
      </c>
    </row>
    <row r="588" customFormat="false" ht="15" hidden="false" customHeight="false" outlineLevel="0" collapsed="false">
      <c r="A588" s="30" t="s">
        <v>759</v>
      </c>
      <c r="B588" s="44" t="n">
        <v>45506</v>
      </c>
      <c r="C588" s="19" t="n">
        <f aca="false">YEAR(B588)</f>
        <v>2024</v>
      </c>
      <c r="D588" s="19" t="n">
        <f aca="false">MONTH(B588)</f>
        <v>8</v>
      </c>
      <c r="E588" s="30" t="str">
        <f aca="false">INDEX(Lists!$K$2:$K$13,MATCH(D588,Lists!$J$2:$J$13,0))</f>
        <v>أغسطس</v>
      </c>
      <c r="F588" s="19" t="str">
        <f aca="false">"Q"&amp;ROUNDUP(D588/3,0)</f>
        <v>Q3</v>
      </c>
      <c r="G588" s="30" t="str">
        <f aca="false">INDEX(Lists!$N$2:$N$8,MATCH(WEEKDAY(B588,2),Lists!$M$2:$M$8,0))</f>
        <v>الجمعة</v>
      </c>
      <c r="H588" s="30" t="s">
        <v>57</v>
      </c>
      <c r="I588" s="19" t="str">
        <f aca="false">INDEX(Lists!$B$2:$B$6,MATCH(H588,Lists!$A$2:$A$6,0))</f>
        <v>المنطقة الغربية</v>
      </c>
      <c r="J588" s="30" t="s">
        <v>109</v>
      </c>
      <c r="K588" s="30" t="s">
        <v>110</v>
      </c>
      <c r="L588" s="31" t="n">
        <v>149</v>
      </c>
      <c r="M588" s="19" t="n">
        <v>1</v>
      </c>
      <c r="N588" s="32" t="n">
        <v>0</v>
      </c>
      <c r="O588" s="30" t="s">
        <v>58</v>
      </c>
      <c r="P588" s="30" t="s">
        <v>47</v>
      </c>
      <c r="Q588" s="30" t="s">
        <v>89</v>
      </c>
      <c r="R588" s="25" t="n">
        <f aca="false">L588*M588*(1-N588)</f>
        <v>149</v>
      </c>
    </row>
    <row r="589" customFormat="false" ht="15" hidden="false" customHeight="false" outlineLevel="0" collapsed="false">
      <c r="A589" s="30" t="s">
        <v>760</v>
      </c>
      <c r="B589" s="44" t="n">
        <v>45507</v>
      </c>
      <c r="C589" s="19" t="n">
        <f aca="false">YEAR(B589)</f>
        <v>2024</v>
      </c>
      <c r="D589" s="19" t="n">
        <f aca="false">MONTH(B589)</f>
        <v>8</v>
      </c>
      <c r="E589" s="30" t="str">
        <f aca="false">INDEX(Lists!$K$2:$K$13,MATCH(D589,Lists!$J$2:$J$13,0))</f>
        <v>أغسطس</v>
      </c>
      <c r="F589" s="19" t="str">
        <f aca="false">"Q"&amp;ROUNDUP(D589/3,0)</f>
        <v>Q3</v>
      </c>
      <c r="G589" s="30" t="str">
        <f aca="false">INDEX(Lists!$N$2:$N$8,MATCH(WEEKDAY(B589,2),Lists!$M$2:$M$8,0))</f>
        <v>السبت</v>
      </c>
      <c r="H589" s="30" t="s">
        <v>60</v>
      </c>
      <c r="I589" s="19" t="str">
        <f aca="false">INDEX(Lists!$B$2:$B$6,MATCH(H589,Lists!$A$2:$A$6,0))</f>
        <v>المنطقة الغربية</v>
      </c>
      <c r="J589" s="30" t="s">
        <v>109</v>
      </c>
      <c r="K589" s="30" t="s">
        <v>171</v>
      </c>
      <c r="L589" s="31" t="n">
        <v>69</v>
      </c>
      <c r="M589" s="19" t="n">
        <v>4</v>
      </c>
      <c r="N589" s="32" t="n">
        <v>0</v>
      </c>
      <c r="O589" s="30" t="s">
        <v>48</v>
      </c>
      <c r="P589" s="30" t="s">
        <v>51</v>
      </c>
      <c r="Q589" s="30" t="s">
        <v>92</v>
      </c>
      <c r="R589" s="25" t="n">
        <f aca="false">L589*M589*(1-N589)</f>
        <v>276</v>
      </c>
    </row>
    <row r="590" customFormat="false" ht="15" hidden="false" customHeight="false" outlineLevel="0" collapsed="false">
      <c r="A590" s="30" t="s">
        <v>761</v>
      </c>
      <c r="B590" s="44" t="n">
        <v>45507</v>
      </c>
      <c r="C590" s="19" t="n">
        <f aca="false">YEAR(B590)</f>
        <v>2024</v>
      </c>
      <c r="D590" s="19" t="n">
        <f aca="false">MONTH(B590)</f>
        <v>8</v>
      </c>
      <c r="E590" s="30" t="str">
        <f aca="false">INDEX(Lists!$K$2:$K$13,MATCH(D590,Lists!$J$2:$J$13,0))</f>
        <v>أغسطس</v>
      </c>
      <c r="F590" s="19" t="str">
        <f aca="false">"Q"&amp;ROUNDUP(D590/3,0)</f>
        <v>Q3</v>
      </c>
      <c r="G590" s="30" t="str">
        <f aca="false">INDEX(Lists!$N$2:$N$8,MATCH(WEEKDAY(B590,2),Lists!$M$2:$M$8,0))</f>
        <v>السبت</v>
      </c>
      <c r="H590" s="30" t="s">
        <v>60</v>
      </c>
      <c r="I590" s="19" t="str">
        <f aca="false">INDEX(Lists!$B$2:$B$6,MATCH(H590,Lists!$A$2:$A$6,0))</f>
        <v>المنطقة الغربية</v>
      </c>
      <c r="J590" s="30" t="s">
        <v>113</v>
      </c>
      <c r="K590" s="30" t="s">
        <v>95</v>
      </c>
      <c r="L590" s="31" t="n">
        <v>99</v>
      </c>
      <c r="M590" s="19" t="n">
        <v>1</v>
      </c>
      <c r="N590" s="32" t="n">
        <v>0.1</v>
      </c>
      <c r="O590" s="30" t="s">
        <v>55</v>
      </c>
      <c r="P590" s="30" t="s">
        <v>47</v>
      </c>
      <c r="Q590" s="30" t="s">
        <v>84</v>
      </c>
      <c r="R590" s="25" t="n">
        <f aca="false">L590*M590*(1-N590)</f>
        <v>89.1</v>
      </c>
    </row>
    <row r="591" customFormat="false" ht="15" hidden="false" customHeight="false" outlineLevel="0" collapsed="false">
      <c r="A591" s="30" t="s">
        <v>762</v>
      </c>
      <c r="B591" s="44" t="n">
        <v>45507</v>
      </c>
      <c r="C591" s="19" t="n">
        <f aca="false">YEAR(B591)</f>
        <v>2024</v>
      </c>
      <c r="D591" s="19" t="n">
        <f aca="false">MONTH(B591)</f>
        <v>8</v>
      </c>
      <c r="E591" s="30" t="str">
        <f aca="false">INDEX(Lists!$K$2:$K$13,MATCH(D591,Lists!$J$2:$J$13,0))</f>
        <v>أغسطس</v>
      </c>
      <c r="F591" s="19" t="str">
        <f aca="false">"Q"&amp;ROUNDUP(D591/3,0)</f>
        <v>Q3</v>
      </c>
      <c r="G591" s="30" t="str">
        <f aca="false">INDEX(Lists!$N$2:$N$8,MATCH(WEEKDAY(B591,2),Lists!$M$2:$M$8,0))</f>
        <v>السبت</v>
      </c>
      <c r="H591" s="30" t="s">
        <v>46</v>
      </c>
      <c r="I591" s="19" t="str">
        <f aca="false">INDEX(Lists!$B$2:$B$6,MATCH(H591,Lists!$A$2:$A$6,0))</f>
        <v>المنطقة الوسطى</v>
      </c>
      <c r="J591" s="30" t="s">
        <v>111</v>
      </c>
      <c r="K591" s="30" t="s">
        <v>118</v>
      </c>
      <c r="L591" s="31" t="n">
        <v>589</v>
      </c>
      <c r="M591" s="19" t="n">
        <v>2</v>
      </c>
      <c r="N591" s="32" t="n">
        <v>0.15</v>
      </c>
      <c r="O591" s="30" t="s">
        <v>55</v>
      </c>
      <c r="P591" s="30" t="s">
        <v>51</v>
      </c>
      <c r="Q591" s="30" t="s">
        <v>99</v>
      </c>
      <c r="R591" s="25" t="n">
        <f aca="false">L591*M591*(1-N591)</f>
        <v>1001.3</v>
      </c>
    </row>
    <row r="592" customFormat="false" ht="15" hidden="false" customHeight="false" outlineLevel="0" collapsed="false">
      <c r="A592" s="30" t="s">
        <v>763</v>
      </c>
      <c r="B592" s="44" t="n">
        <v>45507</v>
      </c>
      <c r="C592" s="19" t="n">
        <f aca="false">YEAR(B592)</f>
        <v>2024</v>
      </c>
      <c r="D592" s="19" t="n">
        <f aca="false">MONTH(B592)</f>
        <v>8</v>
      </c>
      <c r="E592" s="30" t="str">
        <f aca="false">INDEX(Lists!$K$2:$K$13,MATCH(D592,Lists!$J$2:$J$13,0))</f>
        <v>أغسطس</v>
      </c>
      <c r="F592" s="19" t="str">
        <f aca="false">"Q"&amp;ROUNDUP(D592/3,0)</f>
        <v>Q3</v>
      </c>
      <c r="G592" s="30" t="str">
        <f aca="false">INDEX(Lists!$N$2:$N$8,MATCH(WEEKDAY(B592,2),Lists!$M$2:$M$8,0))</f>
        <v>السبت</v>
      </c>
      <c r="H592" s="30" t="s">
        <v>54</v>
      </c>
      <c r="I592" s="19" t="str">
        <f aca="false">INDEX(Lists!$B$2:$B$6,MATCH(H592,Lists!$A$2:$A$6,0))</f>
        <v>المنطقة الشرقية</v>
      </c>
      <c r="J592" s="30" t="s">
        <v>107</v>
      </c>
      <c r="K592" s="30" t="s">
        <v>184</v>
      </c>
      <c r="L592" s="31" t="n">
        <v>5489</v>
      </c>
      <c r="M592" s="19" t="n">
        <v>1</v>
      </c>
      <c r="N592" s="32" t="n">
        <v>0</v>
      </c>
      <c r="O592" s="30" t="s">
        <v>52</v>
      </c>
      <c r="P592" s="30" t="s">
        <v>47</v>
      </c>
      <c r="Q592" s="30" t="s">
        <v>76</v>
      </c>
      <c r="R592" s="25" t="n">
        <f aca="false">L592*M592*(1-N592)</f>
        <v>5489</v>
      </c>
    </row>
    <row r="593" customFormat="false" ht="15" hidden="false" customHeight="false" outlineLevel="0" collapsed="false">
      <c r="A593" s="30" t="s">
        <v>764</v>
      </c>
      <c r="B593" s="44" t="n">
        <v>45507</v>
      </c>
      <c r="C593" s="19" t="n">
        <f aca="false">YEAR(B593)</f>
        <v>2024</v>
      </c>
      <c r="D593" s="19" t="n">
        <f aca="false">MONTH(B593)</f>
        <v>8</v>
      </c>
      <c r="E593" s="30" t="str">
        <f aca="false">INDEX(Lists!$K$2:$K$13,MATCH(D593,Lists!$J$2:$J$13,0))</f>
        <v>أغسطس</v>
      </c>
      <c r="F593" s="19" t="str">
        <f aca="false">"Q"&amp;ROUNDUP(D593/3,0)</f>
        <v>Q3</v>
      </c>
      <c r="G593" s="30" t="str">
        <f aca="false">INDEX(Lists!$N$2:$N$8,MATCH(WEEKDAY(B593,2),Lists!$M$2:$M$8,0))</f>
        <v>السبت</v>
      </c>
      <c r="H593" s="30" t="s">
        <v>46</v>
      </c>
      <c r="I593" s="19" t="str">
        <f aca="false">INDEX(Lists!$B$2:$B$6,MATCH(H593,Lists!$A$2:$A$6,0))</f>
        <v>المنطقة الوسطى</v>
      </c>
      <c r="J593" s="30" t="s">
        <v>109</v>
      </c>
      <c r="K593" s="30" t="s">
        <v>175</v>
      </c>
      <c r="L593" s="31" t="n">
        <v>79</v>
      </c>
      <c r="M593" s="19" t="n">
        <v>1</v>
      </c>
      <c r="N593" s="32" t="n">
        <v>0.1</v>
      </c>
      <c r="O593" s="30" t="s">
        <v>55</v>
      </c>
      <c r="P593" s="30" t="s">
        <v>47</v>
      </c>
      <c r="Q593" s="30" t="s">
        <v>96</v>
      </c>
      <c r="R593" s="25" t="n">
        <f aca="false">L593*M593*(1-N593)</f>
        <v>71.1</v>
      </c>
    </row>
    <row r="594" customFormat="false" ht="15" hidden="false" customHeight="false" outlineLevel="0" collapsed="false">
      <c r="A594" s="30" t="s">
        <v>765</v>
      </c>
      <c r="B594" s="44" t="n">
        <v>45507</v>
      </c>
      <c r="C594" s="19" t="n">
        <f aca="false">YEAR(B594)</f>
        <v>2024</v>
      </c>
      <c r="D594" s="19" t="n">
        <f aca="false">MONTH(B594)</f>
        <v>8</v>
      </c>
      <c r="E594" s="30" t="str">
        <f aca="false">INDEX(Lists!$K$2:$K$13,MATCH(D594,Lists!$J$2:$J$13,0))</f>
        <v>أغسطس</v>
      </c>
      <c r="F594" s="19" t="str">
        <f aca="false">"Q"&amp;ROUNDUP(D594/3,0)</f>
        <v>Q3</v>
      </c>
      <c r="G594" s="30" t="str">
        <f aca="false">INDEX(Lists!$N$2:$N$8,MATCH(WEEKDAY(B594,2),Lists!$M$2:$M$8,0))</f>
        <v>السبت</v>
      </c>
      <c r="H594" s="30" t="s">
        <v>50</v>
      </c>
      <c r="I594" s="19" t="str">
        <f aca="false">INDEX(Lists!$B$2:$B$6,MATCH(H594,Lists!$A$2:$A$6,0))</f>
        <v>المنطقة الغربية</v>
      </c>
      <c r="J594" s="30" t="s">
        <v>107</v>
      </c>
      <c r="K594" s="30" t="s">
        <v>115</v>
      </c>
      <c r="L594" s="31" t="n">
        <v>4769</v>
      </c>
      <c r="M594" s="19" t="n">
        <v>1</v>
      </c>
      <c r="N594" s="32" t="n">
        <v>0.1</v>
      </c>
      <c r="O594" s="30" t="s">
        <v>55</v>
      </c>
      <c r="P594" s="30" t="s">
        <v>47</v>
      </c>
      <c r="Q594" s="30" t="s">
        <v>84</v>
      </c>
      <c r="R594" s="25" t="n">
        <f aca="false">L594*M594*(1-N594)</f>
        <v>4292.1</v>
      </c>
    </row>
    <row r="595" customFormat="false" ht="15" hidden="false" customHeight="false" outlineLevel="0" collapsed="false">
      <c r="A595" s="30" t="s">
        <v>766</v>
      </c>
      <c r="B595" s="44" t="n">
        <v>45507</v>
      </c>
      <c r="C595" s="19" t="n">
        <f aca="false">YEAR(B595)</f>
        <v>2024</v>
      </c>
      <c r="D595" s="19" t="n">
        <f aca="false">MONTH(B595)</f>
        <v>8</v>
      </c>
      <c r="E595" s="30" t="str">
        <f aca="false">INDEX(Lists!$K$2:$K$13,MATCH(D595,Lists!$J$2:$J$13,0))</f>
        <v>أغسطس</v>
      </c>
      <c r="F595" s="19" t="str">
        <f aca="false">"Q"&amp;ROUNDUP(D595/3,0)</f>
        <v>Q3</v>
      </c>
      <c r="G595" s="30" t="str">
        <f aca="false">INDEX(Lists!$N$2:$N$8,MATCH(WEEKDAY(B595,2),Lists!$M$2:$M$8,0))</f>
        <v>السبت</v>
      </c>
      <c r="H595" s="30" t="s">
        <v>46</v>
      </c>
      <c r="I595" s="19" t="str">
        <f aca="false">INDEX(Lists!$B$2:$B$6,MATCH(H595,Lists!$A$2:$A$6,0))</f>
        <v>المنطقة الوسطى</v>
      </c>
      <c r="J595" s="30" t="s">
        <v>109</v>
      </c>
      <c r="K595" s="30" t="s">
        <v>175</v>
      </c>
      <c r="L595" s="31" t="n">
        <v>289</v>
      </c>
      <c r="M595" s="19" t="n">
        <v>1</v>
      </c>
      <c r="N595" s="32" t="n">
        <v>0.05</v>
      </c>
      <c r="O595" s="30" t="s">
        <v>48</v>
      </c>
      <c r="P595" s="30" t="s">
        <v>47</v>
      </c>
      <c r="Q595" s="30" t="s">
        <v>94</v>
      </c>
      <c r="R595" s="25" t="n">
        <f aca="false">L595*M595*(1-N595)</f>
        <v>274.55</v>
      </c>
    </row>
    <row r="596" customFormat="false" ht="15" hidden="false" customHeight="false" outlineLevel="0" collapsed="false">
      <c r="A596" s="30" t="s">
        <v>767</v>
      </c>
      <c r="B596" s="44" t="n">
        <v>45508</v>
      </c>
      <c r="C596" s="19" t="n">
        <f aca="false">YEAR(B596)</f>
        <v>2024</v>
      </c>
      <c r="D596" s="19" t="n">
        <f aca="false">MONTH(B596)</f>
        <v>8</v>
      </c>
      <c r="E596" s="30" t="str">
        <f aca="false">INDEX(Lists!$K$2:$K$13,MATCH(D596,Lists!$J$2:$J$13,0))</f>
        <v>أغسطس</v>
      </c>
      <c r="F596" s="19" t="str">
        <f aca="false">"Q"&amp;ROUNDUP(D596/3,0)</f>
        <v>Q3</v>
      </c>
      <c r="G596" s="30" t="str">
        <f aca="false">INDEX(Lists!$N$2:$N$8,MATCH(WEEKDAY(B596,2),Lists!$M$2:$M$8,0))</f>
        <v>الأحد</v>
      </c>
      <c r="H596" s="30" t="s">
        <v>54</v>
      </c>
      <c r="I596" s="19" t="str">
        <f aca="false">INDEX(Lists!$B$2:$B$6,MATCH(H596,Lists!$A$2:$A$6,0))</f>
        <v>المنطقة الشرقية</v>
      </c>
      <c r="J596" s="30" t="s">
        <v>111</v>
      </c>
      <c r="K596" s="30" t="s">
        <v>108</v>
      </c>
      <c r="L596" s="31" t="n">
        <v>409</v>
      </c>
      <c r="M596" s="19" t="n">
        <v>2</v>
      </c>
      <c r="N596" s="32" t="n">
        <v>0.05</v>
      </c>
      <c r="O596" s="30" t="s">
        <v>48</v>
      </c>
      <c r="P596" s="30" t="s">
        <v>47</v>
      </c>
      <c r="Q596" s="30" t="s">
        <v>99</v>
      </c>
      <c r="R596" s="25" t="n">
        <f aca="false">L596*M596*(1-N596)</f>
        <v>777.1</v>
      </c>
    </row>
    <row r="597" customFormat="false" ht="15" hidden="false" customHeight="false" outlineLevel="0" collapsed="false">
      <c r="A597" s="30" t="s">
        <v>768</v>
      </c>
      <c r="B597" s="44" t="n">
        <v>45509</v>
      </c>
      <c r="C597" s="19" t="n">
        <f aca="false">YEAR(B597)</f>
        <v>2024</v>
      </c>
      <c r="D597" s="19" t="n">
        <f aca="false">MONTH(B597)</f>
        <v>8</v>
      </c>
      <c r="E597" s="30" t="str">
        <f aca="false">INDEX(Lists!$K$2:$K$13,MATCH(D597,Lists!$J$2:$J$13,0))</f>
        <v>أغسطس</v>
      </c>
      <c r="F597" s="19" t="str">
        <f aca="false">"Q"&amp;ROUNDUP(D597/3,0)</f>
        <v>Q3</v>
      </c>
      <c r="G597" s="30" t="str">
        <f aca="false">INDEX(Lists!$N$2:$N$8,MATCH(WEEKDAY(B597,2),Lists!$M$2:$M$8,0))</f>
        <v>الإثنين</v>
      </c>
      <c r="H597" s="30" t="s">
        <v>54</v>
      </c>
      <c r="I597" s="19" t="str">
        <f aca="false">INDEX(Lists!$B$2:$B$6,MATCH(H597,Lists!$A$2:$A$6,0))</f>
        <v>المنطقة الشرقية</v>
      </c>
      <c r="J597" s="30" t="s">
        <v>109</v>
      </c>
      <c r="K597" s="30" t="s">
        <v>192</v>
      </c>
      <c r="L597" s="31" t="n">
        <v>109</v>
      </c>
      <c r="M597" s="19" t="n">
        <v>2</v>
      </c>
      <c r="N597" s="32" t="n">
        <v>0</v>
      </c>
      <c r="O597" s="30" t="s">
        <v>55</v>
      </c>
      <c r="P597" s="30" t="s">
        <v>47</v>
      </c>
      <c r="Q597" s="30" t="s">
        <v>78</v>
      </c>
      <c r="R597" s="25" t="n">
        <f aca="false">L597*M597*(1-N597)</f>
        <v>218</v>
      </c>
    </row>
    <row r="598" customFormat="false" ht="15" hidden="false" customHeight="false" outlineLevel="0" collapsed="false">
      <c r="A598" s="30" t="s">
        <v>769</v>
      </c>
      <c r="B598" s="44" t="n">
        <v>45509</v>
      </c>
      <c r="C598" s="19" t="n">
        <f aca="false">YEAR(B598)</f>
        <v>2024</v>
      </c>
      <c r="D598" s="19" t="n">
        <f aca="false">MONTH(B598)</f>
        <v>8</v>
      </c>
      <c r="E598" s="30" t="str">
        <f aca="false">INDEX(Lists!$K$2:$K$13,MATCH(D598,Lists!$J$2:$J$13,0))</f>
        <v>أغسطس</v>
      </c>
      <c r="F598" s="19" t="str">
        <f aca="false">"Q"&amp;ROUNDUP(D598/3,0)</f>
        <v>Q3</v>
      </c>
      <c r="G598" s="30" t="str">
        <f aca="false">INDEX(Lists!$N$2:$N$8,MATCH(WEEKDAY(B598,2),Lists!$M$2:$M$8,0))</f>
        <v>الإثنين</v>
      </c>
      <c r="H598" s="30" t="s">
        <v>46</v>
      </c>
      <c r="I598" s="19" t="str">
        <f aca="false">INDEX(Lists!$B$2:$B$6,MATCH(H598,Lists!$A$2:$A$6,0))</f>
        <v>المنطقة الوسطى</v>
      </c>
      <c r="J598" s="30" t="s">
        <v>107</v>
      </c>
      <c r="K598" s="30" t="s">
        <v>184</v>
      </c>
      <c r="L598" s="31" t="n">
        <v>3919</v>
      </c>
      <c r="M598" s="19" t="n">
        <v>2</v>
      </c>
      <c r="N598" s="32" t="n">
        <v>0</v>
      </c>
      <c r="O598" s="30" t="s">
        <v>48</v>
      </c>
      <c r="P598" s="30" t="s">
        <v>47</v>
      </c>
      <c r="Q598" s="30" t="s">
        <v>84</v>
      </c>
      <c r="R598" s="25" t="n">
        <f aca="false">L598*M598*(1-N598)</f>
        <v>7838</v>
      </c>
    </row>
    <row r="599" customFormat="false" ht="15" hidden="false" customHeight="false" outlineLevel="0" collapsed="false">
      <c r="A599" s="30" t="s">
        <v>770</v>
      </c>
      <c r="B599" s="44" t="n">
        <v>45509</v>
      </c>
      <c r="C599" s="19" t="n">
        <f aca="false">YEAR(B599)</f>
        <v>2024</v>
      </c>
      <c r="D599" s="19" t="n">
        <f aca="false">MONTH(B599)</f>
        <v>8</v>
      </c>
      <c r="E599" s="30" t="str">
        <f aca="false">INDEX(Lists!$K$2:$K$13,MATCH(D599,Lists!$J$2:$J$13,0))</f>
        <v>أغسطس</v>
      </c>
      <c r="F599" s="19" t="str">
        <f aca="false">"Q"&amp;ROUNDUP(D599/3,0)</f>
        <v>Q3</v>
      </c>
      <c r="G599" s="30" t="str">
        <f aca="false">INDEX(Lists!$N$2:$N$8,MATCH(WEEKDAY(B599,2),Lists!$M$2:$M$8,0))</f>
        <v>الإثنين</v>
      </c>
      <c r="H599" s="30" t="s">
        <v>57</v>
      </c>
      <c r="I599" s="19" t="str">
        <f aca="false">INDEX(Lists!$B$2:$B$6,MATCH(H599,Lists!$A$2:$A$6,0))</f>
        <v>المنطقة الغربية</v>
      </c>
      <c r="J599" s="30" t="s">
        <v>113</v>
      </c>
      <c r="K599" s="30" t="s">
        <v>121</v>
      </c>
      <c r="L599" s="31" t="n">
        <v>719</v>
      </c>
      <c r="M599" s="19" t="n">
        <v>1</v>
      </c>
      <c r="N599" s="32" t="n">
        <v>0</v>
      </c>
      <c r="O599" s="30" t="s">
        <v>58</v>
      </c>
      <c r="P599" s="30" t="s">
        <v>47</v>
      </c>
      <c r="Q599" s="30" t="s">
        <v>99</v>
      </c>
      <c r="R599" s="25" t="n">
        <f aca="false">L599*M599*(1-N599)</f>
        <v>719</v>
      </c>
    </row>
    <row r="600" customFormat="false" ht="15" hidden="false" customHeight="false" outlineLevel="0" collapsed="false">
      <c r="A600" s="30" t="s">
        <v>771</v>
      </c>
      <c r="B600" s="44" t="n">
        <v>45509</v>
      </c>
      <c r="C600" s="19" t="n">
        <f aca="false">YEAR(B600)</f>
        <v>2024</v>
      </c>
      <c r="D600" s="19" t="n">
        <f aca="false">MONTH(B600)</f>
        <v>8</v>
      </c>
      <c r="E600" s="30" t="str">
        <f aca="false">INDEX(Lists!$K$2:$K$13,MATCH(D600,Lists!$J$2:$J$13,0))</f>
        <v>أغسطس</v>
      </c>
      <c r="F600" s="19" t="str">
        <f aca="false">"Q"&amp;ROUNDUP(D600/3,0)</f>
        <v>Q3</v>
      </c>
      <c r="G600" s="30" t="str">
        <f aca="false">INDEX(Lists!$N$2:$N$8,MATCH(WEEKDAY(B600,2),Lists!$M$2:$M$8,0))</f>
        <v>الإثنين</v>
      </c>
      <c r="H600" s="30" t="s">
        <v>50</v>
      </c>
      <c r="I600" s="19" t="str">
        <f aca="false">INDEX(Lists!$B$2:$B$6,MATCH(H600,Lists!$A$2:$A$6,0))</f>
        <v>المنطقة الغربية</v>
      </c>
      <c r="J600" s="30" t="s">
        <v>109</v>
      </c>
      <c r="K600" s="30" t="s">
        <v>93</v>
      </c>
      <c r="L600" s="31" t="n">
        <v>259</v>
      </c>
      <c r="M600" s="19" t="n">
        <v>2</v>
      </c>
      <c r="N600" s="32" t="n">
        <v>0</v>
      </c>
      <c r="O600" s="30" t="s">
        <v>48</v>
      </c>
      <c r="P600" s="30" t="s">
        <v>47</v>
      </c>
      <c r="Q600" s="30" t="s">
        <v>81</v>
      </c>
      <c r="R600" s="25" t="n">
        <f aca="false">L600*M600*(1-N600)</f>
        <v>518</v>
      </c>
    </row>
    <row r="601" customFormat="false" ht="15" hidden="false" customHeight="false" outlineLevel="0" collapsed="false">
      <c r="A601" s="30" t="s">
        <v>772</v>
      </c>
      <c r="B601" s="44" t="n">
        <v>45509</v>
      </c>
      <c r="C601" s="19" t="n">
        <f aca="false">YEAR(B601)</f>
        <v>2024</v>
      </c>
      <c r="D601" s="19" t="n">
        <f aca="false">MONTH(B601)</f>
        <v>8</v>
      </c>
      <c r="E601" s="30" t="str">
        <f aca="false">INDEX(Lists!$K$2:$K$13,MATCH(D601,Lists!$J$2:$J$13,0))</f>
        <v>أغسطس</v>
      </c>
      <c r="F601" s="19" t="str">
        <f aca="false">"Q"&amp;ROUNDUP(D601/3,0)</f>
        <v>Q3</v>
      </c>
      <c r="G601" s="30" t="str">
        <f aca="false">INDEX(Lists!$N$2:$N$8,MATCH(WEEKDAY(B601,2),Lists!$M$2:$M$8,0))</f>
        <v>الإثنين</v>
      </c>
      <c r="H601" s="30" t="s">
        <v>54</v>
      </c>
      <c r="I601" s="19" t="str">
        <f aca="false">INDEX(Lists!$B$2:$B$6,MATCH(H601,Lists!$A$2:$A$6,0))</f>
        <v>المنطقة الشرقية</v>
      </c>
      <c r="J601" s="30" t="s">
        <v>109</v>
      </c>
      <c r="K601" s="30" t="s">
        <v>175</v>
      </c>
      <c r="L601" s="31" t="n">
        <v>299</v>
      </c>
      <c r="M601" s="19" t="n">
        <v>1</v>
      </c>
      <c r="N601" s="32" t="n">
        <v>0.15</v>
      </c>
      <c r="O601" s="30" t="s">
        <v>48</v>
      </c>
      <c r="P601" s="30" t="s">
        <v>47</v>
      </c>
      <c r="Q601" s="30" t="s">
        <v>81</v>
      </c>
      <c r="R601" s="25" t="n">
        <f aca="false">L601*M601*(1-N601)</f>
        <v>254.15</v>
      </c>
    </row>
    <row r="602" customFormat="false" ht="15" hidden="false" customHeight="false" outlineLevel="0" collapsed="false">
      <c r="A602" s="30" t="s">
        <v>773</v>
      </c>
      <c r="B602" s="44" t="n">
        <v>45510</v>
      </c>
      <c r="C602" s="19" t="n">
        <f aca="false">YEAR(B602)</f>
        <v>2024</v>
      </c>
      <c r="D602" s="19" t="n">
        <f aca="false">MONTH(B602)</f>
        <v>8</v>
      </c>
      <c r="E602" s="30" t="str">
        <f aca="false">INDEX(Lists!$K$2:$K$13,MATCH(D602,Lists!$J$2:$J$13,0))</f>
        <v>أغسطس</v>
      </c>
      <c r="F602" s="19" t="str">
        <f aca="false">"Q"&amp;ROUNDUP(D602/3,0)</f>
        <v>Q3</v>
      </c>
      <c r="G602" s="30" t="str">
        <f aca="false">INDEX(Lists!$N$2:$N$8,MATCH(WEEKDAY(B602,2),Lists!$M$2:$M$8,0))</f>
        <v>الثلاثاء</v>
      </c>
      <c r="H602" s="30" t="s">
        <v>50</v>
      </c>
      <c r="I602" s="19" t="str">
        <f aca="false">INDEX(Lists!$B$2:$B$6,MATCH(H602,Lists!$A$2:$A$6,0))</f>
        <v>المنطقة الغربية</v>
      </c>
      <c r="J602" s="30" t="s">
        <v>105</v>
      </c>
      <c r="K602" s="30" t="s">
        <v>82</v>
      </c>
      <c r="L602" s="31" t="n">
        <v>1899</v>
      </c>
      <c r="M602" s="19" t="n">
        <v>2</v>
      </c>
      <c r="N602" s="32" t="n">
        <v>0.2</v>
      </c>
      <c r="O602" s="30" t="s">
        <v>52</v>
      </c>
      <c r="P602" s="30" t="s">
        <v>47</v>
      </c>
      <c r="Q602" s="30" t="s">
        <v>99</v>
      </c>
      <c r="R602" s="25" t="n">
        <f aca="false">L602*M602*(1-N602)</f>
        <v>3038.4</v>
      </c>
    </row>
    <row r="603" customFormat="false" ht="15" hidden="false" customHeight="false" outlineLevel="0" collapsed="false">
      <c r="A603" s="30" t="s">
        <v>774</v>
      </c>
      <c r="B603" s="44" t="n">
        <v>45510</v>
      </c>
      <c r="C603" s="19" t="n">
        <f aca="false">YEAR(B603)</f>
        <v>2024</v>
      </c>
      <c r="D603" s="19" t="n">
        <f aca="false">MONTH(B603)</f>
        <v>8</v>
      </c>
      <c r="E603" s="30" t="str">
        <f aca="false">INDEX(Lists!$K$2:$K$13,MATCH(D603,Lists!$J$2:$J$13,0))</f>
        <v>أغسطس</v>
      </c>
      <c r="F603" s="19" t="str">
        <f aca="false">"Q"&amp;ROUNDUP(D603/3,0)</f>
        <v>Q3</v>
      </c>
      <c r="G603" s="30" t="str">
        <f aca="false">INDEX(Lists!$N$2:$N$8,MATCH(WEEKDAY(B603,2),Lists!$M$2:$M$8,0))</f>
        <v>الثلاثاء</v>
      </c>
      <c r="H603" s="30" t="s">
        <v>60</v>
      </c>
      <c r="I603" s="19" t="str">
        <f aca="false">INDEX(Lists!$B$2:$B$6,MATCH(H603,Lists!$A$2:$A$6,0))</f>
        <v>المنطقة الغربية</v>
      </c>
      <c r="J603" s="30" t="s">
        <v>109</v>
      </c>
      <c r="K603" s="30" t="s">
        <v>110</v>
      </c>
      <c r="L603" s="31" t="n">
        <v>229</v>
      </c>
      <c r="M603" s="19" t="n">
        <v>1</v>
      </c>
      <c r="N603" s="32" t="n">
        <v>0.05</v>
      </c>
      <c r="O603" s="30" t="s">
        <v>52</v>
      </c>
      <c r="P603" s="30" t="s">
        <v>47</v>
      </c>
      <c r="Q603" s="30" t="s">
        <v>76</v>
      </c>
      <c r="R603" s="25" t="n">
        <f aca="false">L603*M603*(1-N603)</f>
        <v>217.55</v>
      </c>
    </row>
    <row r="604" customFormat="false" ht="15" hidden="false" customHeight="false" outlineLevel="0" collapsed="false">
      <c r="A604" s="30" t="s">
        <v>775</v>
      </c>
      <c r="B604" s="44" t="n">
        <v>45510</v>
      </c>
      <c r="C604" s="19" t="n">
        <f aca="false">YEAR(B604)</f>
        <v>2024</v>
      </c>
      <c r="D604" s="19" t="n">
        <f aca="false">MONTH(B604)</f>
        <v>8</v>
      </c>
      <c r="E604" s="30" t="str">
        <f aca="false">INDEX(Lists!$K$2:$K$13,MATCH(D604,Lists!$J$2:$J$13,0))</f>
        <v>أغسطس</v>
      </c>
      <c r="F604" s="19" t="str">
        <f aca="false">"Q"&amp;ROUNDUP(D604/3,0)</f>
        <v>Q3</v>
      </c>
      <c r="G604" s="30" t="str">
        <f aca="false">INDEX(Lists!$N$2:$N$8,MATCH(WEEKDAY(B604,2),Lists!$M$2:$M$8,0))</f>
        <v>الثلاثاء</v>
      </c>
      <c r="H604" s="30" t="s">
        <v>46</v>
      </c>
      <c r="I604" s="19" t="str">
        <f aca="false">INDEX(Lists!$B$2:$B$6,MATCH(H604,Lists!$A$2:$A$6,0))</f>
        <v>المنطقة الوسطى</v>
      </c>
      <c r="J604" s="30" t="s">
        <v>107</v>
      </c>
      <c r="K604" s="30" t="s">
        <v>272</v>
      </c>
      <c r="L604" s="31" t="n">
        <v>4349</v>
      </c>
      <c r="M604" s="19" t="n">
        <v>1</v>
      </c>
      <c r="N604" s="32" t="n">
        <v>0.15</v>
      </c>
      <c r="O604" s="30" t="s">
        <v>52</v>
      </c>
      <c r="P604" s="30" t="s">
        <v>47</v>
      </c>
      <c r="Q604" s="30" t="s">
        <v>81</v>
      </c>
      <c r="R604" s="25" t="n">
        <f aca="false">L604*M604*(1-N604)</f>
        <v>3696.65</v>
      </c>
    </row>
    <row r="605" customFormat="false" ht="15" hidden="false" customHeight="false" outlineLevel="0" collapsed="false">
      <c r="A605" s="30" t="s">
        <v>776</v>
      </c>
      <c r="B605" s="44" t="n">
        <v>45510</v>
      </c>
      <c r="C605" s="19" t="n">
        <f aca="false">YEAR(B605)</f>
        <v>2024</v>
      </c>
      <c r="D605" s="19" t="n">
        <f aca="false">MONTH(B605)</f>
        <v>8</v>
      </c>
      <c r="E605" s="30" t="str">
        <f aca="false">INDEX(Lists!$K$2:$K$13,MATCH(D605,Lists!$J$2:$J$13,0))</f>
        <v>أغسطس</v>
      </c>
      <c r="F605" s="19" t="str">
        <f aca="false">"Q"&amp;ROUNDUP(D605/3,0)</f>
        <v>Q3</v>
      </c>
      <c r="G605" s="30" t="str">
        <f aca="false">INDEX(Lists!$N$2:$N$8,MATCH(WEEKDAY(B605,2),Lists!$M$2:$M$8,0))</f>
        <v>الثلاثاء</v>
      </c>
      <c r="H605" s="30" t="s">
        <v>54</v>
      </c>
      <c r="I605" s="19" t="str">
        <f aca="false">INDEX(Lists!$B$2:$B$6,MATCH(H605,Lists!$A$2:$A$6,0))</f>
        <v>المنطقة الشرقية</v>
      </c>
      <c r="J605" s="30" t="s">
        <v>113</v>
      </c>
      <c r="K605" s="30" t="s">
        <v>95</v>
      </c>
      <c r="L605" s="31" t="n">
        <v>539</v>
      </c>
      <c r="M605" s="19" t="n">
        <v>2</v>
      </c>
      <c r="N605" s="32" t="n">
        <v>0.05</v>
      </c>
      <c r="O605" s="30" t="s">
        <v>48</v>
      </c>
      <c r="P605" s="30" t="s">
        <v>47</v>
      </c>
      <c r="Q605" s="30" t="s">
        <v>78</v>
      </c>
      <c r="R605" s="25" t="n">
        <f aca="false">L605*M605*(1-N605)</f>
        <v>1024.1</v>
      </c>
    </row>
    <row r="606" customFormat="false" ht="15" hidden="false" customHeight="false" outlineLevel="0" collapsed="false">
      <c r="A606" s="30" t="s">
        <v>777</v>
      </c>
      <c r="B606" s="44" t="n">
        <v>45510</v>
      </c>
      <c r="C606" s="19" t="n">
        <f aca="false">YEAR(B606)</f>
        <v>2024</v>
      </c>
      <c r="D606" s="19" t="n">
        <f aca="false">MONTH(B606)</f>
        <v>8</v>
      </c>
      <c r="E606" s="30" t="str">
        <f aca="false">INDEX(Lists!$K$2:$K$13,MATCH(D606,Lists!$J$2:$J$13,0))</f>
        <v>أغسطس</v>
      </c>
      <c r="F606" s="19" t="str">
        <f aca="false">"Q"&amp;ROUNDUP(D606/3,0)</f>
        <v>Q3</v>
      </c>
      <c r="G606" s="30" t="str">
        <f aca="false">INDEX(Lists!$N$2:$N$8,MATCH(WEEKDAY(B606,2),Lists!$M$2:$M$8,0))</f>
        <v>الثلاثاء</v>
      </c>
      <c r="H606" s="30" t="s">
        <v>50</v>
      </c>
      <c r="I606" s="19" t="str">
        <f aca="false">INDEX(Lists!$B$2:$B$6,MATCH(H606,Lists!$A$2:$A$6,0))</f>
        <v>المنطقة الغربية</v>
      </c>
      <c r="J606" s="30" t="s">
        <v>105</v>
      </c>
      <c r="K606" s="30" t="s">
        <v>79</v>
      </c>
      <c r="L606" s="31" t="n">
        <v>3669</v>
      </c>
      <c r="M606" s="19" t="n">
        <v>1</v>
      </c>
      <c r="N606" s="32" t="n">
        <v>0</v>
      </c>
      <c r="O606" s="30" t="s">
        <v>48</v>
      </c>
      <c r="P606" s="30" t="s">
        <v>47</v>
      </c>
      <c r="Q606" s="30" t="s">
        <v>96</v>
      </c>
      <c r="R606" s="25" t="n">
        <f aca="false">L606*M606*(1-N606)</f>
        <v>3669</v>
      </c>
    </row>
    <row r="607" customFormat="false" ht="15" hidden="false" customHeight="false" outlineLevel="0" collapsed="false">
      <c r="A607" s="30" t="s">
        <v>778</v>
      </c>
      <c r="B607" s="44" t="n">
        <v>45510</v>
      </c>
      <c r="C607" s="19" t="n">
        <f aca="false">YEAR(B607)</f>
        <v>2024</v>
      </c>
      <c r="D607" s="19" t="n">
        <f aca="false">MONTH(B607)</f>
        <v>8</v>
      </c>
      <c r="E607" s="30" t="str">
        <f aca="false">INDEX(Lists!$K$2:$K$13,MATCH(D607,Lists!$J$2:$J$13,0))</f>
        <v>أغسطس</v>
      </c>
      <c r="F607" s="19" t="str">
        <f aca="false">"Q"&amp;ROUNDUP(D607/3,0)</f>
        <v>Q3</v>
      </c>
      <c r="G607" s="30" t="str">
        <f aca="false">INDEX(Lists!$N$2:$N$8,MATCH(WEEKDAY(B607,2),Lists!$M$2:$M$8,0))</f>
        <v>الثلاثاء</v>
      </c>
      <c r="H607" s="30" t="s">
        <v>50</v>
      </c>
      <c r="I607" s="19" t="str">
        <f aca="false">INDEX(Lists!$B$2:$B$6,MATCH(H607,Lists!$A$2:$A$6,0))</f>
        <v>المنطقة الغربية</v>
      </c>
      <c r="J607" s="30" t="s">
        <v>105</v>
      </c>
      <c r="K607" s="30" t="s">
        <v>79</v>
      </c>
      <c r="L607" s="31" t="n">
        <v>3549</v>
      </c>
      <c r="M607" s="19" t="n">
        <v>1</v>
      </c>
      <c r="N607" s="32" t="n">
        <v>0.1</v>
      </c>
      <c r="O607" s="30" t="s">
        <v>52</v>
      </c>
      <c r="P607" s="30" t="s">
        <v>47</v>
      </c>
      <c r="Q607" s="30" t="s">
        <v>94</v>
      </c>
      <c r="R607" s="25" t="n">
        <f aca="false">L607*M607*(1-N607)</f>
        <v>3194.1</v>
      </c>
    </row>
    <row r="608" customFormat="false" ht="15" hidden="false" customHeight="false" outlineLevel="0" collapsed="false">
      <c r="A608" s="30" t="s">
        <v>779</v>
      </c>
      <c r="B608" s="44" t="n">
        <v>45510</v>
      </c>
      <c r="C608" s="19" t="n">
        <f aca="false">YEAR(B608)</f>
        <v>2024</v>
      </c>
      <c r="D608" s="19" t="n">
        <f aca="false">MONTH(B608)</f>
        <v>8</v>
      </c>
      <c r="E608" s="30" t="str">
        <f aca="false">INDEX(Lists!$K$2:$K$13,MATCH(D608,Lists!$J$2:$J$13,0))</f>
        <v>أغسطس</v>
      </c>
      <c r="F608" s="19" t="str">
        <f aca="false">"Q"&amp;ROUNDUP(D608/3,0)</f>
        <v>Q3</v>
      </c>
      <c r="G608" s="30" t="str">
        <f aca="false">INDEX(Lists!$N$2:$N$8,MATCH(WEEKDAY(B608,2),Lists!$M$2:$M$8,0))</f>
        <v>الثلاثاء</v>
      </c>
      <c r="H608" s="30" t="s">
        <v>57</v>
      </c>
      <c r="I608" s="19" t="str">
        <f aca="false">INDEX(Lists!$B$2:$B$6,MATCH(H608,Lists!$A$2:$A$6,0))</f>
        <v>المنطقة الغربية</v>
      </c>
      <c r="J608" s="30" t="s">
        <v>109</v>
      </c>
      <c r="K608" s="30" t="s">
        <v>171</v>
      </c>
      <c r="L608" s="31" t="n">
        <v>279</v>
      </c>
      <c r="M608" s="19" t="n">
        <v>1</v>
      </c>
      <c r="N608" s="32" t="n">
        <v>0.2</v>
      </c>
      <c r="O608" s="30" t="s">
        <v>52</v>
      </c>
      <c r="P608" s="30" t="s">
        <v>47</v>
      </c>
      <c r="Q608" s="30" t="s">
        <v>96</v>
      </c>
      <c r="R608" s="25" t="n">
        <f aca="false">L608*M608*(1-N608)</f>
        <v>223.2</v>
      </c>
    </row>
    <row r="609" customFormat="false" ht="15" hidden="false" customHeight="false" outlineLevel="0" collapsed="false">
      <c r="A609" s="30" t="s">
        <v>780</v>
      </c>
      <c r="B609" s="44" t="n">
        <v>45510</v>
      </c>
      <c r="C609" s="19" t="n">
        <f aca="false">YEAR(B609)</f>
        <v>2024</v>
      </c>
      <c r="D609" s="19" t="n">
        <f aca="false">MONTH(B609)</f>
        <v>8</v>
      </c>
      <c r="E609" s="30" t="str">
        <f aca="false">INDEX(Lists!$K$2:$K$13,MATCH(D609,Lists!$J$2:$J$13,0))</f>
        <v>أغسطس</v>
      </c>
      <c r="F609" s="19" t="str">
        <f aca="false">"Q"&amp;ROUNDUP(D609/3,0)</f>
        <v>Q3</v>
      </c>
      <c r="G609" s="30" t="str">
        <f aca="false">INDEX(Lists!$N$2:$N$8,MATCH(WEEKDAY(B609,2),Lists!$M$2:$M$8,0))</f>
        <v>الثلاثاء</v>
      </c>
      <c r="H609" s="30" t="s">
        <v>54</v>
      </c>
      <c r="I609" s="19" t="str">
        <f aca="false">INDEX(Lists!$B$2:$B$6,MATCH(H609,Lists!$A$2:$A$6,0))</f>
        <v>المنطقة الشرقية</v>
      </c>
      <c r="J609" s="30" t="s">
        <v>107</v>
      </c>
      <c r="K609" s="30" t="s">
        <v>184</v>
      </c>
      <c r="L609" s="31" t="n">
        <v>4539</v>
      </c>
      <c r="M609" s="19" t="n">
        <v>1</v>
      </c>
      <c r="N609" s="32" t="n">
        <v>0</v>
      </c>
      <c r="O609" s="30" t="s">
        <v>58</v>
      </c>
      <c r="P609" s="30" t="s">
        <v>47</v>
      </c>
      <c r="Q609" s="30" t="s">
        <v>78</v>
      </c>
      <c r="R609" s="25" t="n">
        <f aca="false">L609*M609*(1-N609)</f>
        <v>4539</v>
      </c>
    </row>
    <row r="610" customFormat="false" ht="15" hidden="false" customHeight="false" outlineLevel="0" collapsed="false">
      <c r="A610" s="30" t="s">
        <v>781</v>
      </c>
      <c r="B610" s="44" t="n">
        <v>45511</v>
      </c>
      <c r="C610" s="19" t="n">
        <f aca="false">YEAR(B610)</f>
        <v>2024</v>
      </c>
      <c r="D610" s="19" t="n">
        <f aca="false">MONTH(B610)</f>
        <v>8</v>
      </c>
      <c r="E610" s="30" t="str">
        <f aca="false">INDEX(Lists!$K$2:$K$13,MATCH(D610,Lists!$J$2:$J$13,0))</f>
        <v>أغسطس</v>
      </c>
      <c r="F610" s="19" t="str">
        <f aca="false">"Q"&amp;ROUNDUP(D610/3,0)</f>
        <v>Q3</v>
      </c>
      <c r="G610" s="30" t="str">
        <f aca="false">INDEX(Lists!$N$2:$N$8,MATCH(WEEKDAY(B610,2),Lists!$M$2:$M$8,0))</f>
        <v>الأربعاء</v>
      </c>
      <c r="H610" s="30" t="s">
        <v>50</v>
      </c>
      <c r="I610" s="19" t="str">
        <f aca="false">INDEX(Lists!$B$2:$B$6,MATCH(H610,Lists!$A$2:$A$6,0))</f>
        <v>المنطقة الغربية</v>
      </c>
      <c r="J610" s="30" t="s">
        <v>113</v>
      </c>
      <c r="K610" s="30" t="s">
        <v>95</v>
      </c>
      <c r="L610" s="31" t="n">
        <v>829</v>
      </c>
      <c r="M610" s="19" t="n">
        <v>1</v>
      </c>
      <c r="N610" s="32" t="n">
        <v>0.1</v>
      </c>
      <c r="O610" s="30" t="s">
        <v>48</v>
      </c>
      <c r="P610" s="30" t="s">
        <v>47</v>
      </c>
      <c r="Q610" s="30" t="s">
        <v>78</v>
      </c>
      <c r="R610" s="25" t="n">
        <f aca="false">L610*M610*(1-N610)</f>
        <v>746.1</v>
      </c>
    </row>
    <row r="611" customFormat="false" ht="15" hidden="false" customHeight="false" outlineLevel="0" collapsed="false">
      <c r="A611" s="30" t="s">
        <v>782</v>
      </c>
      <c r="B611" s="44" t="n">
        <v>45511</v>
      </c>
      <c r="C611" s="19" t="n">
        <f aca="false">YEAR(B611)</f>
        <v>2024</v>
      </c>
      <c r="D611" s="19" t="n">
        <f aca="false">MONTH(B611)</f>
        <v>8</v>
      </c>
      <c r="E611" s="30" t="str">
        <f aca="false">INDEX(Lists!$K$2:$K$13,MATCH(D611,Lists!$J$2:$J$13,0))</f>
        <v>أغسطس</v>
      </c>
      <c r="F611" s="19" t="str">
        <f aca="false">"Q"&amp;ROUNDUP(D611/3,0)</f>
        <v>Q3</v>
      </c>
      <c r="G611" s="30" t="str">
        <f aca="false">INDEX(Lists!$N$2:$N$8,MATCH(WEEKDAY(B611,2),Lists!$M$2:$M$8,0))</f>
        <v>الأربعاء</v>
      </c>
      <c r="H611" s="30" t="s">
        <v>50</v>
      </c>
      <c r="I611" s="19" t="str">
        <f aca="false">INDEX(Lists!$B$2:$B$6,MATCH(H611,Lists!$A$2:$A$6,0))</f>
        <v>المنطقة الغربية</v>
      </c>
      <c r="J611" s="30" t="s">
        <v>109</v>
      </c>
      <c r="K611" s="30" t="s">
        <v>175</v>
      </c>
      <c r="L611" s="31" t="n">
        <v>99</v>
      </c>
      <c r="M611" s="19" t="n">
        <v>2</v>
      </c>
      <c r="N611" s="32" t="n">
        <v>0.05</v>
      </c>
      <c r="O611" s="30" t="s">
        <v>48</v>
      </c>
      <c r="P611" s="30" t="s">
        <v>51</v>
      </c>
      <c r="Q611" s="30" t="s">
        <v>99</v>
      </c>
      <c r="R611" s="25" t="n">
        <f aca="false">L611*M611*(1-N611)</f>
        <v>188.1</v>
      </c>
    </row>
    <row r="612" customFormat="false" ht="15" hidden="false" customHeight="false" outlineLevel="0" collapsed="false">
      <c r="A612" s="30" t="s">
        <v>783</v>
      </c>
      <c r="B612" s="44" t="n">
        <v>45511</v>
      </c>
      <c r="C612" s="19" t="n">
        <f aca="false">YEAR(B612)</f>
        <v>2024</v>
      </c>
      <c r="D612" s="19" t="n">
        <f aca="false">MONTH(B612)</f>
        <v>8</v>
      </c>
      <c r="E612" s="30" t="str">
        <f aca="false">INDEX(Lists!$K$2:$K$13,MATCH(D612,Lists!$J$2:$J$13,0))</f>
        <v>أغسطس</v>
      </c>
      <c r="F612" s="19" t="str">
        <f aca="false">"Q"&amp;ROUNDUP(D612/3,0)</f>
        <v>Q3</v>
      </c>
      <c r="G612" s="30" t="str">
        <f aca="false">INDEX(Lists!$N$2:$N$8,MATCH(WEEKDAY(B612,2),Lists!$M$2:$M$8,0))</f>
        <v>الأربعاء</v>
      </c>
      <c r="H612" s="30" t="s">
        <v>54</v>
      </c>
      <c r="I612" s="19" t="str">
        <f aca="false">INDEX(Lists!$B$2:$B$6,MATCH(H612,Lists!$A$2:$A$6,0))</f>
        <v>المنطقة الشرقية</v>
      </c>
      <c r="J612" s="30" t="s">
        <v>109</v>
      </c>
      <c r="K612" s="30" t="s">
        <v>175</v>
      </c>
      <c r="L612" s="31" t="n">
        <v>259</v>
      </c>
      <c r="M612" s="19" t="n">
        <v>1</v>
      </c>
      <c r="N612" s="32" t="n">
        <v>0</v>
      </c>
      <c r="O612" s="30" t="s">
        <v>52</v>
      </c>
      <c r="P612" s="30" t="s">
        <v>47</v>
      </c>
      <c r="Q612" s="30" t="s">
        <v>94</v>
      </c>
      <c r="R612" s="25" t="n">
        <f aca="false">L612*M612*(1-N612)</f>
        <v>259</v>
      </c>
    </row>
    <row r="613" customFormat="false" ht="15" hidden="false" customHeight="false" outlineLevel="0" collapsed="false">
      <c r="A613" s="30" t="s">
        <v>784</v>
      </c>
      <c r="B613" s="44" t="n">
        <v>45511</v>
      </c>
      <c r="C613" s="19" t="n">
        <f aca="false">YEAR(B613)</f>
        <v>2024</v>
      </c>
      <c r="D613" s="19" t="n">
        <f aca="false">MONTH(B613)</f>
        <v>8</v>
      </c>
      <c r="E613" s="30" t="str">
        <f aca="false">INDEX(Lists!$K$2:$K$13,MATCH(D613,Lists!$J$2:$J$13,0))</f>
        <v>أغسطس</v>
      </c>
      <c r="F613" s="19" t="str">
        <f aca="false">"Q"&amp;ROUNDUP(D613/3,0)</f>
        <v>Q3</v>
      </c>
      <c r="G613" s="30" t="str">
        <f aca="false">INDEX(Lists!$N$2:$N$8,MATCH(WEEKDAY(B613,2),Lists!$M$2:$M$8,0))</f>
        <v>الأربعاء</v>
      </c>
      <c r="H613" s="30" t="s">
        <v>57</v>
      </c>
      <c r="I613" s="19" t="str">
        <f aca="false">INDEX(Lists!$B$2:$B$6,MATCH(H613,Lists!$A$2:$A$6,0))</f>
        <v>المنطقة الغربية</v>
      </c>
      <c r="J613" s="30" t="s">
        <v>109</v>
      </c>
      <c r="K613" s="30" t="s">
        <v>192</v>
      </c>
      <c r="L613" s="31" t="n">
        <v>129</v>
      </c>
      <c r="M613" s="19" t="n">
        <v>2</v>
      </c>
      <c r="N613" s="32" t="n">
        <v>0</v>
      </c>
      <c r="O613" s="30" t="s">
        <v>55</v>
      </c>
      <c r="P613" s="30" t="s">
        <v>47</v>
      </c>
      <c r="Q613" s="30" t="s">
        <v>96</v>
      </c>
      <c r="R613" s="25" t="n">
        <f aca="false">L613*M613*(1-N613)</f>
        <v>258</v>
      </c>
    </row>
    <row r="614" customFormat="false" ht="15" hidden="false" customHeight="false" outlineLevel="0" collapsed="false">
      <c r="A614" s="30" t="s">
        <v>785</v>
      </c>
      <c r="B614" s="44" t="n">
        <v>45512</v>
      </c>
      <c r="C614" s="19" t="n">
        <f aca="false">YEAR(B614)</f>
        <v>2024</v>
      </c>
      <c r="D614" s="19" t="n">
        <f aca="false">MONTH(B614)</f>
        <v>8</v>
      </c>
      <c r="E614" s="30" t="str">
        <f aca="false">INDEX(Lists!$K$2:$K$13,MATCH(D614,Lists!$J$2:$J$13,0))</f>
        <v>أغسطس</v>
      </c>
      <c r="F614" s="19" t="str">
        <f aca="false">"Q"&amp;ROUNDUP(D614/3,0)</f>
        <v>Q3</v>
      </c>
      <c r="G614" s="30" t="str">
        <f aca="false">INDEX(Lists!$N$2:$N$8,MATCH(WEEKDAY(B614,2),Lists!$M$2:$M$8,0))</f>
        <v>الخميس</v>
      </c>
      <c r="H614" s="30" t="s">
        <v>54</v>
      </c>
      <c r="I614" s="19" t="str">
        <f aca="false">INDEX(Lists!$B$2:$B$6,MATCH(H614,Lists!$A$2:$A$6,0))</f>
        <v>المنطقة الشرقية</v>
      </c>
      <c r="J614" s="30" t="s">
        <v>109</v>
      </c>
      <c r="K614" s="30" t="s">
        <v>175</v>
      </c>
      <c r="L614" s="31" t="n">
        <v>109</v>
      </c>
      <c r="M614" s="19" t="n">
        <v>2</v>
      </c>
      <c r="N614" s="32" t="n">
        <v>0.05</v>
      </c>
      <c r="O614" s="30" t="s">
        <v>55</v>
      </c>
      <c r="P614" s="30" t="s">
        <v>47</v>
      </c>
      <c r="Q614" s="30" t="s">
        <v>92</v>
      </c>
      <c r="R614" s="25" t="n">
        <f aca="false">L614*M614*(1-N614)</f>
        <v>207.1</v>
      </c>
    </row>
    <row r="615" customFormat="false" ht="15" hidden="false" customHeight="false" outlineLevel="0" collapsed="false">
      <c r="A615" s="30" t="s">
        <v>786</v>
      </c>
      <c r="B615" s="44" t="n">
        <v>45512</v>
      </c>
      <c r="C615" s="19" t="n">
        <f aca="false">YEAR(B615)</f>
        <v>2024</v>
      </c>
      <c r="D615" s="19" t="n">
        <f aca="false">MONTH(B615)</f>
        <v>8</v>
      </c>
      <c r="E615" s="30" t="str">
        <f aca="false">INDEX(Lists!$K$2:$K$13,MATCH(D615,Lists!$J$2:$J$13,0))</f>
        <v>أغسطس</v>
      </c>
      <c r="F615" s="19" t="str">
        <f aca="false">"Q"&amp;ROUNDUP(D615/3,0)</f>
        <v>Q3</v>
      </c>
      <c r="G615" s="30" t="str">
        <f aca="false">INDEX(Lists!$N$2:$N$8,MATCH(WEEKDAY(B615,2),Lists!$M$2:$M$8,0))</f>
        <v>الخميس</v>
      </c>
      <c r="H615" s="30" t="s">
        <v>50</v>
      </c>
      <c r="I615" s="19" t="str">
        <f aca="false">INDEX(Lists!$B$2:$B$6,MATCH(H615,Lists!$A$2:$A$6,0))</f>
        <v>المنطقة الغربية</v>
      </c>
      <c r="J615" s="30" t="s">
        <v>105</v>
      </c>
      <c r="K615" s="30" t="s">
        <v>82</v>
      </c>
      <c r="L615" s="31" t="n">
        <v>859</v>
      </c>
      <c r="M615" s="19" t="n">
        <v>3</v>
      </c>
      <c r="N615" s="32" t="n">
        <v>0.05</v>
      </c>
      <c r="O615" s="30" t="s">
        <v>48</v>
      </c>
      <c r="P615" s="30" t="s">
        <v>51</v>
      </c>
      <c r="Q615" s="30" t="s">
        <v>89</v>
      </c>
      <c r="R615" s="25" t="n">
        <f aca="false">L615*M615*(1-N615)</f>
        <v>2448.15</v>
      </c>
    </row>
    <row r="616" customFormat="false" ht="15" hidden="false" customHeight="false" outlineLevel="0" collapsed="false">
      <c r="A616" s="30" t="s">
        <v>787</v>
      </c>
      <c r="B616" s="44" t="n">
        <v>45513</v>
      </c>
      <c r="C616" s="19" t="n">
        <f aca="false">YEAR(B616)</f>
        <v>2024</v>
      </c>
      <c r="D616" s="19" t="n">
        <f aca="false">MONTH(B616)</f>
        <v>8</v>
      </c>
      <c r="E616" s="30" t="str">
        <f aca="false">INDEX(Lists!$K$2:$K$13,MATCH(D616,Lists!$J$2:$J$13,0))</f>
        <v>أغسطس</v>
      </c>
      <c r="F616" s="19" t="str">
        <f aca="false">"Q"&amp;ROUNDUP(D616/3,0)</f>
        <v>Q3</v>
      </c>
      <c r="G616" s="30" t="str">
        <f aca="false">INDEX(Lists!$N$2:$N$8,MATCH(WEEKDAY(B616,2),Lists!$M$2:$M$8,0))</f>
        <v>الجمعة</v>
      </c>
      <c r="H616" s="30" t="s">
        <v>46</v>
      </c>
      <c r="I616" s="19" t="str">
        <f aca="false">INDEX(Lists!$B$2:$B$6,MATCH(H616,Lists!$A$2:$A$6,0))</f>
        <v>المنطقة الوسطى</v>
      </c>
      <c r="J616" s="30" t="s">
        <v>105</v>
      </c>
      <c r="K616" s="30" t="s">
        <v>82</v>
      </c>
      <c r="L616" s="31" t="n">
        <v>4059</v>
      </c>
      <c r="M616" s="19" t="n">
        <v>2</v>
      </c>
      <c r="N616" s="32" t="n">
        <v>0.15</v>
      </c>
      <c r="O616" s="30" t="s">
        <v>48</v>
      </c>
      <c r="P616" s="30" t="s">
        <v>47</v>
      </c>
      <c r="Q616" s="30" t="s">
        <v>99</v>
      </c>
      <c r="R616" s="25" t="n">
        <f aca="false">L616*M616*(1-N616)</f>
        <v>6900.3</v>
      </c>
    </row>
    <row r="617" customFormat="false" ht="15" hidden="false" customHeight="false" outlineLevel="0" collapsed="false">
      <c r="A617" s="30" t="s">
        <v>788</v>
      </c>
      <c r="B617" s="44" t="n">
        <v>45513</v>
      </c>
      <c r="C617" s="19" t="n">
        <f aca="false">YEAR(B617)</f>
        <v>2024</v>
      </c>
      <c r="D617" s="19" t="n">
        <f aca="false">MONTH(B617)</f>
        <v>8</v>
      </c>
      <c r="E617" s="30" t="str">
        <f aca="false">INDEX(Lists!$K$2:$K$13,MATCH(D617,Lists!$J$2:$J$13,0))</f>
        <v>أغسطس</v>
      </c>
      <c r="F617" s="19" t="str">
        <f aca="false">"Q"&amp;ROUNDUP(D617/3,0)</f>
        <v>Q3</v>
      </c>
      <c r="G617" s="30" t="str">
        <f aca="false">INDEX(Lists!$N$2:$N$8,MATCH(WEEKDAY(B617,2),Lists!$M$2:$M$8,0))</f>
        <v>الجمعة</v>
      </c>
      <c r="H617" s="30" t="s">
        <v>50</v>
      </c>
      <c r="I617" s="19" t="str">
        <f aca="false">INDEX(Lists!$B$2:$B$6,MATCH(H617,Lists!$A$2:$A$6,0))</f>
        <v>المنطقة الغربية</v>
      </c>
      <c r="J617" s="30" t="s">
        <v>105</v>
      </c>
      <c r="K617" s="30" t="s">
        <v>82</v>
      </c>
      <c r="L617" s="31" t="n">
        <v>1269</v>
      </c>
      <c r="M617" s="19" t="n">
        <v>1</v>
      </c>
      <c r="N617" s="32" t="n">
        <v>0</v>
      </c>
      <c r="O617" s="30" t="s">
        <v>55</v>
      </c>
      <c r="P617" s="30" t="s">
        <v>47</v>
      </c>
      <c r="Q617" s="30" t="s">
        <v>86</v>
      </c>
      <c r="R617" s="25" t="n">
        <f aca="false">L617*M617*(1-N617)</f>
        <v>1269</v>
      </c>
    </row>
    <row r="618" customFormat="false" ht="15" hidden="false" customHeight="false" outlineLevel="0" collapsed="false">
      <c r="A618" s="30" t="s">
        <v>789</v>
      </c>
      <c r="B618" s="44" t="n">
        <v>45513</v>
      </c>
      <c r="C618" s="19" t="n">
        <f aca="false">YEAR(B618)</f>
        <v>2024</v>
      </c>
      <c r="D618" s="19" t="n">
        <f aca="false">MONTH(B618)</f>
        <v>8</v>
      </c>
      <c r="E618" s="30" t="str">
        <f aca="false">INDEX(Lists!$K$2:$K$13,MATCH(D618,Lists!$J$2:$J$13,0))</f>
        <v>أغسطس</v>
      </c>
      <c r="F618" s="19" t="str">
        <f aca="false">"Q"&amp;ROUNDUP(D618/3,0)</f>
        <v>Q3</v>
      </c>
      <c r="G618" s="30" t="str">
        <f aca="false">INDEX(Lists!$N$2:$N$8,MATCH(WEEKDAY(B618,2),Lists!$M$2:$M$8,0))</f>
        <v>الجمعة</v>
      </c>
      <c r="H618" s="30" t="s">
        <v>46</v>
      </c>
      <c r="I618" s="19" t="str">
        <f aca="false">INDEX(Lists!$B$2:$B$6,MATCH(H618,Lists!$A$2:$A$6,0))</f>
        <v>المنطقة الوسطى</v>
      </c>
      <c r="J618" s="30" t="s">
        <v>111</v>
      </c>
      <c r="K618" s="30" t="s">
        <v>122</v>
      </c>
      <c r="L618" s="31" t="n">
        <v>119</v>
      </c>
      <c r="M618" s="19" t="n">
        <v>2</v>
      </c>
      <c r="N618" s="32" t="n">
        <v>0.15</v>
      </c>
      <c r="O618" s="30" t="s">
        <v>48</v>
      </c>
      <c r="P618" s="30" t="s">
        <v>51</v>
      </c>
      <c r="Q618" s="30" t="s">
        <v>89</v>
      </c>
      <c r="R618" s="25" t="n">
        <f aca="false">L618*M618*(1-N618)</f>
        <v>202.3</v>
      </c>
    </row>
    <row r="619" customFormat="false" ht="15" hidden="false" customHeight="false" outlineLevel="0" collapsed="false">
      <c r="A619" s="30" t="s">
        <v>790</v>
      </c>
      <c r="B619" s="44" t="n">
        <v>45514</v>
      </c>
      <c r="C619" s="19" t="n">
        <f aca="false">YEAR(B619)</f>
        <v>2024</v>
      </c>
      <c r="D619" s="19" t="n">
        <f aca="false">MONTH(B619)</f>
        <v>8</v>
      </c>
      <c r="E619" s="30" t="str">
        <f aca="false">INDEX(Lists!$K$2:$K$13,MATCH(D619,Lists!$J$2:$J$13,0))</f>
        <v>أغسطس</v>
      </c>
      <c r="F619" s="19" t="str">
        <f aca="false">"Q"&amp;ROUNDUP(D619/3,0)</f>
        <v>Q3</v>
      </c>
      <c r="G619" s="30" t="str">
        <f aca="false">INDEX(Lists!$N$2:$N$8,MATCH(WEEKDAY(B619,2),Lists!$M$2:$M$8,0))</f>
        <v>السبت</v>
      </c>
      <c r="H619" s="30" t="s">
        <v>46</v>
      </c>
      <c r="I619" s="19" t="str">
        <f aca="false">INDEX(Lists!$B$2:$B$6,MATCH(H619,Lists!$A$2:$A$6,0))</f>
        <v>المنطقة الوسطى</v>
      </c>
      <c r="J619" s="30" t="s">
        <v>109</v>
      </c>
      <c r="K619" s="30" t="s">
        <v>110</v>
      </c>
      <c r="L619" s="31" t="n">
        <v>319</v>
      </c>
      <c r="M619" s="19" t="n">
        <v>1</v>
      </c>
      <c r="N619" s="32" t="n">
        <v>0.15</v>
      </c>
      <c r="O619" s="30" t="s">
        <v>52</v>
      </c>
      <c r="P619" s="30" t="s">
        <v>47</v>
      </c>
      <c r="Q619" s="30" t="s">
        <v>78</v>
      </c>
      <c r="R619" s="25" t="n">
        <f aca="false">L619*M619*(1-N619)</f>
        <v>271.15</v>
      </c>
    </row>
    <row r="620" customFormat="false" ht="15" hidden="false" customHeight="false" outlineLevel="0" collapsed="false">
      <c r="A620" s="30" t="s">
        <v>791</v>
      </c>
      <c r="B620" s="44" t="n">
        <v>45514</v>
      </c>
      <c r="C620" s="19" t="n">
        <f aca="false">YEAR(B620)</f>
        <v>2024</v>
      </c>
      <c r="D620" s="19" t="n">
        <f aca="false">MONTH(B620)</f>
        <v>8</v>
      </c>
      <c r="E620" s="30" t="str">
        <f aca="false">INDEX(Lists!$K$2:$K$13,MATCH(D620,Lists!$J$2:$J$13,0))</f>
        <v>أغسطس</v>
      </c>
      <c r="F620" s="19" t="str">
        <f aca="false">"Q"&amp;ROUNDUP(D620/3,0)</f>
        <v>Q3</v>
      </c>
      <c r="G620" s="30" t="str">
        <f aca="false">INDEX(Lists!$N$2:$N$8,MATCH(WEEKDAY(B620,2),Lists!$M$2:$M$8,0))</f>
        <v>السبت</v>
      </c>
      <c r="H620" s="30" t="s">
        <v>60</v>
      </c>
      <c r="I620" s="19" t="str">
        <f aca="false">INDEX(Lists!$B$2:$B$6,MATCH(H620,Lists!$A$2:$A$6,0))</f>
        <v>المنطقة الغربية</v>
      </c>
      <c r="J620" s="30" t="s">
        <v>111</v>
      </c>
      <c r="K620" s="30" t="s">
        <v>122</v>
      </c>
      <c r="L620" s="31" t="n">
        <v>319</v>
      </c>
      <c r="M620" s="19" t="n">
        <v>1</v>
      </c>
      <c r="N620" s="32" t="n">
        <v>0</v>
      </c>
      <c r="O620" s="30" t="s">
        <v>48</v>
      </c>
      <c r="P620" s="30" t="s">
        <v>47</v>
      </c>
      <c r="Q620" s="30" t="s">
        <v>99</v>
      </c>
      <c r="R620" s="25" t="n">
        <f aca="false">L620*M620*(1-N620)</f>
        <v>319</v>
      </c>
    </row>
    <row r="621" customFormat="false" ht="15" hidden="false" customHeight="false" outlineLevel="0" collapsed="false">
      <c r="A621" s="30" t="s">
        <v>792</v>
      </c>
      <c r="B621" s="44" t="n">
        <v>45514</v>
      </c>
      <c r="C621" s="19" t="n">
        <f aca="false">YEAR(B621)</f>
        <v>2024</v>
      </c>
      <c r="D621" s="19" t="n">
        <f aca="false">MONTH(B621)</f>
        <v>8</v>
      </c>
      <c r="E621" s="30" t="str">
        <f aca="false">INDEX(Lists!$K$2:$K$13,MATCH(D621,Lists!$J$2:$J$13,0))</f>
        <v>أغسطس</v>
      </c>
      <c r="F621" s="19" t="str">
        <f aca="false">"Q"&amp;ROUNDUP(D621/3,0)</f>
        <v>Q3</v>
      </c>
      <c r="G621" s="30" t="str">
        <f aca="false">INDEX(Lists!$N$2:$N$8,MATCH(WEEKDAY(B621,2),Lists!$M$2:$M$8,0))</f>
        <v>السبت</v>
      </c>
      <c r="H621" s="30" t="s">
        <v>50</v>
      </c>
      <c r="I621" s="19" t="str">
        <f aca="false">INDEX(Lists!$B$2:$B$6,MATCH(H621,Lists!$A$2:$A$6,0))</f>
        <v>المنطقة الغربية</v>
      </c>
      <c r="J621" s="30" t="s">
        <v>109</v>
      </c>
      <c r="K621" s="30" t="s">
        <v>192</v>
      </c>
      <c r="L621" s="31" t="n">
        <v>259</v>
      </c>
      <c r="M621" s="19" t="n">
        <v>1</v>
      </c>
      <c r="N621" s="32" t="n">
        <v>0.15</v>
      </c>
      <c r="O621" s="30" t="s">
        <v>48</v>
      </c>
      <c r="P621" s="30" t="s">
        <v>47</v>
      </c>
      <c r="Q621" s="30" t="s">
        <v>84</v>
      </c>
      <c r="R621" s="25" t="n">
        <f aca="false">L621*M621*(1-N621)</f>
        <v>220.15</v>
      </c>
    </row>
    <row r="622" customFormat="false" ht="15" hidden="false" customHeight="false" outlineLevel="0" collapsed="false">
      <c r="A622" s="30" t="s">
        <v>793</v>
      </c>
      <c r="B622" s="44" t="n">
        <v>45514</v>
      </c>
      <c r="C622" s="19" t="n">
        <f aca="false">YEAR(B622)</f>
        <v>2024</v>
      </c>
      <c r="D622" s="19" t="n">
        <f aca="false">MONTH(B622)</f>
        <v>8</v>
      </c>
      <c r="E622" s="30" t="str">
        <f aca="false">INDEX(Lists!$K$2:$K$13,MATCH(D622,Lists!$J$2:$J$13,0))</f>
        <v>أغسطس</v>
      </c>
      <c r="F622" s="19" t="str">
        <f aca="false">"Q"&amp;ROUNDUP(D622/3,0)</f>
        <v>Q3</v>
      </c>
      <c r="G622" s="30" t="str">
        <f aca="false">INDEX(Lists!$N$2:$N$8,MATCH(WEEKDAY(B622,2),Lists!$M$2:$M$8,0))</f>
        <v>السبت</v>
      </c>
      <c r="H622" s="30" t="s">
        <v>57</v>
      </c>
      <c r="I622" s="19" t="str">
        <f aca="false">INDEX(Lists!$B$2:$B$6,MATCH(H622,Lists!$A$2:$A$6,0))</f>
        <v>المنطقة الغربية</v>
      </c>
      <c r="J622" s="30" t="s">
        <v>109</v>
      </c>
      <c r="K622" s="30" t="s">
        <v>175</v>
      </c>
      <c r="L622" s="31" t="n">
        <v>339</v>
      </c>
      <c r="M622" s="19" t="n">
        <v>1</v>
      </c>
      <c r="N622" s="32" t="n">
        <v>0</v>
      </c>
      <c r="O622" s="30" t="s">
        <v>48</v>
      </c>
      <c r="P622" s="30" t="s">
        <v>47</v>
      </c>
      <c r="Q622" s="30" t="s">
        <v>78</v>
      </c>
      <c r="R622" s="25" t="n">
        <f aca="false">L622*M622*(1-N622)</f>
        <v>339</v>
      </c>
    </row>
    <row r="623" customFormat="false" ht="15" hidden="false" customHeight="false" outlineLevel="0" collapsed="false">
      <c r="A623" s="30" t="s">
        <v>794</v>
      </c>
      <c r="B623" s="44" t="n">
        <v>45514</v>
      </c>
      <c r="C623" s="19" t="n">
        <f aca="false">YEAR(B623)</f>
        <v>2024</v>
      </c>
      <c r="D623" s="19" t="n">
        <f aca="false">MONTH(B623)</f>
        <v>8</v>
      </c>
      <c r="E623" s="30" t="str">
        <f aca="false">INDEX(Lists!$K$2:$K$13,MATCH(D623,Lists!$J$2:$J$13,0))</f>
        <v>أغسطس</v>
      </c>
      <c r="F623" s="19" t="str">
        <f aca="false">"Q"&amp;ROUNDUP(D623/3,0)</f>
        <v>Q3</v>
      </c>
      <c r="G623" s="30" t="str">
        <f aca="false">INDEX(Lists!$N$2:$N$8,MATCH(WEEKDAY(B623,2),Lists!$M$2:$M$8,0))</f>
        <v>السبت</v>
      </c>
      <c r="H623" s="30" t="s">
        <v>46</v>
      </c>
      <c r="I623" s="19" t="str">
        <f aca="false">INDEX(Lists!$B$2:$B$6,MATCH(H623,Lists!$A$2:$A$6,0))</f>
        <v>المنطقة الوسطى</v>
      </c>
      <c r="J623" s="30" t="s">
        <v>113</v>
      </c>
      <c r="K623" s="30" t="s">
        <v>95</v>
      </c>
      <c r="L623" s="31" t="n">
        <v>729</v>
      </c>
      <c r="M623" s="19" t="n">
        <v>2</v>
      </c>
      <c r="N623" s="32" t="n">
        <v>0.15</v>
      </c>
      <c r="O623" s="30" t="s">
        <v>55</v>
      </c>
      <c r="P623" s="30" t="s">
        <v>47</v>
      </c>
      <c r="Q623" s="30" t="s">
        <v>92</v>
      </c>
      <c r="R623" s="25" t="n">
        <f aca="false">L623*M623*(1-N623)</f>
        <v>1239.3</v>
      </c>
    </row>
    <row r="624" customFormat="false" ht="15" hidden="false" customHeight="false" outlineLevel="0" collapsed="false">
      <c r="A624" s="30" t="s">
        <v>795</v>
      </c>
      <c r="B624" s="44" t="n">
        <v>45515</v>
      </c>
      <c r="C624" s="19" t="n">
        <f aca="false">YEAR(B624)</f>
        <v>2024</v>
      </c>
      <c r="D624" s="19" t="n">
        <f aca="false">MONTH(B624)</f>
        <v>8</v>
      </c>
      <c r="E624" s="30" t="str">
        <f aca="false">INDEX(Lists!$K$2:$K$13,MATCH(D624,Lists!$J$2:$J$13,0))</f>
        <v>أغسطس</v>
      </c>
      <c r="F624" s="19" t="str">
        <f aca="false">"Q"&amp;ROUNDUP(D624/3,0)</f>
        <v>Q3</v>
      </c>
      <c r="G624" s="30" t="str">
        <f aca="false">INDEX(Lists!$N$2:$N$8,MATCH(WEEKDAY(B624,2),Lists!$M$2:$M$8,0))</f>
        <v>الأحد</v>
      </c>
      <c r="H624" s="30" t="s">
        <v>57</v>
      </c>
      <c r="I624" s="19" t="str">
        <f aca="false">INDEX(Lists!$B$2:$B$6,MATCH(H624,Lists!$A$2:$A$6,0))</f>
        <v>المنطقة الغربية</v>
      </c>
      <c r="J624" s="30" t="s">
        <v>113</v>
      </c>
      <c r="K624" s="30" t="s">
        <v>121</v>
      </c>
      <c r="L624" s="31" t="n">
        <v>349</v>
      </c>
      <c r="M624" s="19" t="n">
        <v>1</v>
      </c>
      <c r="N624" s="32" t="n">
        <v>0.1</v>
      </c>
      <c r="O624" s="30" t="s">
        <v>48</v>
      </c>
      <c r="P624" s="30" t="s">
        <v>51</v>
      </c>
      <c r="Q624" s="30" t="s">
        <v>99</v>
      </c>
      <c r="R624" s="25" t="n">
        <f aca="false">L624*M624*(1-N624)</f>
        <v>314.1</v>
      </c>
    </row>
    <row r="625" customFormat="false" ht="15" hidden="false" customHeight="false" outlineLevel="0" collapsed="false">
      <c r="A625" s="30" t="s">
        <v>796</v>
      </c>
      <c r="B625" s="44" t="n">
        <v>45515</v>
      </c>
      <c r="C625" s="19" t="n">
        <f aca="false">YEAR(B625)</f>
        <v>2024</v>
      </c>
      <c r="D625" s="19" t="n">
        <f aca="false">MONTH(B625)</f>
        <v>8</v>
      </c>
      <c r="E625" s="30" t="str">
        <f aca="false">INDEX(Lists!$K$2:$K$13,MATCH(D625,Lists!$J$2:$J$13,0))</f>
        <v>أغسطس</v>
      </c>
      <c r="F625" s="19" t="str">
        <f aca="false">"Q"&amp;ROUNDUP(D625/3,0)</f>
        <v>Q3</v>
      </c>
      <c r="G625" s="30" t="str">
        <f aca="false">INDEX(Lists!$N$2:$N$8,MATCH(WEEKDAY(B625,2),Lists!$M$2:$M$8,0))</f>
        <v>الأحد</v>
      </c>
      <c r="H625" s="30" t="s">
        <v>60</v>
      </c>
      <c r="I625" s="19" t="str">
        <f aca="false">INDEX(Lists!$B$2:$B$6,MATCH(H625,Lists!$A$2:$A$6,0))</f>
        <v>المنطقة الغربية</v>
      </c>
      <c r="J625" s="30" t="s">
        <v>105</v>
      </c>
      <c r="K625" s="30" t="s">
        <v>85</v>
      </c>
      <c r="L625" s="31" t="n">
        <v>3379</v>
      </c>
      <c r="M625" s="19" t="n">
        <v>3</v>
      </c>
      <c r="N625" s="32" t="n">
        <v>0.2</v>
      </c>
      <c r="O625" s="30" t="s">
        <v>58</v>
      </c>
      <c r="P625" s="30" t="s">
        <v>47</v>
      </c>
      <c r="Q625" s="30" t="s">
        <v>78</v>
      </c>
      <c r="R625" s="25" t="n">
        <f aca="false">L625*M625*(1-N625)</f>
        <v>8109.6</v>
      </c>
    </row>
    <row r="626" customFormat="false" ht="15" hidden="false" customHeight="false" outlineLevel="0" collapsed="false">
      <c r="A626" s="30" t="s">
        <v>797</v>
      </c>
      <c r="B626" s="44" t="n">
        <v>45515</v>
      </c>
      <c r="C626" s="19" t="n">
        <f aca="false">YEAR(B626)</f>
        <v>2024</v>
      </c>
      <c r="D626" s="19" t="n">
        <f aca="false">MONTH(B626)</f>
        <v>8</v>
      </c>
      <c r="E626" s="30" t="str">
        <f aca="false">INDEX(Lists!$K$2:$K$13,MATCH(D626,Lists!$J$2:$J$13,0))</f>
        <v>أغسطس</v>
      </c>
      <c r="F626" s="19" t="str">
        <f aca="false">"Q"&amp;ROUNDUP(D626/3,0)</f>
        <v>Q3</v>
      </c>
      <c r="G626" s="30" t="str">
        <f aca="false">INDEX(Lists!$N$2:$N$8,MATCH(WEEKDAY(B626,2),Lists!$M$2:$M$8,0))</f>
        <v>الأحد</v>
      </c>
      <c r="H626" s="30" t="s">
        <v>60</v>
      </c>
      <c r="I626" s="19" t="str">
        <f aca="false">INDEX(Lists!$B$2:$B$6,MATCH(H626,Lists!$A$2:$A$6,0))</f>
        <v>المنطقة الغربية</v>
      </c>
      <c r="J626" s="30" t="s">
        <v>113</v>
      </c>
      <c r="K626" s="30" t="s">
        <v>100</v>
      </c>
      <c r="L626" s="31" t="n">
        <v>679</v>
      </c>
      <c r="M626" s="19" t="n">
        <v>1</v>
      </c>
      <c r="N626" s="32" t="n">
        <v>0</v>
      </c>
      <c r="O626" s="30" t="s">
        <v>52</v>
      </c>
      <c r="P626" s="30" t="s">
        <v>47</v>
      </c>
      <c r="Q626" s="30" t="s">
        <v>86</v>
      </c>
      <c r="R626" s="25" t="n">
        <f aca="false">L626*M626*(1-N626)</f>
        <v>679</v>
      </c>
    </row>
    <row r="627" customFormat="false" ht="15" hidden="false" customHeight="false" outlineLevel="0" collapsed="false">
      <c r="A627" s="30" t="s">
        <v>798</v>
      </c>
      <c r="B627" s="44" t="n">
        <v>45515</v>
      </c>
      <c r="C627" s="19" t="n">
        <f aca="false">YEAR(B627)</f>
        <v>2024</v>
      </c>
      <c r="D627" s="19" t="n">
        <f aca="false">MONTH(B627)</f>
        <v>8</v>
      </c>
      <c r="E627" s="30" t="str">
        <f aca="false">INDEX(Lists!$K$2:$K$13,MATCH(D627,Lists!$J$2:$J$13,0))</f>
        <v>أغسطس</v>
      </c>
      <c r="F627" s="19" t="str">
        <f aca="false">"Q"&amp;ROUNDUP(D627/3,0)</f>
        <v>Q3</v>
      </c>
      <c r="G627" s="30" t="str">
        <f aca="false">INDEX(Lists!$N$2:$N$8,MATCH(WEEKDAY(B627,2),Lists!$M$2:$M$8,0))</f>
        <v>الأحد</v>
      </c>
      <c r="H627" s="30" t="s">
        <v>57</v>
      </c>
      <c r="I627" s="19" t="str">
        <f aca="false">INDEX(Lists!$B$2:$B$6,MATCH(H627,Lists!$A$2:$A$6,0))</f>
        <v>المنطقة الغربية</v>
      </c>
      <c r="J627" s="30" t="s">
        <v>109</v>
      </c>
      <c r="K627" s="30" t="s">
        <v>192</v>
      </c>
      <c r="L627" s="31" t="n">
        <v>259</v>
      </c>
      <c r="M627" s="19" t="n">
        <v>1</v>
      </c>
      <c r="N627" s="32" t="n">
        <v>0</v>
      </c>
      <c r="O627" s="30" t="s">
        <v>48</v>
      </c>
      <c r="P627" s="30" t="s">
        <v>47</v>
      </c>
      <c r="Q627" s="30" t="s">
        <v>76</v>
      </c>
      <c r="R627" s="25" t="n">
        <f aca="false">L627*M627*(1-N627)</f>
        <v>259</v>
      </c>
    </row>
    <row r="628" customFormat="false" ht="15" hidden="false" customHeight="false" outlineLevel="0" collapsed="false">
      <c r="A628" s="30" t="s">
        <v>799</v>
      </c>
      <c r="B628" s="44" t="n">
        <v>45516</v>
      </c>
      <c r="C628" s="19" t="n">
        <f aca="false">YEAR(B628)</f>
        <v>2024</v>
      </c>
      <c r="D628" s="19" t="n">
        <f aca="false">MONTH(B628)</f>
        <v>8</v>
      </c>
      <c r="E628" s="30" t="str">
        <f aca="false">INDEX(Lists!$K$2:$K$13,MATCH(D628,Lists!$J$2:$J$13,0))</f>
        <v>أغسطس</v>
      </c>
      <c r="F628" s="19" t="str">
        <f aca="false">"Q"&amp;ROUNDUP(D628/3,0)</f>
        <v>Q3</v>
      </c>
      <c r="G628" s="30" t="str">
        <f aca="false">INDEX(Lists!$N$2:$N$8,MATCH(WEEKDAY(B628,2),Lists!$M$2:$M$8,0))</f>
        <v>الإثنين</v>
      </c>
      <c r="H628" s="30" t="s">
        <v>60</v>
      </c>
      <c r="I628" s="19" t="str">
        <f aca="false">INDEX(Lists!$B$2:$B$6,MATCH(H628,Lists!$A$2:$A$6,0))</f>
        <v>المنطقة الغربية</v>
      </c>
      <c r="J628" s="30" t="s">
        <v>105</v>
      </c>
      <c r="K628" s="30" t="s">
        <v>90</v>
      </c>
      <c r="L628" s="31" t="n">
        <v>2769</v>
      </c>
      <c r="M628" s="19" t="n">
        <v>3</v>
      </c>
      <c r="N628" s="32" t="n">
        <v>0</v>
      </c>
      <c r="O628" s="30" t="s">
        <v>48</v>
      </c>
      <c r="P628" s="30" t="s">
        <v>51</v>
      </c>
      <c r="Q628" s="30" t="s">
        <v>94</v>
      </c>
      <c r="R628" s="25" t="n">
        <f aca="false">L628*M628*(1-N628)</f>
        <v>8307</v>
      </c>
    </row>
    <row r="629" customFormat="false" ht="15" hidden="false" customHeight="false" outlineLevel="0" collapsed="false">
      <c r="A629" s="30" t="s">
        <v>800</v>
      </c>
      <c r="B629" s="44" t="n">
        <v>45516</v>
      </c>
      <c r="C629" s="19" t="n">
        <f aca="false">YEAR(B629)</f>
        <v>2024</v>
      </c>
      <c r="D629" s="19" t="n">
        <f aca="false">MONTH(B629)</f>
        <v>8</v>
      </c>
      <c r="E629" s="30" t="str">
        <f aca="false">INDEX(Lists!$K$2:$K$13,MATCH(D629,Lists!$J$2:$J$13,0))</f>
        <v>أغسطس</v>
      </c>
      <c r="F629" s="19" t="str">
        <f aca="false">"Q"&amp;ROUNDUP(D629/3,0)</f>
        <v>Q3</v>
      </c>
      <c r="G629" s="30" t="str">
        <f aca="false">INDEX(Lists!$N$2:$N$8,MATCH(WEEKDAY(B629,2),Lists!$M$2:$M$8,0))</f>
        <v>الإثنين</v>
      </c>
      <c r="H629" s="30" t="s">
        <v>50</v>
      </c>
      <c r="I629" s="19" t="str">
        <f aca="false">INDEX(Lists!$B$2:$B$6,MATCH(H629,Lists!$A$2:$A$6,0))</f>
        <v>المنطقة الغربية</v>
      </c>
      <c r="J629" s="30" t="s">
        <v>105</v>
      </c>
      <c r="K629" s="30" t="s">
        <v>79</v>
      </c>
      <c r="L629" s="31" t="n">
        <v>3079</v>
      </c>
      <c r="M629" s="19" t="n">
        <v>1</v>
      </c>
      <c r="N629" s="32" t="n">
        <v>0.05</v>
      </c>
      <c r="O629" s="30" t="s">
        <v>52</v>
      </c>
      <c r="P629" s="30" t="s">
        <v>51</v>
      </c>
      <c r="Q629" s="30" t="s">
        <v>84</v>
      </c>
      <c r="R629" s="25" t="n">
        <f aca="false">L629*M629*(1-N629)</f>
        <v>2925.05</v>
      </c>
    </row>
    <row r="630" customFormat="false" ht="15" hidden="false" customHeight="false" outlineLevel="0" collapsed="false">
      <c r="A630" s="30" t="s">
        <v>801</v>
      </c>
      <c r="B630" s="44" t="n">
        <v>45516</v>
      </c>
      <c r="C630" s="19" t="n">
        <f aca="false">YEAR(B630)</f>
        <v>2024</v>
      </c>
      <c r="D630" s="19" t="n">
        <f aca="false">MONTH(B630)</f>
        <v>8</v>
      </c>
      <c r="E630" s="30" t="str">
        <f aca="false">INDEX(Lists!$K$2:$K$13,MATCH(D630,Lists!$J$2:$J$13,0))</f>
        <v>أغسطس</v>
      </c>
      <c r="F630" s="19" t="str">
        <f aca="false">"Q"&amp;ROUNDUP(D630/3,0)</f>
        <v>Q3</v>
      </c>
      <c r="G630" s="30" t="str">
        <f aca="false">INDEX(Lists!$N$2:$N$8,MATCH(WEEKDAY(B630,2),Lists!$M$2:$M$8,0))</f>
        <v>الإثنين</v>
      </c>
      <c r="H630" s="30" t="s">
        <v>60</v>
      </c>
      <c r="I630" s="19" t="str">
        <f aca="false">INDEX(Lists!$B$2:$B$6,MATCH(H630,Lists!$A$2:$A$6,0))</f>
        <v>المنطقة الغربية</v>
      </c>
      <c r="J630" s="30" t="s">
        <v>105</v>
      </c>
      <c r="K630" s="30" t="s">
        <v>85</v>
      </c>
      <c r="L630" s="31" t="n">
        <v>1199</v>
      </c>
      <c r="M630" s="19" t="n">
        <v>3</v>
      </c>
      <c r="N630" s="32" t="n">
        <v>0.1</v>
      </c>
      <c r="O630" s="30" t="s">
        <v>55</v>
      </c>
      <c r="P630" s="30" t="s">
        <v>51</v>
      </c>
      <c r="Q630" s="30" t="s">
        <v>86</v>
      </c>
      <c r="R630" s="25" t="n">
        <f aca="false">L630*M630*(1-N630)</f>
        <v>3237.3</v>
      </c>
    </row>
    <row r="631" customFormat="false" ht="15" hidden="false" customHeight="false" outlineLevel="0" collapsed="false">
      <c r="A631" s="30" t="s">
        <v>802</v>
      </c>
      <c r="B631" s="44" t="n">
        <v>45516</v>
      </c>
      <c r="C631" s="19" t="n">
        <f aca="false">YEAR(B631)</f>
        <v>2024</v>
      </c>
      <c r="D631" s="19" t="n">
        <f aca="false">MONTH(B631)</f>
        <v>8</v>
      </c>
      <c r="E631" s="30" t="str">
        <f aca="false">INDEX(Lists!$K$2:$K$13,MATCH(D631,Lists!$J$2:$J$13,0))</f>
        <v>أغسطس</v>
      </c>
      <c r="F631" s="19" t="str">
        <f aca="false">"Q"&amp;ROUNDUP(D631/3,0)</f>
        <v>Q3</v>
      </c>
      <c r="G631" s="30" t="str">
        <f aca="false">INDEX(Lists!$N$2:$N$8,MATCH(WEEKDAY(B631,2),Lists!$M$2:$M$8,0))</f>
        <v>الإثنين</v>
      </c>
      <c r="H631" s="30" t="s">
        <v>50</v>
      </c>
      <c r="I631" s="19" t="str">
        <f aca="false">INDEX(Lists!$B$2:$B$6,MATCH(H631,Lists!$A$2:$A$6,0))</f>
        <v>المنطقة الغربية</v>
      </c>
      <c r="J631" s="30" t="s">
        <v>107</v>
      </c>
      <c r="K631" s="30" t="s">
        <v>272</v>
      </c>
      <c r="L631" s="31" t="n">
        <v>6049</v>
      </c>
      <c r="M631" s="19" t="n">
        <v>5</v>
      </c>
      <c r="N631" s="32" t="n">
        <v>0</v>
      </c>
      <c r="O631" s="30" t="s">
        <v>55</v>
      </c>
      <c r="P631" s="30" t="s">
        <v>51</v>
      </c>
      <c r="Q631" s="30" t="s">
        <v>84</v>
      </c>
      <c r="R631" s="25" t="n">
        <f aca="false">L631*M631*(1-N631)</f>
        <v>30245</v>
      </c>
    </row>
    <row r="632" customFormat="false" ht="15" hidden="false" customHeight="false" outlineLevel="0" collapsed="false">
      <c r="A632" s="30" t="s">
        <v>803</v>
      </c>
      <c r="B632" s="44" t="n">
        <v>45516</v>
      </c>
      <c r="C632" s="19" t="n">
        <f aca="false">YEAR(B632)</f>
        <v>2024</v>
      </c>
      <c r="D632" s="19" t="n">
        <f aca="false">MONTH(B632)</f>
        <v>8</v>
      </c>
      <c r="E632" s="30" t="str">
        <f aca="false">INDEX(Lists!$K$2:$K$13,MATCH(D632,Lists!$J$2:$J$13,0))</f>
        <v>أغسطس</v>
      </c>
      <c r="F632" s="19" t="str">
        <f aca="false">"Q"&amp;ROUNDUP(D632/3,0)</f>
        <v>Q3</v>
      </c>
      <c r="G632" s="30" t="str">
        <f aca="false">INDEX(Lists!$N$2:$N$8,MATCH(WEEKDAY(B632,2),Lists!$M$2:$M$8,0))</f>
        <v>الإثنين</v>
      </c>
      <c r="H632" s="30" t="s">
        <v>60</v>
      </c>
      <c r="I632" s="19" t="str">
        <f aca="false">INDEX(Lists!$B$2:$B$6,MATCH(H632,Lists!$A$2:$A$6,0))</f>
        <v>المنطقة الغربية</v>
      </c>
      <c r="J632" s="30" t="s">
        <v>105</v>
      </c>
      <c r="K632" s="30" t="s">
        <v>90</v>
      </c>
      <c r="L632" s="31" t="n">
        <v>3799</v>
      </c>
      <c r="M632" s="19" t="n">
        <v>1</v>
      </c>
      <c r="N632" s="32" t="n">
        <v>0</v>
      </c>
      <c r="O632" s="30" t="s">
        <v>58</v>
      </c>
      <c r="P632" s="30" t="s">
        <v>51</v>
      </c>
      <c r="Q632" s="30" t="s">
        <v>78</v>
      </c>
      <c r="R632" s="25" t="n">
        <f aca="false">L632*M632*(1-N632)</f>
        <v>3799</v>
      </c>
    </row>
    <row r="633" customFormat="false" ht="15" hidden="false" customHeight="false" outlineLevel="0" collapsed="false">
      <c r="A633" s="30" t="s">
        <v>804</v>
      </c>
      <c r="B633" s="44" t="n">
        <v>45517</v>
      </c>
      <c r="C633" s="19" t="n">
        <f aca="false">YEAR(B633)</f>
        <v>2024</v>
      </c>
      <c r="D633" s="19" t="n">
        <f aca="false">MONTH(B633)</f>
        <v>8</v>
      </c>
      <c r="E633" s="30" t="str">
        <f aca="false">INDEX(Lists!$K$2:$K$13,MATCH(D633,Lists!$J$2:$J$13,0))</f>
        <v>أغسطس</v>
      </c>
      <c r="F633" s="19" t="str">
        <f aca="false">"Q"&amp;ROUNDUP(D633/3,0)</f>
        <v>Q3</v>
      </c>
      <c r="G633" s="30" t="str">
        <f aca="false">INDEX(Lists!$N$2:$N$8,MATCH(WEEKDAY(B633,2),Lists!$M$2:$M$8,0))</f>
        <v>الثلاثاء</v>
      </c>
      <c r="H633" s="30" t="s">
        <v>50</v>
      </c>
      <c r="I633" s="19" t="str">
        <f aca="false">INDEX(Lists!$B$2:$B$6,MATCH(H633,Lists!$A$2:$A$6,0))</f>
        <v>المنطقة الغربية</v>
      </c>
      <c r="J633" s="30" t="s">
        <v>105</v>
      </c>
      <c r="K633" s="30" t="s">
        <v>82</v>
      </c>
      <c r="L633" s="31" t="n">
        <v>2959</v>
      </c>
      <c r="M633" s="19" t="n">
        <v>2</v>
      </c>
      <c r="N633" s="32" t="n">
        <v>0</v>
      </c>
      <c r="O633" s="30" t="s">
        <v>48</v>
      </c>
      <c r="P633" s="30" t="s">
        <v>47</v>
      </c>
      <c r="Q633" s="30" t="s">
        <v>96</v>
      </c>
      <c r="R633" s="25" t="n">
        <f aca="false">L633*M633*(1-N633)</f>
        <v>5918</v>
      </c>
    </row>
    <row r="634" customFormat="false" ht="15" hidden="false" customHeight="false" outlineLevel="0" collapsed="false">
      <c r="A634" s="30" t="s">
        <v>805</v>
      </c>
      <c r="B634" s="44" t="n">
        <v>45517</v>
      </c>
      <c r="C634" s="19" t="n">
        <f aca="false">YEAR(B634)</f>
        <v>2024</v>
      </c>
      <c r="D634" s="19" t="n">
        <f aca="false">MONTH(B634)</f>
        <v>8</v>
      </c>
      <c r="E634" s="30" t="str">
        <f aca="false">INDEX(Lists!$K$2:$K$13,MATCH(D634,Lists!$J$2:$J$13,0))</f>
        <v>أغسطس</v>
      </c>
      <c r="F634" s="19" t="str">
        <f aca="false">"Q"&amp;ROUNDUP(D634/3,0)</f>
        <v>Q3</v>
      </c>
      <c r="G634" s="30" t="str">
        <f aca="false">INDEX(Lists!$N$2:$N$8,MATCH(WEEKDAY(B634,2),Lists!$M$2:$M$8,0))</f>
        <v>الثلاثاء</v>
      </c>
      <c r="H634" s="30" t="s">
        <v>60</v>
      </c>
      <c r="I634" s="19" t="str">
        <f aca="false">INDEX(Lists!$B$2:$B$6,MATCH(H634,Lists!$A$2:$A$6,0))</f>
        <v>المنطقة الغربية</v>
      </c>
      <c r="J634" s="30" t="s">
        <v>113</v>
      </c>
      <c r="K634" s="30" t="s">
        <v>121</v>
      </c>
      <c r="L634" s="31" t="n">
        <v>249</v>
      </c>
      <c r="M634" s="19" t="n">
        <v>1</v>
      </c>
      <c r="N634" s="32" t="n">
        <v>0.15</v>
      </c>
      <c r="O634" s="30" t="s">
        <v>55</v>
      </c>
      <c r="P634" s="30" t="s">
        <v>47</v>
      </c>
      <c r="Q634" s="30" t="s">
        <v>92</v>
      </c>
      <c r="R634" s="25" t="n">
        <f aca="false">L634*M634*(1-N634)</f>
        <v>211.65</v>
      </c>
    </row>
    <row r="635" customFormat="false" ht="15" hidden="false" customHeight="false" outlineLevel="0" collapsed="false">
      <c r="A635" s="30" t="s">
        <v>806</v>
      </c>
      <c r="B635" s="44" t="n">
        <v>45518</v>
      </c>
      <c r="C635" s="19" t="n">
        <f aca="false">YEAR(B635)</f>
        <v>2024</v>
      </c>
      <c r="D635" s="19" t="n">
        <f aca="false">MONTH(B635)</f>
        <v>8</v>
      </c>
      <c r="E635" s="30" t="str">
        <f aca="false">INDEX(Lists!$K$2:$K$13,MATCH(D635,Lists!$J$2:$J$13,0))</f>
        <v>أغسطس</v>
      </c>
      <c r="F635" s="19" t="str">
        <f aca="false">"Q"&amp;ROUNDUP(D635/3,0)</f>
        <v>Q3</v>
      </c>
      <c r="G635" s="30" t="str">
        <f aca="false">INDEX(Lists!$N$2:$N$8,MATCH(WEEKDAY(B635,2),Lists!$M$2:$M$8,0))</f>
        <v>الأربعاء</v>
      </c>
      <c r="H635" s="30" t="s">
        <v>46</v>
      </c>
      <c r="I635" s="19" t="str">
        <f aca="false">INDEX(Lists!$B$2:$B$6,MATCH(H635,Lists!$A$2:$A$6,0))</f>
        <v>المنطقة الوسطى</v>
      </c>
      <c r="J635" s="30" t="s">
        <v>107</v>
      </c>
      <c r="K635" s="30" t="s">
        <v>184</v>
      </c>
      <c r="L635" s="31" t="n">
        <v>2279</v>
      </c>
      <c r="M635" s="19" t="n">
        <v>1</v>
      </c>
      <c r="N635" s="32" t="n">
        <v>0</v>
      </c>
      <c r="O635" s="30" t="s">
        <v>48</v>
      </c>
      <c r="P635" s="30" t="s">
        <v>47</v>
      </c>
      <c r="Q635" s="30" t="s">
        <v>92</v>
      </c>
      <c r="R635" s="25" t="n">
        <f aca="false">L635*M635*(1-N635)</f>
        <v>2279</v>
      </c>
    </row>
    <row r="636" customFormat="false" ht="15" hidden="false" customHeight="false" outlineLevel="0" collapsed="false">
      <c r="A636" s="30" t="s">
        <v>807</v>
      </c>
      <c r="B636" s="44" t="n">
        <v>45518</v>
      </c>
      <c r="C636" s="19" t="n">
        <f aca="false">YEAR(B636)</f>
        <v>2024</v>
      </c>
      <c r="D636" s="19" t="n">
        <f aca="false">MONTH(B636)</f>
        <v>8</v>
      </c>
      <c r="E636" s="30" t="str">
        <f aca="false">INDEX(Lists!$K$2:$K$13,MATCH(D636,Lists!$J$2:$J$13,0))</f>
        <v>أغسطس</v>
      </c>
      <c r="F636" s="19" t="str">
        <f aca="false">"Q"&amp;ROUNDUP(D636/3,0)</f>
        <v>Q3</v>
      </c>
      <c r="G636" s="30" t="str">
        <f aca="false">INDEX(Lists!$N$2:$N$8,MATCH(WEEKDAY(B636,2),Lists!$M$2:$M$8,0))</f>
        <v>الأربعاء</v>
      </c>
      <c r="H636" s="30" t="s">
        <v>50</v>
      </c>
      <c r="I636" s="19" t="str">
        <f aca="false">INDEX(Lists!$B$2:$B$6,MATCH(H636,Lists!$A$2:$A$6,0))</f>
        <v>المنطقة الغربية</v>
      </c>
      <c r="J636" s="30" t="s">
        <v>111</v>
      </c>
      <c r="K636" s="30" t="s">
        <v>118</v>
      </c>
      <c r="L636" s="31" t="n">
        <v>219</v>
      </c>
      <c r="M636" s="19" t="n">
        <v>1</v>
      </c>
      <c r="N636" s="32" t="n">
        <v>0.05</v>
      </c>
      <c r="O636" s="30" t="s">
        <v>48</v>
      </c>
      <c r="P636" s="30" t="s">
        <v>47</v>
      </c>
      <c r="Q636" s="30" t="s">
        <v>84</v>
      </c>
      <c r="R636" s="25" t="n">
        <f aca="false">L636*M636*(1-N636)</f>
        <v>208.05</v>
      </c>
    </row>
    <row r="637" customFormat="false" ht="15" hidden="false" customHeight="false" outlineLevel="0" collapsed="false">
      <c r="A637" s="30" t="s">
        <v>808</v>
      </c>
      <c r="B637" s="44" t="n">
        <v>45518</v>
      </c>
      <c r="C637" s="19" t="n">
        <f aca="false">YEAR(B637)</f>
        <v>2024</v>
      </c>
      <c r="D637" s="19" t="n">
        <f aca="false">MONTH(B637)</f>
        <v>8</v>
      </c>
      <c r="E637" s="30" t="str">
        <f aca="false">INDEX(Lists!$K$2:$K$13,MATCH(D637,Lists!$J$2:$J$13,0))</f>
        <v>أغسطس</v>
      </c>
      <c r="F637" s="19" t="str">
        <f aca="false">"Q"&amp;ROUNDUP(D637/3,0)</f>
        <v>Q3</v>
      </c>
      <c r="G637" s="30" t="str">
        <f aca="false">INDEX(Lists!$N$2:$N$8,MATCH(WEEKDAY(B637,2),Lists!$M$2:$M$8,0))</f>
        <v>الأربعاء</v>
      </c>
      <c r="H637" s="30" t="s">
        <v>60</v>
      </c>
      <c r="I637" s="19" t="str">
        <f aca="false">INDEX(Lists!$B$2:$B$6,MATCH(H637,Lists!$A$2:$A$6,0))</f>
        <v>المنطقة الغربية</v>
      </c>
      <c r="J637" s="30" t="s">
        <v>105</v>
      </c>
      <c r="K637" s="30" t="s">
        <v>82</v>
      </c>
      <c r="L637" s="31" t="n">
        <v>2679</v>
      </c>
      <c r="M637" s="19" t="n">
        <v>1</v>
      </c>
      <c r="N637" s="32" t="n">
        <v>0</v>
      </c>
      <c r="O637" s="30" t="s">
        <v>48</v>
      </c>
      <c r="P637" s="30" t="s">
        <v>47</v>
      </c>
      <c r="Q637" s="30" t="s">
        <v>92</v>
      </c>
      <c r="R637" s="25" t="n">
        <f aca="false">L637*M637*(1-N637)</f>
        <v>2679</v>
      </c>
    </row>
    <row r="638" customFormat="false" ht="15" hidden="false" customHeight="false" outlineLevel="0" collapsed="false">
      <c r="A638" s="30" t="s">
        <v>809</v>
      </c>
      <c r="B638" s="44" t="n">
        <v>45519</v>
      </c>
      <c r="C638" s="19" t="n">
        <f aca="false">YEAR(B638)</f>
        <v>2024</v>
      </c>
      <c r="D638" s="19" t="n">
        <f aca="false">MONTH(B638)</f>
        <v>8</v>
      </c>
      <c r="E638" s="30" t="str">
        <f aca="false">INDEX(Lists!$K$2:$K$13,MATCH(D638,Lists!$J$2:$J$13,0))</f>
        <v>أغسطس</v>
      </c>
      <c r="F638" s="19" t="str">
        <f aca="false">"Q"&amp;ROUNDUP(D638/3,0)</f>
        <v>Q3</v>
      </c>
      <c r="G638" s="30" t="str">
        <f aca="false">INDEX(Lists!$N$2:$N$8,MATCH(WEEKDAY(B638,2),Lists!$M$2:$M$8,0))</f>
        <v>الخميس</v>
      </c>
      <c r="H638" s="30" t="s">
        <v>50</v>
      </c>
      <c r="I638" s="19" t="str">
        <f aca="false">INDEX(Lists!$B$2:$B$6,MATCH(H638,Lists!$A$2:$A$6,0))</f>
        <v>المنطقة الغربية</v>
      </c>
      <c r="J638" s="30" t="s">
        <v>109</v>
      </c>
      <c r="K638" s="30" t="s">
        <v>171</v>
      </c>
      <c r="L638" s="31" t="n">
        <v>249</v>
      </c>
      <c r="M638" s="19" t="n">
        <v>1</v>
      </c>
      <c r="N638" s="32" t="n">
        <v>0</v>
      </c>
      <c r="O638" s="30" t="s">
        <v>52</v>
      </c>
      <c r="P638" s="30" t="s">
        <v>47</v>
      </c>
      <c r="Q638" s="30" t="s">
        <v>84</v>
      </c>
      <c r="R638" s="25" t="n">
        <f aca="false">L638*M638*(1-N638)</f>
        <v>249</v>
      </c>
    </row>
    <row r="639" customFormat="false" ht="15" hidden="false" customHeight="false" outlineLevel="0" collapsed="false">
      <c r="A639" s="30" t="s">
        <v>810</v>
      </c>
      <c r="B639" s="44" t="n">
        <v>45519</v>
      </c>
      <c r="C639" s="19" t="n">
        <f aca="false">YEAR(B639)</f>
        <v>2024</v>
      </c>
      <c r="D639" s="19" t="n">
        <f aca="false">MONTH(B639)</f>
        <v>8</v>
      </c>
      <c r="E639" s="30" t="str">
        <f aca="false">INDEX(Lists!$K$2:$K$13,MATCH(D639,Lists!$J$2:$J$13,0))</f>
        <v>أغسطس</v>
      </c>
      <c r="F639" s="19" t="str">
        <f aca="false">"Q"&amp;ROUNDUP(D639/3,0)</f>
        <v>Q3</v>
      </c>
      <c r="G639" s="30" t="str">
        <f aca="false">INDEX(Lists!$N$2:$N$8,MATCH(WEEKDAY(B639,2),Lists!$M$2:$M$8,0))</f>
        <v>الخميس</v>
      </c>
      <c r="H639" s="30" t="s">
        <v>50</v>
      </c>
      <c r="I639" s="19" t="str">
        <f aca="false">INDEX(Lists!$B$2:$B$6,MATCH(H639,Lists!$A$2:$A$6,0))</f>
        <v>المنطقة الغربية</v>
      </c>
      <c r="J639" s="30" t="s">
        <v>107</v>
      </c>
      <c r="K639" s="30" t="s">
        <v>184</v>
      </c>
      <c r="L639" s="31" t="n">
        <v>2519</v>
      </c>
      <c r="M639" s="19" t="n">
        <v>1</v>
      </c>
      <c r="N639" s="32" t="n">
        <v>0.1</v>
      </c>
      <c r="O639" s="30" t="s">
        <v>48</v>
      </c>
      <c r="P639" s="30" t="s">
        <v>47</v>
      </c>
      <c r="Q639" s="30" t="s">
        <v>86</v>
      </c>
      <c r="R639" s="25" t="n">
        <f aca="false">L639*M639*(1-N639)</f>
        <v>2267.1</v>
      </c>
    </row>
    <row r="640" customFormat="false" ht="15" hidden="false" customHeight="false" outlineLevel="0" collapsed="false">
      <c r="A640" s="30" t="s">
        <v>811</v>
      </c>
      <c r="B640" s="44" t="n">
        <v>45519</v>
      </c>
      <c r="C640" s="19" t="n">
        <f aca="false">YEAR(B640)</f>
        <v>2024</v>
      </c>
      <c r="D640" s="19" t="n">
        <f aca="false">MONTH(B640)</f>
        <v>8</v>
      </c>
      <c r="E640" s="30" t="str">
        <f aca="false">INDEX(Lists!$K$2:$K$13,MATCH(D640,Lists!$J$2:$J$13,0))</f>
        <v>أغسطس</v>
      </c>
      <c r="F640" s="19" t="str">
        <f aca="false">"Q"&amp;ROUNDUP(D640/3,0)</f>
        <v>Q3</v>
      </c>
      <c r="G640" s="30" t="str">
        <f aca="false">INDEX(Lists!$N$2:$N$8,MATCH(WEEKDAY(B640,2),Lists!$M$2:$M$8,0))</f>
        <v>الخميس</v>
      </c>
      <c r="H640" s="30" t="s">
        <v>60</v>
      </c>
      <c r="I640" s="19" t="str">
        <f aca="false">INDEX(Lists!$B$2:$B$6,MATCH(H640,Lists!$A$2:$A$6,0))</f>
        <v>المنطقة الغربية</v>
      </c>
      <c r="J640" s="30" t="s">
        <v>109</v>
      </c>
      <c r="K640" s="30" t="s">
        <v>110</v>
      </c>
      <c r="L640" s="31" t="n">
        <v>179</v>
      </c>
      <c r="M640" s="19" t="n">
        <v>10</v>
      </c>
      <c r="N640" s="32" t="n">
        <v>0</v>
      </c>
      <c r="O640" s="30" t="s">
        <v>58</v>
      </c>
      <c r="P640" s="30" t="s">
        <v>51</v>
      </c>
      <c r="Q640" s="30" t="s">
        <v>86</v>
      </c>
      <c r="R640" s="25" t="n">
        <f aca="false">L640*M640*(1-N640)</f>
        <v>1790</v>
      </c>
    </row>
    <row r="641" customFormat="false" ht="15" hidden="false" customHeight="false" outlineLevel="0" collapsed="false">
      <c r="A641" s="30" t="s">
        <v>812</v>
      </c>
      <c r="B641" s="44" t="n">
        <v>45519</v>
      </c>
      <c r="C641" s="19" t="n">
        <f aca="false">YEAR(B641)</f>
        <v>2024</v>
      </c>
      <c r="D641" s="19" t="n">
        <f aca="false">MONTH(B641)</f>
        <v>8</v>
      </c>
      <c r="E641" s="30" t="str">
        <f aca="false">INDEX(Lists!$K$2:$K$13,MATCH(D641,Lists!$J$2:$J$13,0))</f>
        <v>أغسطس</v>
      </c>
      <c r="F641" s="19" t="str">
        <f aca="false">"Q"&amp;ROUNDUP(D641/3,0)</f>
        <v>Q3</v>
      </c>
      <c r="G641" s="30" t="str">
        <f aca="false">INDEX(Lists!$N$2:$N$8,MATCH(WEEKDAY(B641,2),Lists!$M$2:$M$8,0))</f>
        <v>الخميس</v>
      </c>
      <c r="H641" s="30" t="s">
        <v>57</v>
      </c>
      <c r="I641" s="19" t="str">
        <f aca="false">INDEX(Lists!$B$2:$B$6,MATCH(H641,Lists!$A$2:$A$6,0))</f>
        <v>المنطقة الغربية</v>
      </c>
      <c r="J641" s="30" t="s">
        <v>107</v>
      </c>
      <c r="K641" s="30" t="s">
        <v>272</v>
      </c>
      <c r="L641" s="31" t="n">
        <v>3539</v>
      </c>
      <c r="M641" s="19" t="n">
        <v>1</v>
      </c>
      <c r="N641" s="32" t="n">
        <v>0.05</v>
      </c>
      <c r="O641" s="30" t="s">
        <v>48</v>
      </c>
      <c r="P641" s="30" t="s">
        <v>47</v>
      </c>
      <c r="Q641" s="30" t="s">
        <v>86</v>
      </c>
      <c r="R641" s="25" t="n">
        <f aca="false">L641*M641*(1-N641)</f>
        <v>3362.05</v>
      </c>
    </row>
    <row r="642" customFormat="false" ht="15" hidden="false" customHeight="false" outlineLevel="0" collapsed="false">
      <c r="A642" s="30" t="s">
        <v>813</v>
      </c>
      <c r="B642" s="44" t="n">
        <v>45520</v>
      </c>
      <c r="C642" s="19" t="n">
        <f aca="false">YEAR(B642)</f>
        <v>2024</v>
      </c>
      <c r="D642" s="19" t="n">
        <f aca="false">MONTH(B642)</f>
        <v>8</v>
      </c>
      <c r="E642" s="30" t="str">
        <f aca="false">INDEX(Lists!$K$2:$K$13,MATCH(D642,Lists!$J$2:$J$13,0))</f>
        <v>أغسطس</v>
      </c>
      <c r="F642" s="19" t="str">
        <f aca="false">"Q"&amp;ROUNDUP(D642/3,0)</f>
        <v>Q3</v>
      </c>
      <c r="G642" s="30" t="str">
        <f aca="false">INDEX(Lists!$N$2:$N$8,MATCH(WEEKDAY(B642,2),Lists!$M$2:$M$8,0))</f>
        <v>الجمعة</v>
      </c>
      <c r="H642" s="30" t="s">
        <v>46</v>
      </c>
      <c r="I642" s="19" t="str">
        <f aca="false">INDEX(Lists!$B$2:$B$6,MATCH(H642,Lists!$A$2:$A$6,0))</f>
        <v>المنطقة الوسطى</v>
      </c>
      <c r="J642" s="30" t="s">
        <v>105</v>
      </c>
      <c r="K642" s="30" t="s">
        <v>179</v>
      </c>
      <c r="L642" s="31" t="n">
        <v>1619</v>
      </c>
      <c r="M642" s="19" t="n">
        <v>1</v>
      </c>
      <c r="N642" s="32" t="n">
        <v>0.05</v>
      </c>
      <c r="O642" s="30" t="s">
        <v>48</v>
      </c>
      <c r="P642" s="30" t="s">
        <v>47</v>
      </c>
      <c r="Q642" s="30" t="s">
        <v>86</v>
      </c>
      <c r="R642" s="25" t="n">
        <f aca="false">L642*M642*(1-N642)</f>
        <v>1538.05</v>
      </c>
    </row>
    <row r="643" customFormat="false" ht="15" hidden="false" customHeight="false" outlineLevel="0" collapsed="false">
      <c r="A643" s="30" t="s">
        <v>814</v>
      </c>
      <c r="B643" s="44" t="n">
        <v>45520</v>
      </c>
      <c r="C643" s="19" t="n">
        <f aca="false">YEAR(B643)</f>
        <v>2024</v>
      </c>
      <c r="D643" s="19" t="n">
        <f aca="false">MONTH(B643)</f>
        <v>8</v>
      </c>
      <c r="E643" s="30" t="str">
        <f aca="false">INDEX(Lists!$K$2:$K$13,MATCH(D643,Lists!$J$2:$J$13,0))</f>
        <v>أغسطس</v>
      </c>
      <c r="F643" s="19" t="str">
        <f aca="false">"Q"&amp;ROUNDUP(D643/3,0)</f>
        <v>Q3</v>
      </c>
      <c r="G643" s="30" t="str">
        <f aca="false">INDEX(Lists!$N$2:$N$8,MATCH(WEEKDAY(B643,2),Lists!$M$2:$M$8,0))</f>
        <v>الجمعة</v>
      </c>
      <c r="H643" s="30" t="s">
        <v>60</v>
      </c>
      <c r="I643" s="19" t="str">
        <f aca="false">INDEX(Lists!$B$2:$B$6,MATCH(H643,Lists!$A$2:$A$6,0))</f>
        <v>المنطقة الغربية</v>
      </c>
      <c r="J643" s="30" t="s">
        <v>107</v>
      </c>
      <c r="K643" s="30" t="s">
        <v>115</v>
      </c>
      <c r="L643" s="31" t="n">
        <v>2149</v>
      </c>
      <c r="M643" s="19" t="n">
        <v>1</v>
      </c>
      <c r="N643" s="32" t="n">
        <v>0</v>
      </c>
      <c r="O643" s="30" t="s">
        <v>52</v>
      </c>
      <c r="P643" s="30" t="s">
        <v>47</v>
      </c>
      <c r="Q643" s="30" t="s">
        <v>81</v>
      </c>
      <c r="R643" s="25" t="n">
        <f aca="false">L643*M643*(1-N643)</f>
        <v>2149</v>
      </c>
    </row>
    <row r="644" customFormat="false" ht="15" hidden="false" customHeight="false" outlineLevel="0" collapsed="false">
      <c r="A644" s="30" t="s">
        <v>815</v>
      </c>
      <c r="B644" s="44" t="n">
        <v>45520</v>
      </c>
      <c r="C644" s="19" t="n">
        <f aca="false">YEAR(B644)</f>
        <v>2024</v>
      </c>
      <c r="D644" s="19" t="n">
        <f aca="false">MONTH(B644)</f>
        <v>8</v>
      </c>
      <c r="E644" s="30" t="str">
        <f aca="false">INDEX(Lists!$K$2:$K$13,MATCH(D644,Lists!$J$2:$J$13,0))</f>
        <v>أغسطس</v>
      </c>
      <c r="F644" s="19" t="str">
        <f aca="false">"Q"&amp;ROUNDUP(D644/3,0)</f>
        <v>Q3</v>
      </c>
      <c r="G644" s="30" t="str">
        <f aca="false">INDEX(Lists!$N$2:$N$8,MATCH(WEEKDAY(B644,2),Lists!$M$2:$M$8,0))</f>
        <v>الجمعة</v>
      </c>
      <c r="H644" s="30" t="s">
        <v>46</v>
      </c>
      <c r="I644" s="19" t="str">
        <f aca="false">INDEX(Lists!$B$2:$B$6,MATCH(H644,Lists!$A$2:$A$6,0))</f>
        <v>المنطقة الوسطى</v>
      </c>
      <c r="J644" s="30" t="s">
        <v>111</v>
      </c>
      <c r="K644" s="30" t="s">
        <v>118</v>
      </c>
      <c r="L644" s="31" t="n">
        <v>449</v>
      </c>
      <c r="M644" s="19" t="n">
        <v>1</v>
      </c>
      <c r="N644" s="32" t="n">
        <v>0.1</v>
      </c>
      <c r="O644" s="30" t="s">
        <v>58</v>
      </c>
      <c r="P644" s="30" t="s">
        <v>47</v>
      </c>
      <c r="Q644" s="30" t="s">
        <v>84</v>
      </c>
      <c r="R644" s="25" t="n">
        <f aca="false">L644*M644*(1-N644)</f>
        <v>404.1</v>
      </c>
    </row>
    <row r="645" customFormat="false" ht="15" hidden="false" customHeight="false" outlineLevel="0" collapsed="false">
      <c r="A645" s="30" t="s">
        <v>816</v>
      </c>
      <c r="B645" s="44" t="n">
        <v>45520</v>
      </c>
      <c r="C645" s="19" t="n">
        <f aca="false">YEAR(B645)</f>
        <v>2024</v>
      </c>
      <c r="D645" s="19" t="n">
        <f aca="false">MONTH(B645)</f>
        <v>8</v>
      </c>
      <c r="E645" s="30" t="str">
        <f aca="false">INDEX(Lists!$K$2:$K$13,MATCH(D645,Lists!$J$2:$J$13,0))</f>
        <v>أغسطس</v>
      </c>
      <c r="F645" s="19" t="str">
        <f aca="false">"Q"&amp;ROUNDUP(D645/3,0)</f>
        <v>Q3</v>
      </c>
      <c r="G645" s="30" t="str">
        <f aca="false">INDEX(Lists!$N$2:$N$8,MATCH(WEEKDAY(B645,2),Lists!$M$2:$M$8,0))</f>
        <v>الجمعة</v>
      </c>
      <c r="H645" s="30" t="s">
        <v>46</v>
      </c>
      <c r="I645" s="19" t="str">
        <f aca="false">INDEX(Lists!$B$2:$B$6,MATCH(H645,Lists!$A$2:$A$6,0))</f>
        <v>المنطقة الوسطى</v>
      </c>
      <c r="J645" s="30" t="s">
        <v>105</v>
      </c>
      <c r="K645" s="30" t="s">
        <v>79</v>
      </c>
      <c r="L645" s="31" t="n">
        <v>3219</v>
      </c>
      <c r="M645" s="19" t="n">
        <v>2</v>
      </c>
      <c r="N645" s="32" t="n">
        <v>0.05</v>
      </c>
      <c r="O645" s="30" t="s">
        <v>55</v>
      </c>
      <c r="P645" s="30" t="s">
        <v>47</v>
      </c>
      <c r="Q645" s="30" t="s">
        <v>81</v>
      </c>
      <c r="R645" s="25" t="n">
        <f aca="false">L645*M645*(1-N645)</f>
        <v>6116.1</v>
      </c>
    </row>
    <row r="646" customFormat="false" ht="15" hidden="false" customHeight="false" outlineLevel="0" collapsed="false">
      <c r="A646" s="30" t="s">
        <v>817</v>
      </c>
      <c r="B646" s="44" t="n">
        <v>45521</v>
      </c>
      <c r="C646" s="19" t="n">
        <f aca="false">YEAR(B646)</f>
        <v>2024</v>
      </c>
      <c r="D646" s="19" t="n">
        <f aca="false">MONTH(B646)</f>
        <v>8</v>
      </c>
      <c r="E646" s="30" t="str">
        <f aca="false">INDEX(Lists!$K$2:$K$13,MATCH(D646,Lists!$J$2:$J$13,0))</f>
        <v>أغسطس</v>
      </c>
      <c r="F646" s="19" t="str">
        <f aca="false">"Q"&amp;ROUNDUP(D646/3,0)</f>
        <v>Q3</v>
      </c>
      <c r="G646" s="30" t="str">
        <f aca="false">INDEX(Lists!$N$2:$N$8,MATCH(WEEKDAY(B646,2),Lists!$M$2:$M$8,0))</f>
        <v>السبت</v>
      </c>
      <c r="H646" s="30" t="s">
        <v>50</v>
      </c>
      <c r="I646" s="19" t="str">
        <f aca="false">INDEX(Lists!$B$2:$B$6,MATCH(H646,Lists!$A$2:$A$6,0))</f>
        <v>المنطقة الغربية</v>
      </c>
      <c r="J646" s="30" t="s">
        <v>109</v>
      </c>
      <c r="K646" s="30" t="s">
        <v>192</v>
      </c>
      <c r="L646" s="31" t="n">
        <v>189</v>
      </c>
      <c r="M646" s="19" t="n">
        <v>1</v>
      </c>
      <c r="N646" s="32" t="n">
        <v>0.1</v>
      </c>
      <c r="O646" s="30" t="s">
        <v>48</v>
      </c>
      <c r="P646" s="30" t="s">
        <v>47</v>
      </c>
      <c r="Q646" s="30" t="s">
        <v>92</v>
      </c>
      <c r="R646" s="25" t="n">
        <f aca="false">L646*M646*(1-N646)</f>
        <v>170.1</v>
      </c>
    </row>
    <row r="647" customFormat="false" ht="15" hidden="false" customHeight="false" outlineLevel="0" collapsed="false">
      <c r="A647" s="30" t="s">
        <v>818</v>
      </c>
      <c r="B647" s="44" t="n">
        <v>45521</v>
      </c>
      <c r="C647" s="19" t="n">
        <f aca="false">YEAR(B647)</f>
        <v>2024</v>
      </c>
      <c r="D647" s="19" t="n">
        <f aca="false">MONTH(B647)</f>
        <v>8</v>
      </c>
      <c r="E647" s="30" t="str">
        <f aca="false">INDEX(Lists!$K$2:$K$13,MATCH(D647,Lists!$J$2:$J$13,0))</f>
        <v>أغسطس</v>
      </c>
      <c r="F647" s="19" t="str">
        <f aca="false">"Q"&amp;ROUNDUP(D647/3,0)</f>
        <v>Q3</v>
      </c>
      <c r="G647" s="30" t="str">
        <f aca="false">INDEX(Lists!$N$2:$N$8,MATCH(WEEKDAY(B647,2),Lists!$M$2:$M$8,0))</f>
        <v>السبت</v>
      </c>
      <c r="H647" s="30" t="s">
        <v>50</v>
      </c>
      <c r="I647" s="19" t="str">
        <f aca="false">INDEX(Lists!$B$2:$B$6,MATCH(H647,Lists!$A$2:$A$6,0))</f>
        <v>المنطقة الغربية</v>
      </c>
      <c r="J647" s="30" t="s">
        <v>109</v>
      </c>
      <c r="K647" s="30" t="s">
        <v>93</v>
      </c>
      <c r="L647" s="31" t="n">
        <v>49</v>
      </c>
      <c r="M647" s="19" t="n">
        <v>1</v>
      </c>
      <c r="N647" s="32" t="n">
        <v>0.05</v>
      </c>
      <c r="O647" s="30" t="s">
        <v>48</v>
      </c>
      <c r="P647" s="30" t="s">
        <v>47</v>
      </c>
      <c r="Q647" s="30" t="s">
        <v>89</v>
      </c>
      <c r="R647" s="25" t="n">
        <f aca="false">L647*M647*(1-N647)</f>
        <v>46.55</v>
      </c>
    </row>
    <row r="648" customFormat="false" ht="15" hidden="false" customHeight="false" outlineLevel="0" collapsed="false">
      <c r="A648" s="30" t="s">
        <v>819</v>
      </c>
      <c r="B648" s="44" t="n">
        <v>45521</v>
      </c>
      <c r="C648" s="19" t="n">
        <f aca="false">YEAR(B648)</f>
        <v>2024</v>
      </c>
      <c r="D648" s="19" t="n">
        <f aca="false">MONTH(B648)</f>
        <v>8</v>
      </c>
      <c r="E648" s="30" t="str">
        <f aca="false">INDEX(Lists!$K$2:$K$13,MATCH(D648,Lists!$J$2:$J$13,0))</f>
        <v>أغسطس</v>
      </c>
      <c r="F648" s="19" t="str">
        <f aca="false">"Q"&amp;ROUNDUP(D648/3,0)</f>
        <v>Q3</v>
      </c>
      <c r="G648" s="30" t="str">
        <f aca="false">INDEX(Lists!$N$2:$N$8,MATCH(WEEKDAY(B648,2),Lists!$M$2:$M$8,0))</f>
        <v>السبت</v>
      </c>
      <c r="H648" s="30" t="s">
        <v>50</v>
      </c>
      <c r="I648" s="19" t="str">
        <f aca="false">INDEX(Lists!$B$2:$B$6,MATCH(H648,Lists!$A$2:$A$6,0))</f>
        <v>المنطقة الغربية</v>
      </c>
      <c r="J648" s="30" t="s">
        <v>109</v>
      </c>
      <c r="K648" s="30" t="s">
        <v>175</v>
      </c>
      <c r="L648" s="31" t="n">
        <v>29</v>
      </c>
      <c r="M648" s="19" t="n">
        <v>2</v>
      </c>
      <c r="N648" s="32" t="n">
        <v>0</v>
      </c>
      <c r="O648" s="30" t="s">
        <v>55</v>
      </c>
      <c r="P648" s="30" t="s">
        <v>47</v>
      </c>
      <c r="Q648" s="30" t="s">
        <v>84</v>
      </c>
      <c r="R648" s="25" t="n">
        <f aca="false">L648*M648*(1-N648)</f>
        <v>58</v>
      </c>
    </row>
    <row r="649" customFormat="false" ht="15" hidden="false" customHeight="false" outlineLevel="0" collapsed="false">
      <c r="A649" s="30" t="s">
        <v>820</v>
      </c>
      <c r="B649" s="44" t="n">
        <v>45521</v>
      </c>
      <c r="C649" s="19" t="n">
        <f aca="false">YEAR(B649)</f>
        <v>2024</v>
      </c>
      <c r="D649" s="19" t="n">
        <f aca="false">MONTH(B649)</f>
        <v>8</v>
      </c>
      <c r="E649" s="30" t="str">
        <f aca="false">INDEX(Lists!$K$2:$K$13,MATCH(D649,Lists!$J$2:$J$13,0))</f>
        <v>أغسطس</v>
      </c>
      <c r="F649" s="19" t="str">
        <f aca="false">"Q"&amp;ROUNDUP(D649/3,0)</f>
        <v>Q3</v>
      </c>
      <c r="G649" s="30" t="str">
        <f aca="false">INDEX(Lists!$N$2:$N$8,MATCH(WEEKDAY(B649,2),Lists!$M$2:$M$8,0))</f>
        <v>السبت</v>
      </c>
      <c r="H649" s="30" t="s">
        <v>54</v>
      </c>
      <c r="I649" s="19" t="str">
        <f aca="false">INDEX(Lists!$B$2:$B$6,MATCH(H649,Lists!$A$2:$A$6,0))</f>
        <v>المنطقة الشرقية</v>
      </c>
      <c r="J649" s="30" t="s">
        <v>113</v>
      </c>
      <c r="K649" s="30" t="s">
        <v>97</v>
      </c>
      <c r="L649" s="31" t="n">
        <v>689</v>
      </c>
      <c r="M649" s="19" t="n">
        <v>2</v>
      </c>
      <c r="N649" s="32" t="n">
        <v>0</v>
      </c>
      <c r="O649" s="30" t="s">
        <v>48</v>
      </c>
      <c r="P649" s="30" t="s">
        <v>47</v>
      </c>
      <c r="Q649" s="30" t="s">
        <v>96</v>
      </c>
      <c r="R649" s="25" t="n">
        <f aca="false">L649*M649*(1-N649)</f>
        <v>1378</v>
      </c>
    </row>
    <row r="650" customFormat="false" ht="15" hidden="false" customHeight="false" outlineLevel="0" collapsed="false">
      <c r="A650" s="30" t="s">
        <v>821</v>
      </c>
      <c r="B650" s="44" t="n">
        <v>45522</v>
      </c>
      <c r="C650" s="19" t="n">
        <f aca="false">YEAR(B650)</f>
        <v>2024</v>
      </c>
      <c r="D650" s="19" t="n">
        <f aca="false">MONTH(B650)</f>
        <v>8</v>
      </c>
      <c r="E650" s="30" t="str">
        <f aca="false">INDEX(Lists!$K$2:$K$13,MATCH(D650,Lists!$J$2:$J$13,0))</f>
        <v>أغسطس</v>
      </c>
      <c r="F650" s="19" t="str">
        <f aca="false">"Q"&amp;ROUNDUP(D650/3,0)</f>
        <v>Q3</v>
      </c>
      <c r="G650" s="30" t="str">
        <f aca="false">INDEX(Lists!$N$2:$N$8,MATCH(WEEKDAY(B650,2),Lists!$M$2:$M$8,0))</f>
        <v>الأحد</v>
      </c>
      <c r="H650" s="30" t="s">
        <v>60</v>
      </c>
      <c r="I650" s="19" t="str">
        <f aca="false">INDEX(Lists!$B$2:$B$6,MATCH(H650,Lists!$A$2:$A$6,0))</f>
        <v>المنطقة الغربية</v>
      </c>
      <c r="J650" s="30" t="s">
        <v>105</v>
      </c>
      <c r="K650" s="30" t="s">
        <v>179</v>
      </c>
      <c r="L650" s="31" t="n">
        <v>3099</v>
      </c>
      <c r="M650" s="19" t="n">
        <v>2</v>
      </c>
      <c r="N650" s="32" t="n">
        <v>0</v>
      </c>
      <c r="O650" s="30" t="s">
        <v>55</v>
      </c>
      <c r="P650" s="30" t="s">
        <v>47</v>
      </c>
      <c r="Q650" s="30" t="s">
        <v>76</v>
      </c>
      <c r="R650" s="25" t="n">
        <f aca="false">L650*M650*(1-N650)</f>
        <v>6198</v>
      </c>
    </row>
    <row r="651" customFormat="false" ht="15" hidden="false" customHeight="false" outlineLevel="0" collapsed="false">
      <c r="A651" s="30" t="s">
        <v>822</v>
      </c>
      <c r="B651" s="44" t="n">
        <v>45522</v>
      </c>
      <c r="C651" s="19" t="n">
        <f aca="false">YEAR(B651)</f>
        <v>2024</v>
      </c>
      <c r="D651" s="19" t="n">
        <f aca="false">MONTH(B651)</f>
        <v>8</v>
      </c>
      <c r="E651" s="30" t="str">
        <f aca="false">INDEX(Lists!$K$2:$K$13,MATCH(D651,Lists!$J$2:$J$13,0))</f>
        <v>أغسطس</v>
      </c>
      <c r="F651" s="19" t="str">
        <f aca="false">"Q"&amp;ROUNDUP(D651/3,0)</f>
        <v>Q3</v>
      </c>
      <c r="G651" s="30" t="str">
        <f aca="false">INDEX(Lists!$N$2:$N$8,MATCH(WEEKDAY(B651,2),Lists!$M$2:$M$8,0))</f>
        <v>الأحد</v>
      </c>
      <c r="H651" s="30" t="s">
        <v>46</v>
      </c>
      <c r="I651" s="19" t="str">
        <f aca="false">INDEX(Lists!$B$2:$B$6,MATCH(H651,Lists!$A$2:$A$6,0))</f>
        <v>المنطقة الوسطى</v>
      </c>
      <c r="J651" s="30" t="s">
        <v>105</v>
      </c>
      <c r="K651" s="30" t="s">
        <v>85</v>
      </c>
      <c r="L651" s="31" t="n">
        <v>1399</v>
      </c>
      <c r="M651" s="19" t="n">
        <v>1</v>
      </c>
      <c r="N651" s="32" t="n">
        <v>0.05</v>
      </c>
      <c r="O651" s="30" t="s">
        <v>52</v>
      </c>
      <c r="P651" s="30" t="s">
        <v>47</v>
      </c>
      <c r="Q651" s="30" t="s">
        <v>81</v>
      </c>
      <c r="R651" s="25" t="n">
        <f aca="false">L651*M651*(1-N651)</f>
        <v>1329.05</v>
      </c>
    </row>
    <row r="652" customFormat="false" ht="15" hidden="false" customHeight="false" outlineLevel="0" collapsed="false">
      <c r="A652" s="30" t="s">
        <v>823</v>
      </c>
      <c r="B652" s="44" t="n">
        <v>45522</v>
      </c>
      <c r="C652" s="19" t="n">
        <f aca="false">YEAR(B652)</f>
        <v>2024</v>
      </c>
      <c r="D652" s="19" t="n">
        <f aca="false">MONTH(B652)</f>
        <v>8</v>
      </c>
      <c r="E652" s="30" t="str">
        <f aca="false">INDEX(Lists!$K$2:$K$13,MATCH(D652,Lists!$J$2:$J$13,0))</f>
        <v>أغسطس</v>
      </c>
      <c r="F652" s="19" t="str">
        <f aca="false">"Q"&amp;ROUNDUP(D652/3,0)</f>
        <v>Q3</v>
      </c>
      <c r="G652" s="30" t="str">
        <f aca="false">INDEX(Lists!$N$2:$N$8,MATCH(WEEKDAY(B652,2),Lists!$M$2:$M$8,0))</f>
        <v>الأحد</v>
      </c>
      <c r="H652" s="30" t="s">
        <v>54</v>
      </c>
      <c r="I652" s="19" t="str">
        <f aca="false">INDEX(Lists!$B$2:$B$6,MATCH(H652,Lists!$A$2:$A$6,0))</f>
        <v>المنطقة الشرقية</v>
      </c>
      <c r="J652" s="30" t="s">
        <v>107</v>
      </c>
      <c r="K652" s="30" t="s">
        <v>114</v>
      </c>
      <c r="L652" s="31" t="n">
        <v>4259</v>
      </c>
      <c r="M652" s="19" t="n">
        <v>1</v>
      </c>
      <c r="N652" s="32" t="n">
        <v>0.05</v>
      </c>
      <c r="O652" s="30" t="s">
        <v>48</v>
      </c>
      <c r="P652" s="30" t="s">
        <v>47</v>
      </c>
      <c r="Q652" s="30" t="s">
        <v>86</v>
      </c>
      <c r="R652" s="25" t="n">
        <f aca="false">L652*M652*(1-N652)</f>
        <v>4046.05</v>
      </c>
    </row>
    <row r="653" customFormat="false" ht="15" hidden="false" customHeight="false" outlineLevel="0" collapsed="false">
      <c r="A653" s="30" t="s">
        <v>824</v>
      </c>
      <c r="B653" s="44" t="n">
        <v>45522</v>
      </c>
      <c r="C653" s="19" t="n">
        <f aca="false">YEAR(B653)</f>
        <v>2024</v>
      </c>
      <c r="D653" s="19" t="n">
        <f aca="false">MONTH(B653)</f>
        <v>8</v>
      </c>
      <c r="E653" s="30" t="str">
        <f aca="false">INDEX(Lists!$K$2:$K$13,MATCH(D653,Lists!$J$2:$J$13,0))</f>
        <v>أغسطس</v>
      </c>
      <c r="F653" s="19" t="str">
        <f aca="false">"Q"&amp;ROUNDUP(D653/3,0)</f>
        <v>Q3</v>
      </c>
      <c r="G653" s="30" t="str">
        <f aca="false">INDEX(Lists!$N$2:$N$8,MATCH(WEEKDAY(B653,2),Lists!$M$2:$M$8,0))</f>
        <v>الأحد</v>
      </c>
      <c r="H653" s="30" t="s">
        <v>60</v>
      </c>
      <c r="I653" s="19" t="str">
        <f aca="false">INDEX(Lists!$B$2:$B$6,MATCH(H653,Lists!$A$2:$A$6,0))</f>
        <v>المنطقة الغربية</v>
      </c>
      <c r="J653" s="30" t="s">
        <v>105</v>
      </c>
      <c r="K653" s="30" t="s">
        <v>179</v>
      </c>
      <c r="L653" s="31" t="n">
        <v>969</v>
      </c>
      <c r="M653" s="19" t="n">
        <v>1</v>
      </c>
      <c r="N653" s="32" t="n">
        <v>0.1</v>
      </c>
      <c r="O653" s="30" t="s">
        <v>55</v>
      </c>
      <c r="P653" s="30" t="s">
        <v>47</v>
      </c>
      <c r="Q653" s="30" t="s">
        <v>81</v>
      </c>
      <c r="R653" s="25" t="n">
        <f aca="false">L653*M653*(1-N653)</f>
        <v>872.1</v>
      </c>
    </row>
    <row r="654" customFormat="false" ht="15" hidden="false" customHeight="false" outlineLevel="0" collapsed="false">
      <c r="A654" s="30" t="s">
        <v>825</v>
      </c>
      <c r="B654" s="44" t="n">
        <v>45523</v>
      </c>
      <c r="C654" s="19" t="n">
        <f aca="false">YEAR(B654)</f>
        <v>2024</v>
      </c>
      <c r="D654" s="19" t="n">
        <f aca="false">MONTH(B654)</f>
        <v>8</v>
      </c>
      <c r="E654" s="30" t="str">
        <f aca="false">INDEX(Lists!$K$2:$K$13,MATCH(D654,Lists!$J$2:$J$13,0))</f>
        <v>أغسطس</v>
      </c>
      <c r="F654" s="19" t="str">
        <f aca="false">"Q"&amp;ROUNDUP(D654/3,0)</f>
        <v>Q3</v>
      </c>
      <c r="G654" s="30" t="str">
        <f aca="false">INDEX(Lists!$N$2:$N$8,MATCH(WEEKDAY(B654,2),Lists!$M$2:$M$8,0))</f>
        <v>الإثنين</v>
      </c>
      <c r="H654" s="30" t="s">
        <v>46</v>
      </c>
      <c r="I654" s="19" t="str">
        <f aca="false">INDEX(Lists!$B$2:$B$6,MATCH(H654,Lists!$A$2:$A$6,0))</f>
        <v>المنطقة الوسطى</v>
      </c>
      <c r="J654" s="30" t="s">
        <v>109</v>
      </c>
      <c r="K654" s="30" t="s">
        <v>171</v>
      </c>
      <c r="L654" s="31" t="n">
        <v>59</v>
      </c>
      <c r="M654" s="19" t="n">
        <v>5</v>
      </c>
      <c r="N654" s="32" t="n">
        <v>0.1</v>
      </c>
      <c r="O654" s="30" t="s">
        <v>55</v>
      </c>
      <c r="P654" s="30" t="s">
        <v>51</v>
      </c>
      <c r="Q654" s="30" t="s">
        <v>96</v>
      </c>
      <c r="R654" s="25" t="n">
        <f aca="false">L654*M654*(1-N654)</f>
        <v>265.5</v>
      </c>
    </row>
    <row r="655" customFormat="false" ht="15" hidden="false" customHeight="false" outlineLevel="0" collapsed="false">
      <c r="A655" s="30" t="s">
        <v>826</v>
      </c>
      <c r="B655" s="44" t="n">
        <v>45523</v>
      </c>
      <c r="C655" s="19" t="n">
        <f aca="false">YEAR(B655)</f>
        <v>2024</v>
      </c>
      <c r="D655" s="19" t="n">
        <f aca="false">MONTH(B655)</f>
        <v>8</v>
      </c>
      <c r="E655" s="30" t="str">
        <f aca="false">INDEX(Lists!$K$2:$K$13,MATCH(D655,Lists!$J$2:$J$13,0))</f>
        <v>أغسطس</v>
      </c>
      <c r="F655" s="19" t="str">
        <f aca="false">"Q"&amp;ROUNDUP(D655/3,0)</f>
        <v>Q3</v>
      </c>
      <c r="G655" s="30" t="str">
        <f aca="false">INDEX(Lists!$N$2:$N$8,MATCH(WEEKDAY(B655,2),Lists!$M$2:$M$8,0))</f>
        <v>الإثنين</v>
      </c>
      <c r="H655" s="30" t="s">
        <v>50</v>
      </c>
      <c r="I655" s="19" t="str">
        <f aca="false">INDEX(Lists!$B$2:$B$6,MATCH(H655,Lists!$A$2:$A$6,0))</f>
        <v>المنطقة الغربية</v>
      </c>
      <c r="J655" s="30" t="s">
        <v>107</v>
      </c>
      <c r="K655" s="30" t="s">
        <v>184</v>
      </c>
      <c r="L655" s="31" t="n">
        <v>5759</v>
      </c>
      <c r="M655" s="19" t="n">
        <v>1</v>
      </c>
      <c r="N655" s="32" t="n">
        <v>0</v>
      </c>
      <c r="O655" s="30" t="s">
        <v>55</v>
      </c>
      <c r="P655" s="30" t="s">
        <v>47</v>
      </c>
      <c r="Q655" s="30" t="s">
        <v>86</v>
      </c>
      <c r="R655" s="25" t="n">
        <f aca="false">L655*M655*(1-N655)</f>
        <v>5759</v>
      </c>
    </row>
    <row r="656" customFormat="false" ht="15" hidden="false" customHeight="false" outlineLevel="0" collapsed="false">
      <c r="A656" s="30" t="s">
        <v>827</v>
      </c>
      <c r="B656" s="44" t="n">
        <v>45523</v>
      </c>
      <c r="C656" s="19" t="n">
        <f aca="false">YEAR(B656)</f>
        <v>2024</v>
      </c>
      <c r="D656" s="19" t="n">
        <f aca="false">MONTH(B656)</f>
        <v>8</v>
      </c>
      <c r="E656" s="30" t="str">
        <f aca="false">INDEX(Lists!$K$2:$K$13,MATCH(D656,Lists!$J$2:$J$13,0))</f>
        <v>أغسطس</v>
      </c>
      <c r="F656" s="19" t="str">
        <f aca="false">"Q"&amp;ROUNDUP(D656/3,0)</f>
        <v>Q3</v>
      </c>
      <c r="G656" s="30" t="str">
        <f aca="false">INDEX(Lists!$N$2:$N$8,MATCH(WEEKDAY(B656,2),Lists!$M$2:$M$8,0))</f>
        <v>الإثنين</v>
      </c>
      <c r="H656" s="30" t="s">
        <v>50</v>
      </c>
      <c r="I656" s="19" t="str">
        <f aca="false">INDEX(Lists!$B$2:$B$6,MATCH(H656,Lists!$A$2:$A$6,0))</f>
        <v>المنطقة الغربية</v>
      </c>
      <c r="J656" s="30" t="s">
        <v>109</v>
      </c>
      <c r="K656" s="30" t="s">
        <v>192</v>
      </c>
      <c r="L656" s="31" t="n">
        <v>29</v>
      </c>
      <c r="M656" s="19" t="n">
        <v>1</v>
      </c>
      <c r="N656" s="32" t="n">
        <v>0.2</v>
      </c>
      <c r="O656" s="30" t="s">
        <v>48</v>
      </c>
      <c r="P656" s="30" t="s">
        <v>47</v>
      </c>
      <c r="Q656" s="30" t="s">
        <v>99</v>
      </c>
      <c r="R656" s="25" t="n">
        <f aca="false">L656*M656*(1-N656)</f>
        <v>23.2</v>
      </c>
    </row>
    <row r="657" customFormat="false" ht="15" hidden="false" customHeight="false" outlineLevel="0" collapsed="false">
      <c r="A657" s="30" t="s">
        <v>828</v>
      </c>
      <c r="B657" s="44" t="n">
        <v>45523</v>
      </c>
      <c r="C657" s="19" t="n">
        <f aca="false">YEAR(B657)</f>
        <v>2024</v>
      </c>
      <c r="D657" s="19" t="n">
        <f aca="false">MONTH(B657)</f>
        <v>8</v>
      </c>
      <c r="E657" s="30" t="str">
        <f aca="false">INDEX(Lists!$K$2:$K$13,MATCH(D657,Lists!$J$2:$J$13,0))</f>
        <v>أغسطس</v>
      </c>
      <c r="F657" s="19" t="str">
        <f aca="false">"Q"&amp;ROUNDUP(D657/3,0)</f>
        <v>Q3</v>
      </c>
      <c r="G657" s="30" t="str">
        <f aca="false">INDEX(Lists!$N$2:$N$8,MATCH(WEEKDAY(B657,2),Lists!$M$2:$M$8,0))</f>
        <v>الإثنين</v>
      </c>
      <c r="H657" s="30" t="s">
        <v>46</v>
      </c>
      <c r="I657" s="19" t="str">
        <f aca="false">INDEX(Lists!$B$2:$B$6,MATCH(H657,Lists!$A$2:$A$6,0))</f>
        <v>المنطقة الوسطى</v>
      </c>
      <c r="J657" s="30" t="s">
        <v>107</v>
      </c>
      <c r="K657" s="30" t="s">
        <v>184</v>
      </c>
      <c r="L657" s="31" t="n">
        <v>7289</v>
      </c>
      <c r="M657" s="19" t="n">
        <v>1</v>
      </c>
      <c r="N657" s="32" t="n">
        <v>0</v>
      </c>
      <c r="O657" s="30" t="s">
        <v>55</v>
      </c>
      <c r="P657" s="30" t="s">
        <v>47</v>
      </c>
      <c r="Q657" s="30" t="s">
        <v>92</v>
      </c>
      <c r="R657" s="25" t="n">
        <f aca="false">L657*M657*(1-N657)</f>
        <v>7289</v>
      </c>
    </row>
    <row r="658" customFormat="false" ht="15" hidden="false" customHeight="false" outlineLevel="0" collapsed="false">
      <c r="A658" s="30" t="s">
        <v>829</v>
      </c>
      <c r="B658" s="44" t="n">
        <v>45523</v>
      </c>
      <c r="C658" s="19" t="n">
        <f aca="false">YEAR(B658)</f>
        <v>2024</v>
      </c>
      <c r="D658" s="19" t="n">
        <f aca="false">MONTH(B658)</f>
        <v>8</v>
      </c>
      <c r="E658" s="30" t="str">
        <f aca="false">INDEX(Lists!$K$2:$K$13,MATCH(D658,Lists!$J$2:$J$13,0))</f>
        <v>أغسطس</v>
      </c>
      <c r="F658" s="19" t="str">
        <f aca="false">"Q"&amp;ROUNDUP(D658/3,0)</f>
        <v>Q3</v>
      </c>
      <c r="G658" s="30" t="str">
        <f aca="false">INDEX(Lists!$N$2:$N$8,MATCH(WEEKDAY(B658,2),Lists!$M$2:$M$8,0))</f>
        <v>الإثنين</v>
      </c>
      <c r="H658" s="30" t="s">
        <v>50</v>
      </c>
      <c r="I658" s="19" t="str">
        <f aca="false">INDEX(Lists!$B$2:$B$6,MATCH(H658,Lists!$A$2:$A$6,0))</f>
        <v>المنطقة الغربية</v>
      </c>
      <c r="J658" s="30" t="s">
        <v>113</v>
      </c>
      <c r="K658" s="30" t="s">
        <v>97</v>
      </c>
      <c r="L658" s="31" t="n">
        <v>469</v>
      </c>
      <c r="M658" s="19" t="n">
        <v>1</v>
      </c>
      <c r="N658" s="32" t="n">
        <v>0.1</v>
      </c>
      <c r="O658" s="30" t="s">
        <v>58</v>
      </c>
      <c r="P658" s="30" t="s">
        <v>47</v>
      </c>
      <c r="Q658" s="30" t="s">
        <v>99</v>
      </c>
      <c r="R658" s="25" t="n">
        <f aca="false">L658*M658*(1-N658)</f>
        <v>422.1</v>
      </c>
    </row>
    <row r="659" customFormat="false" ht="15" hidden="false" customHeight="false" outlineLevel="0" collapsed="false">
      <c r="A659" s="30" t="s">
        <v>830</v>
      </c>
      <c r="B659" s="44" t="n">
        <v>45524</v>
      </c>
      <c r="C659" s="19" t="n">
        <f aca="false">YEAR(B659)</f>
        <v>2024</v>
      </c>
      <c r="D659" s="19" t="n">
        <f aca="false">MONTH(B659)</f>
        <v>8</v>
      </c>
      <c r="E659" s="30" t="str">
        <f aca="false">INDEX(Lists!$K$2:$K$13,MATCH(D659,Lists!$J$2:$J$13,0))</f>
        <v>أغسطس</v>
      </c>
      <c r="F659" s="19" t="str">
        <f aca="false">"Q"&amp;ROUNDUP(D659/3,0)</f>
        <v>Q3</v>
      </c>
      <c r="G659" s="30" t="str">
        <f aca="false">INDEX(Lists!$N$2:$N$8,MATCH(WEEKDAY(B659,2),Lists!$M$2:$M$8,0))</f>
        <v>الثلاثاء</v>
      </c>
      <c r="H659" s="30" t="s">
        <v>50</v>
      </c>
      <c r="I659" s="19" t="str">
        <f aca="false">INDEX(Lists!$B$2:$B$6,MATCH(H659,Lists!$A$2:$A$6,0))</f>
        <v>المنطقة الغربية</v>
      </c>
      <c r="J659" s="30" t="s">
        <v>107</v>
      </c>
      <c r="K659" s="30" t="s">
        <v>272</v>
      </c>
      <c r="L659" s="31" t="n">
        <v>3789</v>
      </c>
      <c r="M659" s="19" t="n">
        <v>6</v>
      </c>
      <c r="N659" s="32" t="n">
        <v>0.2</v>
      </c>
      <c r="O659" s="30" t="s">
        <v>48</v>
      </c>
      <c r="P659" s="30" t="s">
        <v>51</v>
      </c>
      <c r="Q659" s="30" t="s">
        <v>89</v>
      </c>
      <c r="R659" s="25" t="n">
        <f aca="false">L659*M659*(1-N659)</f>
        <v>18187.2</v>
      </c>
    </row>
    <row r="660" customFormat="false" ht="15" hidden="false" customHeight="false" outlineLevel="0" collapsed="false">
      <c r="A660" s="30" t="s">
        <v>831</v>
      </c>
      <c r="B660" s="44" t="n">
        <v>45524</v>
      </c>
      <c r="C660" s="19" t="n">
        <f aca="false">YEAR(B660)</f>
        <v>2024</v>
      </c>
      <c r="D660" s="19" t="n">
        <f aca="false">MONTH(B660)</f>
        <v>8</v>
      </c>
      <c r="E660" s="30" t="str">
        <f aca="false">INDEX(Lists!$K$2:$K$13,MATCH(D660,Lists!$J$2:$J$13,0))</f>
        <v>أغسطس</v>
      </c>
      <c r="F660" s="19" t="str">
        <f aca="false">"Q"&amp;ROUNDUP(D660/3,0)</f>
        <v>Q3</v>
      </c>
      <c r="G660" s="30" t="str">
        <f aca="false">INDEX(Lists!$N$2:$N$8,MATCH(WEEKDAY(B660,2),Lists!$M$2:$M$8,0))</f>
        <v>الثلاثاء</v>
      </c>
      <c r="H660" s="30" t="s">
        <v>60</v>
      </c>
      <c r="I660" s="19" t="str">
        <f aca="false">INDEX(Lists!$B$2:$B$6,MATCH(H660,Lists!$A$2:$A$6,0))</f>
        <v>المنطقة الغربية</v>
      </c>
      <c r="J660" s="30" t="s">
        <v>105</v>
      </c>
      <c r="K660" s="30" t="s">
        <v>179</v>
      </c>
      <c r="L660" s="31" t="n">
        <v>1519</v>
      </c>
      <c r="M660" s="19" t="n">
        <v>1</v>
      </c>
      <c r="N660" s="32" t="n">
        <v>0</v>
      </c>
      <c r="O660" s="30" t="s">
        <v>48</v>
      </c>
      <c r="P660" s="30" t="s">
        <v>47</v>
      </c>
      <c r="Q660" s="30" t="s">
        <v>92</v>
      </c>
      <c r="R660" s="25" t="n">
        <f aca="false">L660*M660*(1-N660)</f>
        <v>1519</v>
      </c>
    </row>
    <row r="661" customFormat="false" ht="15" hidden="false" customHeight="false" outlineLevel="0" collapsed="false">
      <c r="A661" s="30" t="s">
        <v>832</v>
      </c>
      <c r="B661" s="44" t="n">
        <v>45524</v>
      </c>
      <c r="C661" s="19" t="n">
        <f aca="false">YEAR(B661)</f>
        <v>2024</v>
      </c>
      <c r="D661" s="19" t="n">
        <f aca="false">MONTH(B661)</f>
        <v>8</v>
      </c>
      <c r="E661" s="30" t="str">
        <f aca="false">INDEX(Lists!$K$2:$K$13,MATCH(D661,Lists!$J$2:$J$13,0))</f>
        <v>أغسطس</v>
      </c>
      <c r="F661" s="19" t="str">
        <f aca="false">"Q"&amp;ROUNDUP(D661/3,0)</f>
        <v>Q3</v>
      </c>
      <c r="G661" s="30" t="str">
        <f aca="false">INDEX(Lists!$N$2:$N$8,MATCH(WEEKDAY(B661,2),Lists!$M$2:$M$8,0))</f>
        <v>الثلاثاء</v>
      </c>
      <c r="H661" s="30" t="s">
        <v>60</v>
      </c>
      <c r="I661" s="19" t="str">
        <f aca="false">INDEX(Lists!$B$2:$B$6,MATCH(H661,Lists!$A$2:$A$6,0))</f>
        <v>المنطقة الغربية</v>
      </c>
      <c r="J661" s="30" t="s">
        <v>107</v>
      </c>
      <c r="K661" s="30" t="s">
        <v>115</v>
      </c>
      <c r="L661" s="31" t="n">
        <v>7049</v>
      </c>
      <c r="M661" s="19" t="n">
        <v>1</v>
      </c>
      <c r="N661" s="32" t="n">
        <v>0</v>
      </c>
      <c r="O661" s="30" t="s">
        <v>48</v>
      </c>
      <c r="P661" s="30" t="s">
        <v>47</v>
      </c>
      <c r="Q661" s="30" t="s">
        <v>84</v>
      </c>
      <c r="R661" s="25" t="n">
        <f aca="false">L661*M661*(1-N661)</f>
        <v>7049</v>
      </c>
    </row>
    <row r="662" customFormat="false" ht="15" hidden="false" customHeight="false" outlineLevel="0" collapsed="false">
      <c r="A662" s="30" t="s">
        <v>833</v>
      </c>
      <c r="B662" s="44" t="n">
        <v>45524</v>
      </c>
      <c r="C662" s="19" t="n">
        <f aca="false">YEAR(B662)</f>
        <v>2024</v>
      </c>
      <c r="D662" s="19" t="n">
        <f aca="false">MONTH(B662)</f>
        <v>8</v>
      </c>
      <c r="E662" s="30" t="str">
        <f aca="false">INDEX(Lists!$K$2:$K$13,MATCH(D662,Lists!$J$2:$J$13,0))</f>
        <v>أغسطس</v>
      </c>
      <c r="F662" s="19" t="str">
        <f aca="false">"Q"&amp;ROUNDUP(D662/3,0)</f>
        <v>Q3</v>
      </c>
      <c r="G662" s="30" t="str">
        <f aca="false">INDEX(Lists!$N$2:$N$8,MATCH(WEEKDAY(B662,2),Lists!$M$2:$M$8,0))</f>
        <v>الثلاثاء</v>
      </c>
      <c r="H662" s="30" t="s">
        <v>54</v>
      </c>
      <c r="I662" s="19" t="str">
        <f aca="false">INDEX(Lists!$B$2:$B$6,MATCH(H662,Lists!$A$2:$A$6,0))</f>
        <v>المنطقة الشرقية</v>
      </c>
      <c r="J662" s="30" t="s">
        <v>107</v>
      </c>
      <c r="K662" s="30" t="s">
        <v>272</v>
      </c>
      <c r="L662" s="31" t="n">
        <v>5799</v>
      </c>
      <c r="M662" s="19" t="n">
        <v>1</v>
      </c>
      <c r="N662" s="32" t="n">
        <v>0</v>
      </c>
      <c r="O662" s="30" t="s">
        <v>52</v>
      </c>
      <c r="P662" s="30" t="s">
        <v>47</v>
      </c>
      <c r="Q662" s="30" t="s">
        <v>89</v>
      </c>
      <c r="R662" s="25" t="n">
        <f aca="false">L662*M662*(1-N662)</f>
        <v>5799</v>
      </c>
    </row>
    <row r="663" customFormat="false" ht="15" hidden="false" customHeight="false" outlineLevel="0" collapsed="false">
      <c r="A663" s="30" t="s">
        <v>834</v>
      </c>
      <c r="B663" s="44" t="n">
        <v>45525</v>
      </c>
      <c r="C663" s="19" t="n">
        <f aca="false">YEAR(B663)</f>
        <v>2024</v>
      </c>
      <c r="D663" s="19" t="n">
        <f aca="false">MONTH(B663)</f>
        <v>8</v>
      </c>
      <c r="E663" s="30" t="str">
        <f aca="false">INDEX(Lists!$K$2:$K$13,MATCH(D663,Lists!$J$2:$J$13,0))</f>
        <v>أغسطس</v>
      </c>
      <c r="F663" s="19" t="str">
        <f aca="false">"Q"&amp;ROUNDUP(D663/3,0)</f>
        <v>Q3</v>
      </c>
      <c r="G663" s="30" t="str">
        <f aca="false">INDEX(Lists!$N$2:$N$8,MATCH(WEEKDAY(B663,2),Lists!$M$2:$M$8,0))</f>
        <v>الأربعاء</v>
      </c>
      <c r="H663" s="30" t="s">
        <v>50</v>
      </c>
      <c r="I663" s="19" t="str">
        <f aca="false">INDEX(Lists!$B$2:$B$6,MATCH(H663,Lists!$A$2:$A$6,0))</f>
        <v>المنطقة الغربية</v>
      </c>
      <c r="J663" s="30" t="s">
        <v>105</v>
      </c>
      <c r="K663" s="30" t="s">
        <v>82</v>
      </c>
      <c r="L663" s="31" t="n">
        <v>819</v>
      </c>
      <c r="M663" s="19" t="n">
        <v>1</v>
      </c>
      <c r="N663" s="32" t="n">
        <v>0.1</v>
      </c>
      <c r="O663" s="30" t="s">
        <v>48</v>
      </c>
      <c r="P663" s="30" t="s">
        <v>47</v>
      </c>
      <c r="Q663" s="30" t="s">
        <v>96</v>
      </c>
      <c r="R663" s="25" t="n">
        <f aca="false">L663*M663*(1-N663)</f>
        <v>737.1</v>
      </c>
    </row>
    <row r="664" customFormat="false" ht="15" hidden="false" customHeight="false" outlineLevel="0" collapsed="false">
      <c r="A664" s="30" t="s">
        <v>835</v>
      </c>
      <c r="B664" s="44" t="n">
        <v>45525</v>
      </c>
      <c r="C664" s="19" t="n">
        <f aca="false">YEAR(B664)</f>
        <v>2024</v>
      </c>
      <c r="D664" s="19" t="n">
        <f aca="false">MONTH(B664)</f>
        <v>8</v>
      </c>
      <c r="E664" s="30" t="str">
        <f aca="false">INDEX(Lists!$K$2:$K$13,MATCH(D664,Lists!$J$2:$J$13,0))</f>
        <v>أغسطس</v>
      </c>
      <c r="F664" s="19" t="str">
        <f aca="false">"Q"&amp;ROUNDUP(D664/3,0)</f>
        <v>Q3</v>
      </c>
      <c r="G664" s="30" t="str">
        <f aca="false">INDEX(Lists!$N$2:$N$8,MATCH(WEEKDAY(B664,2),Lists!$M$2:$M$8,0))</f>
        <v>الأربعاء</v>
      </c>
      <c r="H664" s="30" t="s">
        <v>46</v>
      </c>
      <c r="I664" s="19" t="str">
        <f aca="false">INDEX(Lists!$B$2:$B$6,MATCH(H664,Lists!$A$2:$A$6,0))</f>
        <v>المنطقة الوسطى</v>
      </c>
      <c r="J664" s="30" t="s">
        <v>109</v>
      </c>
      <c r="K664" s="30" t="s">
        <v>192</v>
      </c>
      <c r="L664" s="31" t="n">
        <v>79</v>
      </c>
      <c r="M664" s="19" t="n">
        <v>1</v>
      </c>
      <c r="N664" s="32" t="n">
        <v>0</v>
      </c>
      <c r="O664" s="30" t="s">
        <v>52</v>
      </c>
      <c r="P664" s="30" t="s">
        <v>47</v>
      </c>
      <c r="Q664" s="30" t="s">
        <v>86</v>
      </c>
      <c r="R664" s="25" t="n">
        <f aca="false">L664*M664*(1-N664)</f>
        <v>79</v>
      </c>
    </row>
    <row r="665" customFormat="false" ht="15" hidden="false" customHeight="false" outlineLevel="0" collapsed="false">
      <c r="A665" s="30" t="s">
        <v>836</v>
      </c>
      <c r="B665" s="44" t="n">
        <v>45525</v>
      </c>
      <c r="C665" s="19" t="n">
        <f aca="false">YEAR(B665)</f>
        <v>2024</v>
      </c>
      <c r="D665" s="19" t="n">
        <f aca="false">MONTH(B665)</f>
        <v>8</v>
      </c>
      <c r="E665" s="30" t="str">
        <f aca="false">INDEX(Lists!$K$2:$K$13,MATCH(D665,Lists!$J$2:$J$13,0))</f>
        <v>أغسطس</v>
      </c>
      <c r="F665" s="19" t="str">
        <f aca="false">"Q"&amp;ROUNDUP(D665/3,0)</f>
        <v>Q3</v>
      </c>
      <c r="G665" s="30" t="str">
        <f aca="false">INDEX(Lists!$N$2:$N$8,MATCH(WEEKDAY(B665,2),Lists!$M$2:$M$8,0))</f>
        <v>الأربعاء</v>
      </c>
      <c r="H665" s="30" t="s">
        <v>57</v>
      </c>
      <c r="I665" s="19" t="str">
        <f aca="false">INDEX(Lists!$B$2:$B$6,MATCH(H665,Lists!$A$2:$A$6,0))</f>
        <v>المنطقة الغربية</v>
      </c>
      <c r="J665" s="30" t="s">
        <v>105</v>
      </c>
      <c r="K665" s="30" t="s">
        <v>179</v>
      </c>
      <c r="L665" s="31" t="n">
        <v>2269</v>
      </c>
      <c r="M665" s="19" t="n">
        <v>1</v>
      </c>
      <c r="N665" s="32" t="n">
        <v>0.15</v>
      </c>
      <c r="O665" s="30" t="s">
        <v>48</v>
      </c>
      <c r="P665" s="30" t="s">
        <v>47</v>
      </c>
      <c r="Q665" s="30" t="s">
        <v>86</v>
      </c>
      <c r="R665" s="25" t="n">
        <f aca="false">L665*M665*(1-N665)</f>
        <v>1928.65</v>
      </c>
    </row>
    <row r="666" customFormat="false" ht="15" hidden="false" customHeight="false" outlineLevel="0" collapsed="false">
      <c r="A666" s="30" t="s">
        <v>837</v>
      </c>
      <c r="B666" s="44" t="n">
        <v>45526</v>
      </c>
      <c r="C666" s="19" t="n">
        <f aca="false">YEAR(B666)</f>
        <v>2024</v>
      </c>
      <c r="D666" s="19" t="n">
        <f aca="false">MONTH(B666)</f>
        <v>8</v>
      </c>
      <c r="E666" s="30" t="str">
        <f aca="false">INDEX(Lists!$K$2:$K$13,MATCH(D666,Lists!$J$2:$J$13,0))</f>
        <v>أغسطس</v>
      </c>
      <c r="F666" s="19" t="str">
        <f aca="false">"Q"&amp;ROUNDUP(D666/3,0)</f>
        <v>Q3</v>
      </c>
      <c r="G666" s="30" t="str">
        <f aca="false">INDEX(Lists!$N$2:$N$8,MATCH(WEEKDAY(B666,2),Lists!$M$2:$M$8,0))</f>
        <v>الخميس</v>
      </c>
      <c r="H666" s="30" t="s">
        <v>46</v>
      </c>
      <c r="I666" s="19" t="str">
        <f aca="false">INDEX(Lists!$B$2:$B$6,MATCH(H666,Lists!$A$2:$A$6,0))</f>
        <v>المنطقة الوسطى</v>
      </c>
      <c r="J666" s="30" t="s">
        <v>113</v>
      </c>
      <c r="K666" s="30" t="s">
        <v>100</v>
      </c>
      <c r="L666" s="31" t="n">
        <v>789</v>
      </c>
      <c r="M666" s="19" t="n">
        <v>1</v>
      </c>
      <c r="N666" s="32" t="n">
        <v>0</v>
      </c>
      <c r="O666" s="30" t="s">
        <v>48</v>
      </c>
      <c r="P666" s="30" t="s">
        <v>47</v>
      </c>
      <c r="Q666" s="30" t="s">
        <v>92</v>
      </c>
      <c r="R666" s="25" t="n">
        <f aca="false">L666*M666*(1-N666)</f>
        <v>789</v>
      </c>
    </row>
    <row r="667" customFormat="false" ht="15" hidden="false" customHeight="false" outlineLevel="0" collapsed="false">
      <c r="A667" s="30" t="s">
        <v>838</v>
      </c>
      <c r="B667" s="44" t="n">
        <v>45526</v>
      </c>
      <c r="C667" s="19" t="n">
        <f aca="false">YEAR(B667)</f>
        <v>2024</v>
      </c>
      <c r="D667" s="19" t="n">
        <f aca="false">MONTH(B667)</f>
        <v>8</v>
      </c>
      <c r="E667" s="30" t="str">
        <f aca="false">INDEX(Lists!$K$2:$K$13,MATCH(D667,Lists!$J$2:$J$13,0))</f>
        <v>أغسطس</v>
      </c>
      <c r="F667" s="19" t="str">
        <f aca="false">"Q"&amp;ROUNDUP(D667/3,0)</f>
        <v>Q3</v>
      </c>
      <c r="G667" s="30" t="str">
        <f aca="false">INDEX(Lists!$N$2:$N$8,MATCH(WEEKDAY(B667,2),Lists!$M$2:$M$8,0))</f>
        <v>الخميس</v>
      </c>
      <c r="H667" s="30" t="s">
        <v>46</v>
      </c>
      <c r="I667" s="19" t="str">
        <f aca="false">INDEX(Lists!$B$2:$B$6,MATCH(H667,Lists!$A$2:$A$6,0))</f>
        <v>المنطقة الوسطى</v>
      </c>
      <c r="J667" s="30" t="s">
        <v>111</v>
      </c>
      <c r="K667" s="30" t="s">
        <v>108</v>
      </c>
      <c r="L667" s="31" t="n">
        <v>239</v>
      </c>
      <c r="M667" s="19" t="n">
        <v>1</v>
      </c>
      <c r="N667" s="32" t="n">
        <v>0</v>
      </c>
      <c r="O667" s="30" t="s">
        <v>55</v>
      </c>
      <c r="P667" s="30" t="s">
        <v>47</v>
      </c>
      <c r="Q667" s="30" t="s">
        <v>94</v>
      </c>
      <c r="R667" s="25" t="n">
        <f aca="false">L667*M667*(1-N667)</f>
        <v>239</v>
      </c>
    </row>
    <row r="668" customFormat="false" ht="15" hidden="false" customHeight="false" outlineLevel="0" collapsed="false">
      <c r="A668" s="30" t="s">
        <v>839</v>
      </c>
      <c r="B668" s="44" t="n">
        <v>45526</v>
      </c>
      <c r="C668" s="19" t="n">
        <f aca="false">YEAR(B668)</f>
        <v>2024</v>
      </c>
      <c r="D668" s="19" t="n">
        <f aca="false">MONTH(B668)</f>
        <v>8</v>
      </c>
      <c r="E668" s="30" t="str">
        <f aca="false">INDEX(Lists!$K$2:$K$13,MATCH(D668,Lists!$J$2:$J$13,0))</f>
        <v>أغسطس</v>
      </c>
      <c r="F668" s="19" t="str">
        <f aca="false">"Q"&amp;ROUNDUP(D668/3,0)</f>
        <v>Q3</v>
      </c>
      <c r="G668" s="30" t="str">
        <f aca="false">INDEX(Lists!$N$2:$N$8,MATCH(WEEKDAY(B668,2),Lists!$M$2:$M$8,0))</f>
        <v>الخميس</v>
      </c>
      <c r="H668" s="30" t="s">
        <v>54</v>
      </c>
      <c r="I668" s="19" t="str">
        <f aca="false">INDEX(Lists!$B$2:$B$6,MATCH(H668,Lists!$A$2:$A$6,0))</f>
        <v>المنطقة الشرقية</v>
      </c>
      <c r="J668" s="30" t="s">
        <v>109</v>
      </c>
      <c r="K668" s="30" t="s">
        <v>192</v>
      </c>
      <c r="L668" s="31" t="n">
        <v>179</v>
      </c>
      <c r="M668" s="19" t="n">
        <v>2</v>
      </c>
      <c r="N668" s="32" t="n">
        <v>0.05</v>
      </c>
      <c r="O668" s="30" t="s">
        <v>52</v>
      </c>
      <c r="P668" s="30" t="s">
        <v>47</v>
      </c>
      <c r="Q668" s="30" t="s">
        <v>86</v>
      </c>
      <c r="R668" s="25" t="n">
        <f aca="false">L668*M668*(1-N668)</f>
        <v>340.1</v>
      </c>
    </row>
    <row r="669" customFormat="false" ht="15" hidden="false" customHeight="false" outlineLevel="0" collapsed="false">
      <c r="A669" s="30" t="s">
        <v>840</v>
      </c>
      <c r="B669" s="44" t="n">
        <v>45526</v>
      </c>
      <c r="C669" s="19" t="n">
        <f aca="false">YEAR(B669)</f>
        <v>2024</v>
      </c>
      <c r="D669" s="19" t="n">
        <f aca="false">MONTH(B669)</f>
        <v>8</v>
      </c>
      <c r="E669" s="30" t="str">
        <f aca="false">INDEX(Lists!$K$2:$K$13,MATCH(D669,Lists!$J$2:$J$13,0))</f>
        <v>أغسطس</v>
      </c>
      <c r="F669" s="19" t="str">
        <f aca="false">"Q"&amp;ROUNDUP(D669/3,0)</f>
        <v>Q3</v>
      </c>
      <c r="G669" s="30" t="str">
        <f aca="false">INDEX(Lists!$N$2:$N$8,MATCH(WEEKDAY(B669,2),Lists!$M$2:$M$8,0))</f>
        <v>الخميس</v>
      </c>
      <c r="H669" s="30" t="s">
        <v>57</v>
      </c>
      <c r="I669" s="19" t="str">
        <f aca="false">INDEX(Lists!$B$2:$B$6,MATCH(H669,Lists!$A$2:$A$6,0))</f>
        <v>المنطقة الغربية</v>
      </c>
      <c r="J669" s="30" t="s">
        <v>113</v>
      </c>
      <c r="K669" s="30" t="s">
        <v>95</v>
      </c>
      <c r="L669" s="31" t="n">
        <v>299</v>
      </c>
      <c r="M669" s="19" t="n">
        <v>3</v>
      </c>
      <c r="N669" s="32" t="n">
        <v>0</v>
      </c>
      <c r="O669" s="30" t="s">
        <v>48</v>
      </c>
      <c r="P669" s="30" t="s">
        <v>51</v>
      </c>
      <c r="Q669" s="30" t="s">
        <v>78</v>
      </c>
      <c r="R669" s="25" t="n">
        <f aca="false">L669*M669*(1-N669)</f>
        <v>897</v>
      </c>
    </row>
    <row r="670" customFormat="false" ht="15" hidden="false" customHeight="false" outlineLevel="0" collapsed="false">
      <c r="A670" s="30" t="s">
        <v>841</v>
      </c>
      <c r="B670" s="44" t="n">
        <v>45527</v>
      </c>
      <c r="C670" s="19" t="n">
        <f aca="false">YEAR(B670)</f>
        <v>2024</v>
      </c>
      <c r="D670" s="19" t="n">
        <f aca="false">MONTH(B670)</f>
        <v>8</v>
      </c>
      <c r="E670" s="30" t="str">
        <f aca="false">INDEX(Lists!$K$2:$K$13,MATCH(D670,Lists!$J$2:$J$13,0))</f>
        <v>أغسطس</v>
      </c>
      <c r="F670" s="19" t="str">
        <f aca="false">"Q"&amp;ROUNDUP(D670/3,0)</f>
        <v>Q3</v>
      </c>
      <c r="G670" s="30" t="str">
        <f aca="false">INDEX(Lists!$N$2:$N$8,MATCH(WEEKDAY(B670,2),Lists!$M$2:$M$8,0))</f>
        <v>الجمعة</v>
      </c>
      <c r="H670" s="30" t="s">
        <v>46</v>
      </c>
      <c r="I670" s="19" t="str">
        <f aca="false">INDEX(Lists!$B$2:$B$6,MATCH(H670,Lists!$A$2:$A$6,0))</f>
        <v>المنطقة الوسطى</v>
      </c>
      <c r="J670" s="30" t="s">
        <v>105</v>
      </c>
      <c r="K670" s="30" t="s">
        <v>85</v>
      </c>
      <c r="L670" s="31" t="n">
        <v>3209</v>
      </c>
      <c r="M670" s="19" t="n">
        <v>1</v>
      </c>
      <c r="N670" s="32" t="n">
        <v>0.05</v>
      </c>
      <c r="O670" s="30" t="s">
        <v>48</v>
      </c>
      <c r="P670" s="30" t="s">
        <v>47</v>
      </c>
      <c r="Q670" s="30" t="s">
        <v>89</v>
      </c>
      <c r="R670" s="25" t="n">
        <f aca="false">L670*M670*(1-N670)</f>
        <v>3048.55</v>
      </c>
    </row>
    <row r="671" customFormat="false" ht="15" hidden="false" customHeight="false" outlineLevel="0" collapsed="false">
      <c r="A671" s="30" t="s">
        <v>842</v>
      </c>
      <c r="B671" s="44" t="n">
        <v>45527</v>
      </c>
      <c r="C671" s="19" t="n">
        <f aca="false">YEAR(B671)</f>
        <v>2024</v>
      </c>
      <c r="D671" s="19" t="n">
        <f aca="false">MONTH(B671)</f>
        <v>8</v>
      </c>
      <c r="E671" s="30" t="str">
        <f aca="false">INDEX(Lists!$K$2:$K$13,MATCH(D671,Lists!$J$2:$J$13,0))</f>
        <v>أغسطس</v>
      </c>
      <c r="F671" s="19" t="str">
        <f aca="false">"Q"&amp;ROUNDUP(D671/3,0)</f>
        <v>Q3</v>
      </c>
      <c r="G671" s="30" t="str">
        <f aca="false">INDEX(Lists!$N$2:$N$8,MATCH(WEEKDAY(B671,2),Lists!$M$2:$M$8,0))</f>
        <v>الجمعة</v>
      </c>
      <c r="H671" s="30" t="s">
        <v>46</v>
      </c>
      <c r="I671" s="19" t="str">
        <f aca="false">INDEX(Lists!$B$2:$B$6,MATCH(H671,Lists!$A$2:$A$6,0))</f>
        <v>المنطقة الوسطى</v>
      </c>
      <c r="J671" s="30" t="s">
        <v>111</v>
      </c>
      <c r="K671" s="30" t="s">
        <v>122</v>
      </c>
      <c r="L671" s="31" t="n">
        <v>579</v>
      </c>
      <c r="M671" s="19" t="n">
        <v>1</v>
      </c>
      <c r="N671" s="32" t="n">
        <v>0.05</v>
      </c>
      <c r="O671" s="30" t="s">
        <v>48</v>
      </c>
      <c r="P671" s="30" t="s">
        <v>51</v>
      </c>
      <c r="Q671" s="30" t="s">
        <v>84</v>
      </c>
      <c r="R671" s="25" t="n">
        <f aca="false">L671*M671*(1-N671)</f>
        <v>550.05</v>
      </c>
    </row>
    <row r="672" customFormat="false" ht="15" hidden="false" customHeight="false" outlineLevel="0" collapsed="false">
      <c r="A672" s="30" t="s">
        <v>843</v>
      </c>
      <c r="B672" s="44" t="n">
        <v>45527</v>
      </c>
      <c r="C672" s="19" t="n">
        <f aca="false">YEAR(B672)</f>
        <v>2024</v>
      </c>
      <c r="D672" s="19" t="n">
        <f aca="false">MONTH(B672)</f>
        <v>8</v>
      </c>
      <c r="E672" s="30" t="str">
        <f aca="false">INDEX(Lists!$K$2:$K$13,MATCH(D672,Lists!$J$2:$J$13,0))</f>
        <v>أغسطس</v>
      </c>
      <c r="F672" s="19" t="str">
        <f aca="false">"Q"&amp;ROUNDUP(D672/3,0)</f>
        <v>Q3</v>
      </c>
      <c r="G672" s="30" t="str">
        <f aca="false">INDEX(Lists!$N$2:$N$8,MATCH(WEEKDAY(B672,2),Lists!$M$2:$M$8,0))</f>
        <v>الجمعة</v>
      </c>
      <c r="H672" s="30" t="s">
        <v>46</v>
      </c>
      <c r="I672" s="19" t="str">
        <f aca="false">INDEX(Lists!$B$2:$B$6,MATCH(H672,Lists!$A$2:$A$6,0))</f>
        <v>المنطقة الوسطى</v>
      </c>
      <c r="J672" s="30" t="s">
        <v>105</v>
      </c>
      <c r="K672" s="30" t="s">
        <v>90</v>
      </c>
      <c r="L672" s="31" t="n">
        <v>2249</v>
      </c>
      <c r="M672" s="19" t="n">
        <v>1</v>
      </c>
      <c r="N672" s="32" t="n">
        <v>0.2</v>
      </c>
      <c r="O672" s="30" t="s">
        <v>52</v>
      </c>
      <c r="P672" s="30" t="s">
        <v>47</v>
      </c>
      <c r="Q672" s="30" t="s">
        <v>78</v>
      </c>
      <c r="R672" s="25" t="n">
        <f aca="false">L672*M672*(1-N672)</f>
        <v>1799.2</v>
      </c>
    </row>
    <row r="673" customFormat="false" ht="15" hidden="false" customHeight="false" outlineLevel="0" collapsed="false">
      <c r="A673" s="30" t="s">
        <v>844</v>
      </c>
      <c r="B673" s="44" t="n">
        <v>45528</v>
      </c>
      <c r="C673" s="19" t="n">
        <f aca="false">YEAR(B673)</f>
        <v>2024</v>
      </c>
      <c r="D673" s="19" t="n">
        <f aca="false">MONTH(B673)</f>
        <v>8</v>
      </c>
      <c r="E673" s="30" t="str">
        <f aca="false">INDEX(Lists!$K$2:$K$13,MATCH(D673,Lists!$J$2:$J$13,0))</f>
        <v>أغسطس</v>
      </c>
      <c r="F673" s="19" t="str">
        <f aca="false">"Q"&amp;ROUNDUP(D673/3,0)</f>
        <v>Q3</v>
      </c>
      <c r="G673" s="30" t="str">
        <f aca="false">INDEX(Lists!$N$2:$N$8,MATCH(WEEKDAY(B673,2),Lists!$M$2:$M$8,0))</f>
        <v>السبت</v>
      </c>
      <c r="H673" s="30" t="s">
        <v>50</v>
      </c>
      <c r="I673" s="19" t="str">
        <f aca="false">INDEX(Lists!$B$2:$B$6,MATCH(H673,Lists!$A$2:$A$6,0))</f>
        <v>المنطقة الغربية</v>
      </c>
      <c r="J673" s="30" t="s">
        <v>105</v>
      </c>
      <c r="K673" s="30" t="s">
        <v>179</v>
      </c>
      <c r="L673" s="31" t="n">
        <v>1359</v>
      </c>
      <c r="M673" s="19" t="n">
        <v>1</v>
      </c>
      <c r="N673" s="32" t="n">
        <v>0.15</v>
      </c>
      <c r="O673" s="30" t="s">
        <v>52</v>
      </c>
      <c r="P673" s="30" t="s">
        <v>47</v>
      </c>
      <c r="Q673" s="30" t="s">
        <v>78</v>
      </c>
      <c r="R673" s="25" t="n">
        <f aca="false">L673*M673*(1-N673)</f>
        <v>1155.15</v>
      </c>
    </row>
    <row r="674" customFormat="false" ht="15" hidden="false" customHeight="false" outlineLevel="0" collapsed="false">
      <c r="A674" s="30" t="s">
        <v>845</v>
      </c>
      <c r="B674" s="44" t="n">
        <v>45528</v>
      </c>
      <c r="C674" s="19" t="n">
        <f aca="false">YEAR(B674)</f>
        <v>2024</v>
      </c>
      <c r="D674" s="19" t="n">
        <f aca="false">MONTH(B674)</f>
        <v>8</v>
      </c>
      <c r="E674" s="30" t="str">
        <f aca="false">INDEX(Lists!$K$2:$K$13,MATCH(D674,Lists!$J$2:$J$13,0))</f>
        <v>أغسطس</v>
      </c>
      <c r="F674" s="19" t="str">
        <f aca="false">"Q"&amp;ROUNDUP(D674/3,0)</f>
        <v>Q3</v>
      </c>
      <c r="G674" s="30" t="str">
        <f aca="false">INDEX(Lists!$N$2:$N$8,MATCH(WEEKDAY(B674,2),Lists!$M$2:$M$8,0))</f>
        <v>السبت</v>
      </c>
      <c r="H674" s="30" t="s">
        <v>57</v>
      </c>
      <c r="I674" s="19" t="str">
        <f aca="false">INDEX(Lists!$B$2:$B$6,MATCH(H674,Lists!$A$2:$A$6,0))</f>
        <v>المنطقة الغربية</v>
      </c>
      <c r="J674" s="30" t="s">
        <v>109</v>
      </c>
      <c r="K674" s="30" t="s">
        <v>110</v>
      </c>
      <c r="L674" s="31" t="n">
        <v>69</v>
      </c>
      <c r="M674" s="19" t="n">
        <v>1</v>
      </c>
      <c r="N674" s="32" t="n">
        <v>0.05</v>
      </c>
      <c r="O674" s="30" t="s">
        <v>48</v>
      </c>
      <c r="P674" s="30" t="s">
        <v>47</v>
      </c>
      <c r="Q674" s="30" t="s">
        <v>81</v>
      </c>
      <c r="R674" s="25" t="n">
        <f aca="false">L674*M674*(1-N674)</f>
        <v>65.55</v>
      </c>
    </row>
    <row r="675" customFormat="false" ht="15" hidden="false" customHeight="false" outlineLevel="0" collapsed="false">
      <c r="A675" s="30" t="s">
        <v>846</v>
      </c>
      <c r="B675" s="44" t="n">
        <v>45529</v>
      </c>
      <c r="C675" s="19" t="n">
        <f aca="false">YEAR(B675)</f>
        <v>2024</v>
      </c>
      <c r="D675" s="19" t="n">
        <f aca="false">MONTH(B675)</f>
        <v>8</v>
      </c>
      <c r="E675" s="30" t="str">
        <f aca="false">INDEX(Lists!$K$2:$K$13,MATCH(D675,Lists!$J$2:$J$13,0))</f>
        <v>أغسطس</v>
      </c>
      <c r="F675" s="19" t="str">
        <f aca="false">"Q"&amp;ROUNDUP(D675/3,0)</f>
        <v>Q3</v>
      </c>
      <c r="G675" s="30" t="str">
        <f aca="false">INDEX(Lists!$N$2:$N$8,MATCH(WEEKDAY(B675,2),Lists!$M$2:$M$8,0))</f>
        <v>الأحد</v>
      </c>
      <c r="H675" s="30" t="s">
        <v>46</v>
      </c>
      <c r="I675" s="19" t="str">
        <f aca="false">INDEX(Lists!$B$2:$B$6,MATCH(H675,Lists!$A$2:$A$6,0))</f>
        <v>المنطقة الوسطى</v>
      </c>
      <c r="J675" s="30" t="s">
        <v>113</v>
      </c>
      <c r="K675" s="30" t="s">
        <v>121</v>
      </c>
      <c r="L675" s="31" t="n">
        <v>489</v>
      </c>
      <c r="M675" s="19" t="n">
        <v>1</v>
      </c>
      <c r="N675" s="32" t="n">
        <v>0</v>
      </c>
      <c r="O675" s="30" t="s">
        <v>55</v>
      </c>
      <c r="P675" s="30" t="s">
        <v>47</v>
      </c>
      <c r="Q675" s="30" t="s">
        <v>92</v>
      </c>
      <c r="R675" s="25" t="n">
        <f aca="false">L675*M675*(1-N675)</f>
        <v>489</v>
      </c>
    </row>
    <row r="676" customFormat="false" ht="15" hidden="false" customHeight="false" outlineLevel="0" collapsed="false">
      <c r="A676" s="30" t="s">
        <v>847</v>
      </c>
      <c r="B676" s="44" t="n">
        <v>45529</v>
      </c>
      <c r="C676" s="19" t="n">
        <f aca="false">YEAR(B676)</f>
        <v>2024</v>
      </c>
      <c r="D676" s="19" t="n">
        <f aca="false">MONTH(B676)</f>
        <v>8</v>
      </c>
      <c r="E676" s="30" t="str">
        <f aca="false">INDEX(Lists!$K$2:$K$13,MATCH(D676,Lists!$J$2:$J$13,0))</f>
        <v>أغسطس</v>
      </c>
      <c r="F676" s="19" t="str">
        <f aca="false">"Q"&amp;ROUNDUP(D676/3,0)</f>
        <v>Q3</v>
      </c>
      <c r="G676" s="30" t="str">
        <f aca="false">INDEX(Lists!$N$2:$N$8,MATCH(WEEKDAY(B676,2),Lists!$M$2:$M$8,0))</f>
        <v>الأحد</v>
      </c>
      <c r="H676" s="30" t="s">
        <v>60</v>
      </c>
      <c r="I676" s="19" t="str">
        <f aca="false">INDEX(Lists!$B$2:$B$6,MATCH(H676,Lists!$A$2:$A$6,0))</f>
        <v>المنطقة الغربية</v>
      </c>
      <c r="J676" s="30" t="s">
        <v>109</v>
      </c>
      <c r="K676" s="30" t="s">
        <v>192</v>
      </c>
      <c r="L676" s="31" t="n">
        <v>49</v>
      </c>
      <c r="M676" s="19" t="n">
        <v>1</v>
      </c>
      <c r="N676" s="32" t="n">
        <v>0</v>
      </c>
      <c r="O676" s="30" t="s">
        <v>55</v>
      </c>
      <c r="P676" s="30" t="s">
        <v>47</v>
      </c>
      <c r="Q676" s="30" t="s">
        <v>92</v>
      </c>
      <c r="R676" s="25" t="n">
        <f aca="false">L676*M676*(1-N676)</f>
        <v>49</v>
      </c>
    </row>
    <row r="677" customFormat="false" ht="15" hidden="false" customHeight="false" outlineLevel="0" collapsed="false">
      <c r="A677" s="30" t="s">
        <v>848</v>
      </c>
      <c r="B677" s="44" t="n">
        <v>45529</v>
      </c>
      <c r="C677" s="19" t="n">
        <f aca="false">YEAR(B677)</f>
        <v>2024</v>
      </c>
      <c r="D677" s="19" t="n">
        <f aca="false">MONTH(B677)</f>
        <v>8</v>
      </c>
      <c r="E677" s="30" t="str">
        <f aca="false">INDEX(Lists!$K$2:$K$13,MATCH(D677,Lists!$J$2:$J$13,0))</f>
        <v>أغسطس</v>
      </c>
      <c r="F677" s="19" t="str">
        <f aca="false">"Q"&amp;ROUNDUP(D677/3,0)</f>
        <v>Q3</v>
      </c>
      <c r="G677" s="30" t="str">
        <f aca="false">INDEX(Lists!$N$2:$N$8,MATCH(WEEKDAY(B677,2),Lists!$M$2:$M$8,0))</f>
        <v>الأحد</v>
      </c>
      <c r="H677" s="30" t="s">
        <v>57</v>
      </c>
      <c r="I677" s="19" t="str">
        <f aca="false">INDEX(Lists!$B$2:$B$6,MATCH(H677,Lists!$A$2:$A$6,0))</f>
        <v>المنطقة الغربية</v>
      </c>
      <c r="J677" s="30" t="s">
        <v>109</v>
      </c>
      <c r="K677" s="30" t="s">
        <v>192</v>
      </c>
      <c r="L677" s="31" t="n">
        <v>169</v>
      </c>
      <c r="M677" s="19" t="n">
        <v>8</v>
      </c>
      <c r="N677" s="32" t="n">
        <v>0</v>
      </c>
      <c r="O677" s="30" t="s">
        <v>52</v>
      </c>
      <c r="P677" s="30" t="s">
        <v>51</v>
      </c>
      <c r="Q677" s="30" t="s">
        <v>94</v>
      </c>
      <c r="R677" s="25" t="n">
        <f aca="false">L677*M677*(1-N677)</f>
        <v>1352</v>
      </c>
    </row>
    <row r="678" customFormat="false" ht="15" hidden="false" customHeight="false" outlineLevel="0" collapsed="false">
      <c r="A678" s="30" t="s">
        <v>849</v>
      </c>
      <c r="B678" s="44" t="n">
        <v>45529</v>
      </c>
      <c r="C678" s="19" t="n">
        <f aca="false">YEAR(B678)</f>
        <v>2024</v>
      </c>
      <c r="D678" s="19" t="n">
        <f aca="false">MONTH(B678)</f>
        <v>8</v>
      </c>
      <c r="E678" s="30" t="str">
        <f aca="false">INDEX(Lists!$K$2:$K$13,MATCH(D678,Lists!$J$2:$J$13,0))</f>
        <v>أغسطس</v>
      </c>
      <c r="F678" s="19" t="str">
        <f aca="false">"Q"&amp;ROUNDUP(D678/3,0)</f>
        <v>Q3</v>
      </c>
      <c r="G678" s="30" t="str">
        <f aca="false">INDEX(Lists!$N$2:$N$8,MATCH(WEEKDAY(B678,2),Lists!$M$2:$M$8,0))</f>
        <v>الأحد</v>
      </c>
      <c r="H678" s="30" t="s">
        <v>46</v>
      </c>
      <c r="I678" s="19" t="str">
        <f aca="false">INDEX(Lists!$B$2:$B$6,MATCH(H678,Lists!$A$2:$A$6,0))</f>
        <v>المنطقة الوسطى</v>
      </c>
      <c r="J678" s="30" t="s">
        <v>109</v>
      </c>
      <c r="K678" s="30" t="s">
        <v>110</v>
      </c>
      <c r="L678" s="31" t="n">
        <v>169</v>
      </c>
      <c r="M678" s="19" t="n">
        <v>1</v>
      </c>
      <c r="N678" s="32" t="n">
        <v>0.1</v>
      </c>
      <c r="O678" s="30" t="s">
        <v>48</v>
      </c>
      <c r="P678" s="30" t="s">
        <v>47</v>
      </c>
      <c r="Q678" s="30" t="s">
        <v>84</v>
      </c>
      <c r="R678" s="25" t="n">
        <f aca="false">L678*M678*(1-N678)</f>
        <v>152.1</v>
      </c>
    </row>
    <row r="679" customFormat="false" ht="15" hidden="false" customHeight="false" outlineLevel="0" collapsed="false">
      <c r="A679" s="30" t="s">
        <v>850</v>
      </c>
      <c r="B679" s="44" t="n">
        <v>45529</v>
      </c>
      <c r="C679" s="19" t="n">
        <f aca="false">YEAR(B679)</f>
        <v>2024</v>
      </c>
      <c r="D679" s="19" t="n">
        <f aca="false">MONTH(B679)</f>
        <v>8</v>
      </c>
      <c r="E679" s="30" t="str">
        <f aca="false">INDEX(Lists!$K$2:$K$13,MATCH(D679,Lists!$J$2:$J$13,0))</f>
        <v>أغسطس</v>
      </c>
      <c r="F679" s="19" t="str">
        <f aca="false">"Q"&amp;ROUNDUP(D679/3,0)</f>
        <v>Q3</v>
      </c>
      <c r="G679" s="30" t="str">
        <f aca="false">INDEX(Lists!$N$2:$N$8,MATCH(WEEKDAY(B679,2),Lists!$M$2:$M$8,0))</f>
        <v>الأحد</v>
      </c>
      <c r="H679" s="30" t="s">
        <v>60</v>
      </c>
      <c r="I679" s="19" t="str">
        <f aca="false">INDEX(Lists!$B$2:$B$6,MATCH(H679,Lists!$A$2:$A$6,0))</f>
        <v>المنطقة الغربية</v>
      </c>
      <c r="J679" s="30" t="s">
        <v>111</v>
      </c>
      <c r="K679" s="30" t="s">
        <v>122</v>
      </c>
      <c r="L679" s="31" t="n">
        <v>389</v>
      </c>
      <c r="M679" s="19" t="n">
        <v>1</v>
      </c>
      <c r="N679" s="32" t="n">
        <v>0.05</v>
      </c>
      <c r="O679" s="30" t="s">
        <v>52</v>
      </c>
      <c r="P679" s="30" t="s">
        <v>47</v>
      </c>
      <c r="Q679" s="30" t="s">
        <v>84</v>
      </c>
      <c r="R679" s="25" t="n">
        <f aca="false">L679*M679*(1-N679)</f>
        <v>369.55</v>
      </c>
    </row>
    <row r="680" customFormat="false" ht="15" hidden="false" customHeight="false" outlineLevel="0" collapsed="false">
      <c r="A680" s="30" t="s">
        <v>851</v>
      </c>
      <c r="B680" s="44" t="n">
        <v>45529</v>
      </c>
      <c r="C680" s="19" t="n">
        <f aca="false">YEAR(B680)</f>
        <v>2024</v>
      </c>
      <c r="D680" s="19" t="n">
        <f aca="false">MONTH(B680)</f>
        <v>8</v>
      </c>
      <c r="E680" s="30" t="str">
        <f aca="false">INDEX(Lists!$K$2:$K$13,MATCH(D680,Lists!$J$2:$J$13,0))</f>
        <v>أغسطس</v>
      </c>
      <c r="F680" s="19" t="str">
        <f aca="false">"Q"&amp;ROUNDUP(D680/3,0)</f>
        <v>Q3</v>
      </c>
      <c r="G680" s="30" t="str">
        <f aca="false">INDEX(Lists!$N$2:$N$8,MATCH(WEEKDAY(B680,2),Lists!$M$2:$M$8,0))</f>
        <v>الأحد</v>
      </c>
      <c r="H680" s="30" t="s">
        <v>50</v>
      </c>
      <c r="I680" s="19" t="str">
        <f aca="false">INDEX(Lists!$B$2:$B$6,MATCH(H680,Lists!$A$2:$A$6,0))</f>
        <v>المنطقة الغربية</v>
      </c>
      <c r="J680" s="30" t="s">
        <v>105</v>
      </c>
      <c r="K680" s="30" t="s">
        <v>79</v>
      </c>
      <c r="L680" s="31" t="n">
        <v>1189</v>
      </c>
      <c r="M680" s="19" t="n">
        <v>1</v>
      </c>
      <c r="N680" s="32" t="n">
        <v>0.05</v>
      </c>
      <c r="O680" s="30" t="s">
        <v>52</v>
      </c>
      <c r="P680" s="30" t="s">
        <v>47</v>
      </c>
      <c r="Q680" s="30" t="s">
        <v>86</v>
      </c>
      <c r="R680" s="25" t="n">
        <f aca="false">L680*M680*(1-N680)</f>
        <v>1129.55</v>
      </c>
    </row>
    <row r="681" customFormat="false" ht="15" hidden="false" customHeight="false" outlineLevel="0" collapsed="false">
      <c r="A681" s="30" t="s">
        <v>852</v>
      </c>
      <c r="B681" s="44" t="n">
        <v>45530</v>
      </c>
      <c r="C681" s="19" t="n">
        <f aca="false">YEAR(B681)</f>
        <v>2024</v>
      </c>
      <c r="D681" s="19" t="n">
        <f aca="false">MONTH(B681)</f>
        <v>8</v>
      </c>
      <c r="E681" s="30" t="str">
        <f aca="false">INDEX(Lists!$K$2:$K$13,MATCH(D681,Lists!$J$2:$J$13,0))</f>
        <v>أغسطس</v>
      </c>
      <c r="F681" s="19" t="str">
        <f aca="false">"Q"&amp;ROUNDUP(D681/3,0)</f>
        <v>Q3</v>
      </c>
      <c r="G681" s="30" t="str">
        <f aca="false">INDEX(Lists!$N$2:$N$8,MATCH(WEEKDAY(B681,2),Lists!$M$2:$M$8,0))</f>
        <v>الإثنين</v>
      </c>
      <c r="H681" s="30" t="s">
        <v>60</v>
      </c>
      <c r="I681" s="19" t="str">
        <f aca="false">INDEX(Lists!$B$2:$B$6,MATCH(H681,Lists!$A$2:$A$6,0))</f>
        <v>المنطقة الغربية</v>
      </c>
      <c r="J681" s="30" t="s">
        <v>109</v>
      </c>
      <c r="K681" s="30" t="s">
        <v>93</v>
      </c>
      <c r="L681" s="31" t="n">
        <v>109</v>
      </c>
      <c r="M681" s="19" t="n">
        <v>1</v>
      </c>
      <c r="N681" s="32" t="n">
        <v>0.1</v>
      </c>
      <c r="O681" s="30" t="s">
        <v>48</v>
      </c>
      <c r="P681" s="30" t="s">
        <v>47</v>
      </c>
      <c r="Q681" s="30" t="s">
        <v>92</v>
      </c>
      <c r="R681" s="25" t="n">
        <f aca="false">L681*M681*(1-N681)</f>
        <v>98.1</v>
      </c>
    </row>
    <row r="682" customFormat="false" ht="15" hidden="false" customHeight="false" outlineLevel="0" collapsed="false">
      <c r="A682" s="30" t="s">
        <v>853</v>
      </c>
      <c r="B682" s="44" t="n">
        <v>45530</v>
      </c>
      <c r="C682" s="19" t="n">
        <f aca="false">YEAR(B682)</f>
        <v>2024</v>
      </c>
      <c r="D682" s="19" t="n">
        <f aca="false">MONTH(B682)</f>
        <v>8</v>
      </c>
      <c r="E682" s="30" t="str">
        <f aca="false">INDEX(Lists!$K$2:$K$13,MATCH(D682,Lists!$J$2:$J$13,0))</f>
        <v>أغسطس</v>
      </c>
      <c r="F682" s="19" t="str">
        <f aca="false">"Q"&amp;ROUNDUP(D682/3,0)</f>
        <v>Q3</v>
      </c>
      <c r="G682" s="30" t="str">
        <f aca="false">INDEX(Lists!$N$2:$N$8,MATCH(WEEKDAY(B682,2),Lists!$M$2:$M$8,0))</f>
        <v>الإثنين</v>
      </c>
      <c r="H682" s="30" t="s">
        <v>50</v>
      </c>
      <c r="I682" s="19" t="str">
        <f aca="false">INDEX(Lists!$B$2:$B$6,MATCH(H682,Lists!$A$2:$A$6,0))</f>
        <v>المنطقة الغربية</v>
      </c>
      <c r="J682" s="30" t="s">
        <v>107</v>
      </c>
      <c r="K682" s="30" t="s">
        <v>272</v>
      </c>
      <c r="L682" s="31" t="n">
        <v>7019</v>
      </c>
      <c r="M682" s="19" t="n">
        <v>1</v>
      </c>
      <c r="N682" s="32" t="n">
        <v>0</v>
      </c>
      <c r="O682" s="30" t="s">
        <v>52</v>
      </c>
      <c r="P682" s="30" t="s">
        <v>47</v>
      </c>
      <c r="Q682" s="30" t="s">
        <v>99</v>
      </c>
      <c r="R682" s="25" t="n">
        <f aca="false">L682*M682*(1-N682)</f>
        <v>7019</v>
      </c>
    </row>
    <row r="683" customFormat="false" ht="15" hidden="false" customHeight="false" outlineLevel="0" collapsed="false">
      <c r="A683" s="30" t="s">
        <v>854</v>
      </c>
      <c r="B683" s="44" t="n">
        <v>45531</v>
      </c>
      <c r="C683" s="19" t="n">
        <f aca="false">YEAR(B683)</f>
        <v>2024</v>
      </c>
      <c r="D683" s="19" t="n">
        <f aca="false">MONTH(B683)</f>
        <v>8</v>
      </c>
      <c r="E683" s="30" t="str">
        <f aca="false">INDEX(Lists!$K$2:$K$13,MATCH(D683,Lists!$J$2:$J$13,0))</f>
        <v>أغسطس</v>
      </c>
      <c r="F683" s="19" t="str">
        <f aca="false">"Q"&amp;ROUNDUP(D683/3,0)</f>
        <v>Q3</v>
      </c>
      <c r="G683" s="30" t="str">
        <f aca="false">INDEX(Lists!$N$2:$N$8,MATCH(WEEKDAY(B683,2),Lists!$M$2:$M$8,0))</f>
        <v>الثلاثاء</v>
      </c>
      <c r="H683" s="30" t="s">
        <v>50</v>
      </c>
      <c r="I683" s="19" t="str">
        <f aca="false">INDEX(Lists!$B$2:$B$6,MATCH(H683,Lists!$A$2:$A$6,0))</f>
        <v>المنطقة الغربية</v>
      </c>
      <c r="J683" s="30" t="s">
        <v>113</v>
      </c>
      <c r="K683" s="30" t="s">
        <v>97</v>
      </c>
      <c r="L683" s="31" t="n">
        <v>719</v>
      </c>
      <c r="M683" s="19" t="n">
        <v>1</v>
      </c>
      <c r="N683" s="32" t="n">
        <v>0</v>
      </c>
      <c r="O683" s="30" t="s">
        <v>55</v>
      </c>
      <c r="P683" s="30" t="s">
        <v>47</v>
      </c>
      <c r="Q683" s="30" t="s">
        <v>86</v>
      </c>
      <c r="R683" s="25" t="n">
        <f aca="false">L683*M683*(1-N683)</f>
        <v>719</v>
      </c>
    </row>
    <row r="684" customFormat="false" ht="15" hidden="false" customHeight="false" outlineLevel="0" collapsed="false">
      <c r="A684" s="30" t="s">
        <v>855</v>
      </c>
      <c r="B684" s="44" t="n">
        <v>45531</v>
      </c>
      <c r="C684" s="19" t="n">
        <f aca="false">YEAR(B684)</f>
        <v>2024</v>
      </c>
      <c r="D684" s="19" t="n">
        <f aca="false">MONTH(B684)</f>
        <v>8</v>
      </c>
      <c r="E684" s="30" t="str">
        <f aca="false">INDEX(Lists!$K$2:$K$13,MATCH(D684,Lists!$J$2:$J$13,0))</f>
        <v>أغسطس</v>
      </c>
      <c r="F684" s="19" t="str">
        <f aca="false">"Q"&amp;ROUNDUP(D684/3,0)</f>
        <v>Q3</v>
      </c>
      <c r="G684" s="30" t="str">
        <f aca="false">INDEX(Lists!$N$2:$N$8,MATCH(WEEKDAY(B684,2),Lists!$M$2:$M$8,0))</f>
        <v>الثلاثاء</v>
      </c>
      <c r="H684" s="30" t="s">
        <v>46</v>
      </c>
      <c r="I684" s="19" t="str">
        <f aca="false">INDEX(Lists!$B$2:$B$6,MATCH(H684,Lists!$A$2:$A$6,0))</f>
        <v>المنطقة الوسطى</v>
      </c>
      <c r="J684" s="30" t="s">
        <v>105</v>
      </c>
      <c r="K684" s="30" t="s">
        <v>85</v>
      </c>
      <c r="L684" s="31" t="n">
        <v>3389</v>
      </c>
      <c r="M684" s="19" t="n">
        <v>2</v>
      </c>
      <c r="N684" s="32" t="n">
        <v>0.1</v>
      </c>
      <c r="O684" s="30" t="s">
        <v>48</v>
      </c>
      <c r="P684" s="30" t="s">
        <v>47</v>
      </c>
      <c r="Q684" s="30" t="s">
        <v>86</v>
      </c>
      <c r="R684" s="25" t="n">
        <f aca="false">L684*M684*(1-N684)</f>
        <v>6100.2</v>
      </c>
    </row>
    <row r="685" customFormat="false" ht="15" hidden="false" customHeight="false" outlineLevel="0" collapsed="false">
      <c r="A685" s="30" t="s">
        <v>856</v>
      </c>
      <c r="B685" s="44" t="n">
        <v>45531</v>
      </c>
      <c r="C685" s="19" t="n">
        <f aca="false">YEAR(B685)</f>
        <v>2024</v>
      </c>
      <c r="D685" s="19" t="n">
        <f aca="false">MONTH(B685)</f>
        <v>8</v>
      </c>
      <c r="E685" s="30" t="str">
        <f aca="false">INDEX(Lists!$K$2:$K$13,MATCH(D685,Lists!$J$2:$J$13,0))</f>
        <v>أغسطس</v>
      </c>
      <c r="F685" s="19" t="str">
        <f aca="false">"Q"&amp;ROUNDUP(D685/3,0)</f>
        <v>Q3</v>
      </c>
      <c r="G685" s="30" t="str">
        <f aca="false">INDEX(Lists!$N$2:$N$8,MATCH(WEEKDAY(B685,2),Lists!$M$2:$M$8,0))</f>
        <v>الثلاثاء</v>
      </c>
      <c r="H685" s="30" t="s">
        <v>46</v>
      </c>
      <c r="I685" s="19" t="str">
        <f aca="false">INDEX(Lists!$B$2:$B$6,MATCH(H685,Lists!$A$2:$A$6,0))</f>
        <v>المنطقة الوسطى</v>
      </c>
      <c r="J685" s="30" t="s">
        <v>105</v>
      </c>
      <c r="K685" s="30" t="s">
        <v>79</v>
      </c>
      <c r="L685" s="31" t="n">
        <v>1849</v>
      </c>
      <c r="M685" s="19" t="n">
        <v>1</v>
      </c>
      <c r="N685" s="32" t="n">
        <v>0.1</v>
      </c>
      <c r="O685" s="30" t="s">
        <v>48</v>
      </c>
      <c r="P685" s="30" t="s">
        <v>47</v>
      </c>
      <c r="Q685" s="30" t="s">
        <v>86</v>
      </c>
      <c r="R685" s="25" t="n">
        <f aca="false">L685*M685*(1-N685)</f>
        <v>1664.1</v>
      </c>
    </row>
    <row r="686" customFormat="false" ht="15" hidden="false" customHeight="false" outlineLevel="0" collapsed="false">
      <c r="A686" s="30" t="s">
        <v>857</v>
      </c>
      <c r="B686" s="44" t="n">
        <v>45532</v>
      </c>
      <c r="C686" s="19" t="n">
        <f aca="false">YEAR(B686)</f>
        <v>2024</v>
      </c>
      <c r="D686" s="19" t="n">
        <f aca="false">MONTH(B686)</f>
        <v>8</v>
      </c>
      <c r="E686" s="30" t="str">
        <f aca="false">INDEX(Lists!$K$2:$K$13,MATCH(D686,Lists!$J$2:$J$13,0))</f>
        <v>أغسطس</v>
      </c>
      <c r="F686" s="19" t="str">
        <f aca="false">"Q"&amp;ROUNDUP(D686/3,0)</f>
        <v>Q3</v>
      </c>
      <c r="G686" s="30" t="str">
        <f aca="false">INDEX(Lists!$N$2:$N$8,MATCH(WEEKDAY(B686,2),Lists!$M$2:$M$8,0))</f>
        <v>الأربعاء</v>
      </c>
      <c r="H686" s="30" t="s">
        <v>50</v>
      </c>
      <c r="I686" s="19" t="str">
        <f aca="false">INDEX(Lists!$B$2:$B$6,MATCH(H686,Lists!$A$2:$A$6,0))</f>
        <v>المنطقة الغربية</v>
      </c>
      <c r="J686" s="30" t="s">
        <v>105</v>
      </c>
      <c r="K686" s="30" t="s">
        <v>85</v>
      </c>
      <c r="L686" s="31" t="n">
        <v>1949</v>
      </c>
      <c r="M686" s="19" t="n">
        <v>2</v>
      </c>
      <c r="N686" s="32" t="n">
        <v>0.05</v>
      </c>
      <c r="O686" s="30" t="s">
        <v>55</v>
      </c>
      <c r="P686" s="30" t="s">
        <v>47</v>
      </c>
      <c r="Q686" s="30" t="s">
        <v>78</v>
      </c>
      <c r="R686" s="25" t="n">
        <f aca="false">L686*M686*(1-N686)</f>
        <v>3703.1</v>
      </c>
    </row>
    <row r="687" customFormat="false" ht="15" hidden="false" customHeight="false" outlineLevel="0" collapsed="false">
      <c r="A687" s="30" t="s">
        <v>858</v>
      </c>
      <c r="B687" s="44" t="n">
        <v>45532</v>
      </c>
      <c r="C687" s="19" t="n">
        <f aca="false">YEAR(B687)</f>
        <v>2024</v>
      </c>
      <c r="D687" s="19" t="n">
        <f aca="false">MONTH(B687)</f>
        <v>8</v>
      </c>
      <c r="E687" s="30" t="str">
        <f aca="false">INDEX(Lists!$K$2:$K$13,MATCH(D687,Lists!$J$2:$J$13,0))</f>
        <v>أغسطس</v>
      </c>
      <c r="F687" s="19" t="str">
        <f aca="false">"Q"&amp;ROUNDUP(D687/3,0)</f>
        <v>Q3</v>
      </c>
      <c r="G687" s="30" t="str">
        <f aca="false">INDEX(Lists!$N$2:$N$8,MATCH(WEEKDAY(B687,2),Lists!$M$2:$M$8,0))</f>
        <v>الأربعاء</v>
      </c>
      <c r="H687" s="30" t="s">
        <v>50</v>
      </c>
      <c r="I687" s="19" t="str">
        <f aca="false">INDEX(Lists!$B$2:$B$6,MATCH(H687,Lists!$A$2:$A$6,0))</f>
        <v>المنطقة الغربية</v>
      </c>
      <c r="J687" s="30" t="s">
        <v>111</v>
      </c>
      <c r="K687" s="30" t="s">
        <v>120</v>
      </c>
      <c r="L687" s="31" t="n">
        <v>209</v>
      </c>
      <c r="M687" s="19" t="n">
        <v>1</v>
      </c>
      <c r="N687" s="32" t="n">
        <v>0.1</v>
      </c>
      <c r="O687" s="30" t="s">
        <v>55</v>
      </c>
      <c r="P687" s="30" t="s">
        <v>47</v>
      </c>
      <c r="Q687" s="30" t="s">
        <v>86</v>
      </c>
      <c r="R687" s="25" t="n">
        <f aca="false">L687*M687*(1-N687)</f>
        <v>188.1</v>
      </c>
    </row>
    <row r="688" customFormat="false" ht="15" hidden="false" customHeight="false" outlineLevel="0" collapsed="false">
      <c r="A688" s="30" t="s">
        <v>859</v>
      </c>
      <c r="B688" s="44" t="n">
        <v>45532</v>
      </c>
      <c r="C688" s="19" t="n">
        <f aca="false">YEAR(B688)</f>
        <v>2024</v>
      </c>
      <c r="D688" s="19" t="n">
        <f aca="false">MONTH(B688)</f>
        <v>8</v>
      </c>
      <c r="E688" s="30" t="str">
        <f aca="false">INDEX(Lists!$K$2:$K$13,MATCH(D688,Lists!$J$2:$J$13,0))</f>
        <v>أغسطس</v>
      </c>
      <c r="F688" s="19" t="str">
        <f aca="false">"Q"&amp;ROUNDUP(D688/3,0)</f>
        <v>Q3</v>
      </c>
      <c r="G688" s="30" t="str">
        <f aca="false">INDEX(Lists!$N$2:$N$8,MATCH(WEEKDAY(B688,2),Lists!$M$2:$M$8,0))</f>
        <v>الأربعاء</v>
      </c>
      <c r="H688" s="30" t="s">
        <v>46</v>
      </c>
      <c r="I688" s="19" t="str">
        <f aca="false">INDEX(Lists!$B$2:$B$6,MATCH(H688,Lists!$A$2:$A$6,0))</f>
        <v>المنطقة الوسطى</v>
      </c>
      <c r="J688" s="30" t="s">
        <v>107</v>
      </c>
      <c r="K688" s="30" t="s">
        <v>115</v>
      </c>
      <c r="L688" s="31" t="n">
        <v>2949</v>
      </c>
      <c r="M688" s="19" t="n">
        <v>5</v>
      </c>
      <c r="N688" s="32" t="n">
        <v>0.05</v>
      </c>
      <c r="O688" s="30" t="s">
        <v>48</v>
      </c>
      <c r="P688" s="30" t="s">
        <v>51</v>
      </c>
      <c r="Q688" s="30" t="s">
        <v>84</v>
      </c>
      <c r="R688" s="25" t="n">
        <f aca="false">L688*M688*(1-N688)</f>
        <v>14007.75</v>
      </c>
    </row>
    <row r="689" customFormat="false" ht="15" hidden="false" customHeight="false" outlineLevel="0" collapsed="false">
      <c r="A689" s="30" t="s">
        <v>860</v>
      </c>
      <c r="B689" s="44" t="n">
        <v>45532</v>
      </c>
      <c r="C689" s="19" t="n">
        <f aca="false">YEAR(B689)</f>
        <v>2024</v>
      </c>
      <c r="D689" s="19" t="n">
        <f aca="false">MONTH(B689)</f>
        <v>8</v>
      </c>
      <c r="E689" s="30" t="str">
        <f aca="false">INDEX(Lists!$K$2:$K$13,MATCH(D689,Lists!$J$2:$J$13,0))</f>
        <v>أغسطس</v>
      </c>
      <c r="F689" s="19" t="str">
        <f aca="false">"Q"&amp;ROUNDUP(D689/3,0)</f>
        <v>Q3</v>
      </c>
      <c r="G689" s="30" t="str">
        <f aca="false">INDEX(Lists!$N$2:$N$8,MATCH(WEEKDAY(B689,2),Lists!$M$2:$M$8,0))</f>
        <v>الأربعاء</v>
      </c>
      <c r="H689" s="30" t="s">
        <v>50</v>
      </c>
      <c r="I689" s="19" t="str">
        <f aca="false">INDEX(Lists!$B$2:$B$6,MATCH(H689,Lists!$A$2:$A$6,0))</f>
        <v>المنطقة الغربية</v>
      </c>
      <c r="J689" s="30" t="s">
        <v>113</v>
      </c>
      <c r="K689" s="30" t="s">
        <v>100</v>
      </c>
      <c r="L689" s="31" t="n">
        <v>269</v>
      </c>
      <c r="M689" s="19" t="n">
        <v>4</v>
      </c>
      <c r="N689" s="32" t="n">
        <v>0.1</v>
      </c>
      <c r="O689" s="30" t="s">
        <v>48</v>
      </c>
      <c r="P689" s="30" t="s">
        <v>51</v>
      </c>
      <c r="Q689" s="30" t="s">
        <v>84</v>
      </c>
      <c r="R689" s="25" t="n">
        <f aca="false">L689*M689*(1-N689)</f>
        <v>968.4</v>
      </c>
    </row>
    <row r="690" customFormat="false" ht="15" hidden="false" customHeight="false" outlineLevel="0" collapsed="false">
      <c r="A690" s="30" t="s">
        <v>861</v>
      </c>
      <c r="B690" s="44" t="n">
        <v>45532</v>
      </c>
      <c r="C690" s="19" t="n">
        <f aca="false">YEAR(B690)</f>
        <v>2024</v>
      </c>
      <c r="D690" s="19" t="n">
        <f aca="false">MONTH(B690)</f>
        <v>8</v>
      </c>
      <c r="E690" s="30" t="str">
        <f aca="false">INDEX(Lists!$K$2:$K$13,MATCH(D690,Lists!$J$2:$J$13,0))</f>
        <v>أغسطس</v>
      </c>
      <c r="F690" s="19" t="str">
        <f aca="false">"Q"&amp;ROUNDUP(D690/3,0)</f>
        <v>Q3</v>
      </c>
      <c r="G690" s="30" t="str">
        <f aca="false">INDEX(Lists!$N$2:$N$8,MATCH(WEEKDAY(B690,2),Lists!$M$2:$M$8,0))</f>
        <v>الأربعاء</v>
      </c>
      <c r="H690" s="30" t="s">
        <v>57</v>
      </c>
      <c r="I690" s="19" t="str">
        <f aca="false">INDEX(Lists!$B$2:$B$6,MATCH(H690,Lists!$A$2:$A$6,0))</f>
        <v>المنطقة الغربية</v>
      </c>
      <c r="J690" s="30" t="s">
        <v>105</v>
      </c>
      <c r="K690" s="30" t="s">
        <v>90</v>
      </c>
      <c r="L690" s="31" t="n">
        <v>1519</v>
      </c>
      <c r="M690" s="19" t="n">
        <v>5</v>
      </c>
      <c r="N690" s="32" t="n">
        <v>0.15</v>
      </c>
      <c r="O690" s="30" t="s">
        <v>55</v>
      </c>
      <c r="P690" s="30" t="s">
        <v>51</v>
      </c>
      <c r="Q690" s="30" t="s">
        <v>96</v>
      </c>
      <c r="R690" s="25" t="n">
        <f aca="false">L690*M690*(1-N690)</f>
        <v>6455.75</v>
      </c>
    </row>
    <row r="691" customFormat="false" ht="15" hidden="false" customHeight="false" outlineLevel="0" collapsed="false">
      <c r="A691" s="30" t="s">
        <v>862</v>
      </c>
      <c r="B691" s="44" t="n">
        <v>45533</v>
      </c>
      <c r="C691" s="19" t="n">
        <f aca="false">YEAR(B691)</f>
        <v>2024</v>
      </c>
      <c r="D691" s="19" t="n">
        <f aca="false">MONTH(B691)</f>
        <v>8</v>
      </c>
      <c r="E691" s="30" t="str">
        <f aca="false">INDEX(Lists!$K$2:$K$13,MATCH(D691,Lists!$J$2:$J$13,0))</f>
        <v>أغسطس</v>
      </c>
      <c r="F691" s="19" t="str">
        <f aca="false">"Q"&amp;ROUNDUP(D691/3,0)</f>
        <v>Q3</v>
      </c>
      <c r="G691" s="30" t="str">
        <f aca="false">INDEX(Lists!$N$2:$N$8,MATCH(WEEKDAY(B691,2),Lists!$M$2:$M$8,0))</f>
        <v>الخميس</v>
      </c>
      <c r="H691" s="30" t="s">
        <v>46</v>
      </c>
      <c r="I691" s="19" t="str">
        <f aca="false">INDEX(Lists!$B$2:$B$6,MATCH(H691,Lists!$A$2:$A$6,0))</f>
        <v>المنطقة الوسطى</v>
      </c>
      <c r="J691" s="30" t="s">
        <v>105</v>
      </c>
      <c r="K691" s="30" t="s">
        <v>85</v>
      </c>
      <c r="L691" s="31" t="n">
        <v>979</v>
      </c>
      <c r="M691" s="19" t="n">
        <v>1</v>
      </c>
      <c r="N691" s="32" t="n">
        <v>0</v>
      </c>
      <c r="O691" s="30" t="s">
        <v>48</v>
      </c>
      <c r="P691" s="30" t="s">
        <v>47</v>
      </c>
      <c r="Q691" s="30" t="s">
        <v>81</v>
      </c>
      <c r="R691" s="25" t="n">
        <f aca="false">L691*M691*(1-N691)</f>
        <v>979</v>
      </c>
    </row>
    <row r="692" customFormat="false" ht="15" hidden="false" customHeight="false" outlineLevel="0" collapsed="false">
      <c r="A692" s="30" t="s">
        <v>863</v>
      </c>
      <c r="B692" s="44" t="n">
        <v>45533</v>
      </c>
      <c r="C692" s="19" t="n">
        <f aca="false">YEAR(B692)</f>
        <v>2024</v>
      </c>
      <c r="D692" s="19" t="n">
        <f aca="false">MONTH(B692)</f>
        <v>8</v>
      </c>
      <c r="E692" s="30" t="str">
        <f aca="false">INDEX(Lists!$K$2:$K$13,MATCH(D692,Lists!$J$2:$J$13,0))</f>
        <v>أغسطس</v>
      </c>
      <c r="F692" s="19" t="str">
        <f aca="false">"Q"&amp;ROUNDUP(D692/3,0)</f>
        <v>Q3</v>
      </c>
      <c r="G692" s="30" t="str">
        <f aca="false">INDEX(Lists!$N$2:$N$8,MATCH(WEEKDAY(B692,2),Lists!$M$2:$M$8,0))</f>
        <v>الخميس</v>
      </c>
      <c r="H692" s="30" t="s">
        <v>46</v>
      </c>
      <c r="I692" s="19" t="str">
        <f aca="false">INDEX(Lists!$B$2:$B$6,MATCH(H692,Lists!$A$2:$A$6,0))</f>
        <v>المنطقة الوسطى</v>
      </c>
      <c r="J692" s="30" t="s">
        <v>109</v>
      </c>
      <c r="K692" s="30" t="s">
        <v>93</v>
      </c>
      <c r="L692" s="31" t="n">
        <v>59</v>
      </c>
      <c r="M692" s="19" t="n">
        <v>1</v>
      </c>
      <c r="N692" s="32" t="n">
        <v>0.1</v>
      </c>
      <c r="O692" s="30" t="s">
        <v>48</v>
      </c>
      <c r="P692" s="30" t="s">
        <v>47</v>
      </c>
      <c r="Q692" s="30" t="s">
        <v>99</v>
      </c>
      <c r="R692" s="25" t="n">
        <f aca="false">L692*M692*(1-N692)</f>
        <v>53.1</v>
      </c>
    </row>
    <row r="693" customFormat="false" ht="15" hidden="false" customHeight="false" outlineLevel="0" collapsed="false">
      <c r="A693" s="30" t="s">
        <v>864</v>
      </c>
      <c r="B693" s="44" t="n">
        <v>45533</v>
      </c>
      <c r="C693" s="19" t="n">
        <f aca="false">YEAR(B693)</f>
        <v>2024</v>
      </c>
      <c r="D693" s="19" t="n">
        <f aca="false">MONTH(B693)</f>
        <v>8</v>
      </c>
      <c r="E693" s="30" t="str">
        <f aca="false">INDEX(Lists!$K$2:$K$13,MATCH(D693,Lists!$J$2:$J$13,0))</f>
        <v>أغسطس</v>
      </c>
      <c r="F693" s="19" t="str">
        <f aca="false">"Q"&amp;ROUNDUP(D693/3,0)</f>
        <v>Q3</v>
      </c>
      <c r="G693" s="30" t="str">
        <f aca="false">INDEX(Lists!$N$2:$N$8,MATCH(WEEKDAY(B693,2),Lists!$M$2:$M$8,0))</f>
        <v>الخميس</v>
      </c>
      <c r="H693" s="30" t="s">
        <v>50</v>
      </c>
      <c r="I693" s="19" t="str">
        <f aca="false">INDEX(Lists!$B$2:$B$6,MATCH(H693,Lists!$A$2:$A$6,0))</f>
        <v>المنطقة الغربية</v>
      </c>
      <c r="J693" s="30" t="s">
        <v>105</v>
      </c>
      <c r="K693" s="30" t="s">
        <v>79</v>
      </c>
      <c r="L693" s="31" t="n">
        <v>1249</v>
      </c>
      <c r="M693" s="19" t="n">
        <v>2</v>
      </c>
      <c r="N693" s="32" t="n">
        <v>0.05</v>
      </c>
      <c r="O693" s="30" t="s">
        <v>52</v>
      </c>
      <c r="P693" s="30" t="s">
        <v>47</v>
      </c>
      <c r="Q693" s="30" t="s">
        <v>86</v>
      </c>
      <c r="R693" s="25" t="n">
        <f aca="false">L693*M693*(1-N693)</f>
        <v>2373.1</v>
      </c>
    </row>
    <row r="694" customFormat="false" ht="15" hidden="false" customHeight="false" outlineLevel="0" collapsed="false">
      <c r="A694" s="30" t="s">
        <v>865</v>
      </c>
      <c r="B694" s="44" t="n">
        <v>45533</v>
      </c>
      <c r="C694" s="19" t="n">
        <f aca="false">YEAR(B694)</f>
        <v>2024</v>
      </c>
      <c r="D694" s="19" t="n">
        <f aca="false">MONTH(B694)</f>
        <v>8</v>
      </c>
      <c r="E694" s="30" t="str">
        <f aca="false">INDEX(Lists!$K$2:$K$13,MATCH(D694,Lists!$J$2:$J$13,0))</f>
        <v>أغسطس</v>
      </c>
      <c r="F694" s="19" t="str">
        <f aca="false">"Q"&amp;ROUNDUP(D694/3,0)</f>
        <v>Q3</v>
      </c>
      <c r="G694" s="30" t="str">
        <f aca="false">INDEX(Lists!$N$2:$N$8,MATCH(WEEKDAY(B694,2),Lists!$M$2:$M$8,0))</f>
        <v>الخميس</v>
      </c>
      <c r="H694" s="30" t="s">
        <v>57</v>
      </c>
      <c r="I694" s="19" t="str">
        <f aca="false">INDEX(Lists!$B$2:$B$6,MATCH(H694,Lists!$A$2:$A$6,0))</f>
        <v>المنطقة الغربية</v>
      </c>
      <c r="J694" s="30" t="s">
        <v>105</v>
      </c>
      <c r="K694" s="30" t="s">
        <v>79</v>
      </c>
      <c r="L694" s="31" t="n">
        <v>2039</v>
      </c>
      <c r="M694" s="19" t="n">
        <v>1</v>
      </c>
      <c r="N694" s="32" t="n">
        <v>0</v>
      </c>
      <c r="O694" s="30" t="s">
        <v>48</v>
      </c>
      <c r="P694" s="30" t="s">
        <v>47</v>
      </c>
      <c r="Q694" s="30" t="s">
        <v>96</v>
      </c>
      <c r="R694" s="25" t="n">
        <f aca="false">L694*M694*(1-N694)</f>
        <v>2039</v>
      </c>
    </row>
    <row r="695" customFormat="false" ht="15" hidden="false" customHeight="false" outlineLevel="0" collapsed="false">
      <c r="A695" s="30" t="s">
        <v>866</v>
      </c>
      <c r="B695" s="44" t="n">
        <v>45533</v>
      </c>
      <c r="C695" s="19" t="n">
        <f aca="false">YEAR(B695)</f>
        <v>2024</v>
      </c>
      <c r="D695" s="19" t="n">
        <f aca="false">MONTH(B695)</f>
        <v>8</v>
      </c>
      <c r="E695" s="30" t="str">
        <f aca="false">INDEX(Lists!$K$2:$K$13,MATCH(D695,Lists!$J$2:$J$13,0))</f>
        <v>أغسطس</v>
      </c>
      <c r="F695" s="19" t="str">
        <f aca="false">"Q"&amp;ROUNDUP(D695/3,0)</f>
        <v>Q3</v>
      </c>
      <c r="G695" s="30" t="str">
        <f aca="false">INDEX(Lists!$N$2:$N$8,MATCH(WEEKDAY(B695,2),Lists!$M$2:$M$8,0))</f>
        <v>الخميس</v>
      </c>
      <c r="H695" s="30" t="s">
        <v>50</v>
      </c>
      <c r="I695" s="19" t="str">
        <f aca="false">INDEX(Lists!$B$2:$B$6,MATCH(H695,Lists!$A$2:$A$6,0))</f>
        <v>المنطقة الغربية</v>
      </c>
      <c r="J695" s="30" t="s">
        <v>107</v>
      </c>
      <c r="K695" s="30" t="s">
        <v>272</v>
      </c>
      <c r="L695" s="31" t="n">
        <v>7459</v>
      </c>
      <c r="M695" s="19" t="n">
        <v>4</v>
      </c>
      <c r="N695" s="32" t="n">
        <v>0.05</v>
      </c>
      <c r="O695" s="30" t="s">
        <v>52</v>
      </c>
      <c r="P695" s="30" t="s">
        <v>51</v>
      </c>
      <c r="Q695" s="30" t="s">
        <v>84</v>
      </c>
      <c r="R695" s="25" t="n">
        <f aca="false">L695*M695*(1-N695)</f>
        <v>28344.2</v>
      </c>
    </row>
    <row r="696" customFormat="false" ht="15" hidden="false" customHeight="false" outlineLevel="0" collapsed="false">
      <c r="A696" s="30" t="s">
        <v>867</v>
      </c>
      <c r="B696" s="44" t="n">
        <v>45533</v>
      </c>
      <c r="C696" s="19" t="n">
        <f aca="false">YEAR(B696)</f>
        <v>2024</v>
      </c>
      <c r="D696" s="19" t="n">
        <f aca="false">MONTH(B696)</f>
        <v>8</v>
      </c>
      <c r="E696" s="30" t="str">
        <f aca="false">INDEX(Lists!$K$2:$K$13,MATCH(D696,Lists!$J$2:$J$13,0))</f>
        <v>أغسطس</v>
      </c>
      <c r="F696" s="19" t="str">
        <f aca="false">"Q"&amp;ROUNDUP(D696/3,0)</f>
        <v>Q3</v>
      </c>
      <c r="G696" s="30" t="str">
        <f aca="false">INDEX(Lists!$N$2:$N$8,MATCH(WEEKDAY(B696,2),Lists!$M$2:$M$8,0))</f>
        <v>الخميس</v>
      </c>
      <c r="H696" s="30" t="s">
        <v>54</v>
      </c>
      <c r="I696" s="19" t="str">
        <f aca="false">INDEX(Lists!$B$2:$B$6,MATCH(H696,Lists!$A$2:$A$6,0))</f>
        <v>المنطقة الشرقية</v>
      </c>
      <c r="J696" s="30" t="s">
        <v>105</v>
      </c>
      <c r="K696" s="30" t="s">
        <v>90</v>
      </c>
      <c r="L696" s="31" t="n">
        <v>4299</v>
      </c>
      <c r="M696" s="19" t="n">
        <v>2</v>
      </c>
      <c r="N696" s="32" t="n">
        <v>0</v>
      </c>
      <c r="O696" s="30" t="s">
        <v>58</v>
      </c>
      <c r="P696" s="30" t="s">
        <v>47</v>
      </c>
      <c r="Q696" s="30" t="s">
        <v>89</v>
      </c>
      <c r="R696" s="25" t="n">
        <f aca="false">L696*M696*(1-N696)</f>
        <v>8598</v>
      </c>
    </row>
    <row r="697" customFormat="false" ht="15" hidden="false" customHeight="false" outlineLevel="0" collapsed="false">
      <c r="A697" s="30" t="s">
        <v>868</v>
      </c>
      <c r="B697" s="44" t="n">
        <v>45534</v>
      </c>
      <c r="C697" s="19" t="n">
        <f aca="false">YEAR(B697)</f>
        <v>2024</v>
      </c>
      <c r="D697" s="19" t="n">
        <f aca="false">MONTH(B697)</f>
        <v>8</v>
      </c>
      <c r="E697" s="30" t="str">
        <f aca="false">INDEX(Lists!$K$2:$K$13,MATCH(D697,Lists!$J$2:$J$13,0))</f>
        <v>أغسطس</v>
      </c>
      <c r="F697" s="19" t="str">
        <f aca="false">"Q"&amp;ROUNDUP(D697/3,0)</f>
        <v>Q3</v>
      </c>
      <c r="G697" s="30" t="str">
        <f aca="false">INDEX(Lists!$N$2:$N$8,MATCH(WEEKDAY(B697,2),Lists!$M$2:$M$8,0))</f>
        <v>الجمعة</v>
      </c>
      <c r="H697" s="30" t="s">
        <v>46</v>
      </c>
      <c r="I697" s="19" t="str">
        <f aca="false">INDEX(Lists!$B$2:$B$6,MATCH(H697,Lists!$A$2:$A$6,0))</f>
        <v>المنطقة الوسطى</v>
      </c>
      <c r="J697" s="30" t="s">
        <v>113</v>
      </c>
      <c r="K697" s="30" t="s">
        <v>97</v>
      </c>
      <c r="L697" s="31" t="n">
        <v>829</v>
      </c>
      <c r="M697" s="19" t="n">
        <v>1</v>
      </c>
      <c r="N697" s="32" t="n">
        <v>0.1</v>
      </c>
      <c r="O697" s="30" t="s">
        <v>55</v>
      </c>
      <c r="P697" s="30" t="s">
        <v>47</v>
      </c>
      <c r="Q697" s="30" t="s">
        <v>84</v>
      </c>
      <c r="R697" s="25" t="n">
        <f aca="false">L697*M697*(1-N697)</f>
        <v>746.1</v>
      </c>
    </row>
    <row r="698" customFormat="false" ht="15" hidden="false" customHeight="false" outlineLevel="0" collapsed="false">
      <c r="A698" s="30" t="s">
        <v>869</v>
      </c>
      <c r="B698" s="44" t="n">
        <v>45535</v>
      </c>
      <c r="C698" s="19" t="n">
        <f aca="false">YEAR(B698)</f>
        <v>2024</v>
      </c>
      <c r="D698" s="19" t="n">
        <f aca="false">MONTH(B698)</f>
        <v>8</v>
      </c>
      <c r="E698" s="30" t="str">
        <f aca="false">INDEX(Lists!$K$2:$K$13,MATCH(D698,Lists!$J$2:$J$13,0))</f>
        <v>أغسطس</v>
      </c>
      <c r="F698" s="19" t="str">
        <f aca="false">"Q"&amp;ROUNDUP(D698/3,0)</f>
        <v>Q3</v>
      </c>
      <c r="G698" s="30" t="str">
        <f aca="false">INDEX(Lists!$N$2:$N$8,MATCH(WEEKDAY(B698,2),Lists!$M$2:$M$8,0))</f>
        <v>السبت</v>
      </c>
      <c r="H698" s="30" t="s">
        <v>50</v>
      </c>
      <c r="I698" s="19" t="str">
        <f aca="false">INDEX(Lists!$B$2:$B$6,MATCH(H698,Lists!$A$2:$A$6,0))</f>
        <v>المنطقة الغربية</v>
      </c>
      <c r="J698" s="30" t="s">
        <v>111</v>
      </c>
      <c r="K698" s="30" t="s">
        <v>108</v>
      </c>
      <c r="L698" s="31" t="n">
        <v>359</v>
      </c>
      <c r="M698" s="19" t="n">
        <v>1</v>
      </c>
      <c r="N698" s="32" t="n">
        <v>0.1</v>
      </c>
      <c r="O698" s="30" t="s">
        <v>55</v>
      </c>
      <c r="P698" s="30" t="s">
        <v>47</v>
      </c>
      <c r="Q698" s="30" t="s">
        <v>84</v>
      </c>
      <c r="R698" s="25" t="n">
        <f aca="false">L698*M698*(1-N698)</f>
        <v>323.1</v>
      </c>
    </row>
    <row r="699" customFormat="false" ht="15" hidden="false" customHeight="false" outlineLevel="0" collapsed="false">
      <c r="A699" s="30" t="s">
        <v>870</v>
      </c>
      <c r="B699" s="44" t="n">
        <v>45535</v>
      </c>
      <c r="C699" s="19" t="n">
        <f aca="false">YEAR(B699)</f>
        <v>2024</v>
      </c>
      <c r="D699" s="19" t="n">
        <f aca="false">MONTH(B699)</f>
        <v>8</v>
      </c>
      <c r="E699" s="30" t="str">
        <f aca="false">INDEX(Lists!$K$2:$K$13,MATCH(D699,Lists!$J$2:$J$13,0))</f>
        <v>أغسطس</v>
      </c>
      <c r="F699" s="19" t="str">
        <f aca="false">"Q"&amp;ROUNDUP(D699/3,0)</f>
        <v>Q3</v>
      </c>
      <c r="G699" s="30" t="str">
        <f aca="false">INDEX(Lists!$N$2:$N$8,MATCH(WEEKDAY(B699,2),Lists!$M$2:$M$8,0))</f>
        <v>السبت</v>
      </c>
      <c r="H699" s="30" t="s">
        <v>46</v>
      </c>
      <c r="I699" s="19" t="str">
        <f aca="false">INDEX(Lists!$B$2:$B$6,MATCH(H699,Lists!$A$2:$A$6,0))</f>
        <v>المنطقة الوسطى</v>
      </c>
      <c r="J699" s="30" t="s">
        <v>109</v>
      </c>
      <c r="K699" s="30" t="s">
        <v>110</v>
      </c>
      <c r="L699" s="31" t="n">
        <v>169</v>
      </c>
      <c r="M699" s="19" t="n">
        <v>1</v>
      </c>
      <c r="N699" s="32" t="n">
        <v>0.15</v>
      </c>
      <c r="O699" s="30" t="s">
        <v>48</v>
      </c>
      <c r="P699" s="30" t="s">
        <v>47</v>
      </c>
      <c r="Q699" s="30" t="s">
        <v>92</v>
      </c>
      <c r="R699" s="25" t="n">
        <f aca="false">L699*M699*(1-N699)</f>
        <v>143.65</v>
      </c>
    </row>
    <row r="700" customFormat="false" ht="15" hidden="false" customHeight="false" outlineLevel="0" collapsed="false">
      <c r="A700" s="30" t="s">
        <v>871</v>
      </c>
      <c r="B700" s="44" t="n">
        <v>45535</v>
      </c>
      <c r="C700" s="19" t="n">
        <f aca="false">YEAR(B700)</f>
        <v>2024</v>
      </c>
      <c r="D700" s="19" t="n">
        <f aca="false">MONTH(B700)</f>
        <v>8</v>
      </c>
      <c r="E700" s="30" t="str">
        <f aca="false">INDEX(Lists!$K$2:$K$13,MATCH(D700,Lists!$J$2:$J$13,0))</f>
        <v>أغسطس</v>
      </c>
      <c r="F700" s="19" t="str">
        <f aca="false">"Q"&amp;ROUNDUP(D700/3,0)</f>
        <v>Q3</v>
      </c>
      <c r="G700" s="30" t="str">
        <f aca="false">INDEX(Lists!$N$2:$N$8,MATCH(WEEKDAY(B700,2),Lists!$M$2:$M$8,0))</f>
        <v>السبت</v>
      </c>
      <c r="H700" s="30" t="s">
        <v>50</v>
      </c>
      <c r="I700" s="19" t="str">
        <f aca="false">INDEX(Lists!$B$2:$B$6,MATCH(H700,Lists!$A$2:$A$6,0))</f>
        <v>المنطقة الغربية</v>
      </c>
      <c r="J700" s="30" t="s">
        <v>105</v>
      </c>
      <c r="K700" s="30" t="s">
        <v>85</v>
      </c>
      <c r="L700" s="31" t="n">
        <v>1659</v>
      </c>
      <c r="M700" s="19" t="n">
        <v>1</v>
      </c>
      <c r="N700" s="32" t="n">
        <v>0</v>
      </c>
      <c r="O700" s="30" t="s">
        <v>52</v>
      </c>
      <c r="P700" s="30" t="s">
        <v>47</v>
      </c>
      <c r="Q700" s="30" t="s">
        <v>94</v>
      </c>
      <c r="R700" s="25" t="n">
        <f aca="false">L700*M700*(1-N700)</f>
        <v>1659</v>
      </c>
    </row>
    <row r="701" customFormat="false" ht="15" hidden="false" customHeight="false" outlineLevel="0" collapsed="false">
      <c r="A701" s="30" t="s">
        <v>872</v>
      </c>
      <c r="B701" s="44" t="n">
        <v>45535</v>
      </c>
      <c r="C701" s="19" t="n">
        <f aca="false">YEAR(B701)</f>
        <v>2024</v>
      </c>
      <c r="D701" s="19" t="n">
        <f aca="false">MONTH(B701)</f>
        <v>8</v>
      </c>
      <c r="E701" s="30" t="str">
        <f aca="false">INDEX(Lists!$K$2:$K$13,MATCH(D701,Lists!$J$2:$J$13,0))</f>
        <v>أغسطس</v>
      </c>
      <c r="F701" s="19" t="str">
        <f aca="false">"Q"&amp;ROUNDUP(D701/3,0)</f>
        <v>Q3</v>
      </c>
      <c r="G701" s="30" t="str">
        <f aca="false">INDEX(Lists!$N$2:$N$8,MATCH(WEEKDAY(B701,2),Lists!$M$2:$M$8,0))</f>
        <v>السبت</v>
      </c>
      <c r="H701" s="30" t="s">
        <v>46</v>
      </c>
      <c r="I701" s="19" t="str">
        <f aca="false">INDEX(Lists!$B$2:$B$6,MATCH(H701,Lists!$A$2:$A$6,0))</f>
        <v>المنطقة الوسطى</v>
      </c>
      <c r="J701" s="30" t="s">
        <v>109</v>
      </c>
      <c r="K701" s="30" t="s">
        <v>110</v>
      </c>
      <c r="L701" s="31" t="n">
        <v>249</v>
      </c>
      <c r="M701" s="19" t="n">
        <v>2</v>
      </c>
      <c r="N701" s="32" t="n">
        <v>0.15</v>
      </c>
      <c r="O701" s="30" t="s">
        <v>52</v>
      </c>
      <c r="P701" s="30" t="s">
        <v>47</v>
      </c>
      <c r="Q701" s="30" t="s">
        <v>89</v>
      </c>
      <c r="R701" s="25" t="n">
        <f aca="false">L701*M701*(1-N701)</f>
        <v>423.3</v>
      </c>
    </row>
    <row r="702" customFormat="false" ht="15" hidden="false" customHeight="false" outlineLevel="0" collapsed="false">
      <c r="A702" s="30" t="s">
        <v>873</v>
      </c>
      <c r="B702" s="44" t="n">
        <v>45535</v>
      </c>
      <c r="C702" s="19" t="n">
        <f aca="false">YEAR(B702)</f>
        <v>2024</v>
      </c>
      <c r="D702" s="19" t="n">
        <f aca="false">MONTH(B702)</f>
        <v>8</v>
      </c>
      <c r="E702" s="30" t="str">
        <f aca="false">INDEX(Lists!$K$2:$K$13,MATCH(D702,Lists!$J$2:$J$13,0))</f>
        <v>أغسطس</v>
      </c>
      <c r="F702" s="19" t="str">
        <f aca="false">"Q"&amp;ROUNDUP(D702/3,0)</f>
        <v>Q3</v>
      </c>
      <c r="G702" s="30" t="str">
        <f aca="false">INDEX(Lists!$N$2:$N$8,MATCH(WEEKDAY(B702,2),Lists!$M$2:$M$8,0))</f>
        <v>السبت</v>
      </c>
      <c r="H702" s="30" t="s">
        <v>50</v>
      </c>
      <c r="I702" s="19" t="str">
        <f aca="false">INDEX(Lists!$B$2:$B$6,MATCH(H702,Lists!$A$2:$A$6,0))</f>
        <v>المنطقة الغربية</v>
      </c>
      <c r="J702" s="30" t="s">
        <v>105</v>
      </c>
      <c r="K702" s="30" t="s">
        <v>82</v>
      </c>
      <c r="L702" s="31" t="n">
        <v>3039</v>
      </c>
      <c r="M702" s="19" t="n">
        <v>1</v>
      </c>
      <c r="N702" s="32" t="n">
        <v>0</v>
      </c>
      <c r="O702" s="30" t="s">
        <v>52</v>
      </c>
      <c r="P702" s="30" t="s">
        <v>47</v>
      </c>
      <c r="Q702" s="30" t="s">
        <v>84</v>
      </c>
      <c r="R702" s="25" t="n">
        <f aca="false">L702*M702*(1-N702)</f>
        <v>3039</v>
      </c>
    </row>
    <row r="703" customFormat="false" ht="15" hidden="false" customHeight="false" outlineLevel="0" collapsed="false">
      <c r="A703" s="30" t="s">
        <v>874</v>
      </c>
      <c r="B703" s="44" t="n">
        <v>45535</v>
      </c>
      <c r="C703" s="19" t="n">
        <f aca="false">YEAR(B703)</f>
        <v>2024</v>
      </c>
      <c r="D703" s="19" t="n">
        <f aca="false">MONTH(B703)</f>
        <v>8</v>
      </c>
      <c r="E703" s="30" t="str">
        <f aca="false">INDEX(Lists!$K$2:$K$13,MATCH(D703,Lists!$J$2:$J$13,0))</f>
        <v>أغسطس</v>
      </c>
      <c r="F703" s="19" t="str">
        <f aca="false">"Q"&amp;ROUNDUP(D703/3,0)</f>
        <v>Q3</v>
      </c>
      <c r="G703" s="30" t="str">
        <f aca="false">INDEX(Lists!$N$2:$N$8,MATCH(WEEKDAY(B703,2),Lists!$M$2:$M$8,0))</f>
        <v>السبت</v>
      </c>
      <c r="H703" s="30" t="s">
        <v>50</v>
      </c>
      <c r="I703" s="19" t="str">
        <f aca="false">INDEX(Lists!$B$2:$B$6,MATCH(H703,Lists!$A$2:$A$6,0))</f>
        <v>المنطقة الغربية</v>
      </c>
      <c r="J703" s="30" t="s">
        <v>105</v>
      </c>
      <c r="K703" s="30" t="s">
        <v>85</v>
      </c>
      <c r="L703" s="31" t="n">
        <v>2019</v>
      </c>
      <c r="M703" s="19" t="n">
        <v>2</v>
      </c>
      <c r="N703" s="32" t="n">
        <v>0.1</v>
      </c>
      <c r="O703" s="30" t="s">
        <v>55</v>
      </c>
      <c r="P703" s="30" t="s">
        <v>47</v>
      </c>
      <c r="Q703" s="30" t="s">
        <v>86</v>
      </c>
      <c r="R703" s="25" t="n">
        <f aca="false">L703*M703*(1-N703)</f>
        <v>3634.2</v>
      </c>
    </row>
    <row r="704" customFormat="false" ht="15" hidden="false" customHeight="false" outlineLevel="0" collapsed="false">
      <c r="A704" s="30" t="s">
        <v>875</v>
      </c>
      <c r="B704" s="44" t="n">
        <v>45536</v>
      </c>
      <c r="C704" s="19" t="n">
        <f aca="false">YEAR(B704)</f>
        <v>2024</v>
      </c>
      <c r="D704" s="19" t="n">
        <f aca="false">MONTH(B704)</f>
        <v>9</v>
      </c>
      <c r="E704" s="30" t="str">
        <f aca="false">INDEX(Lists!$K$2:$K$13,MATCH(D704,Lists!$J$2:$J$13,0))</f>
        <v>سبتمبر</v>
      </c>
      <c r="F704" s="19" t="str">
        <f aca="false">"Q"&amp;ROUNDUP(D704/3,0)</f>
        <v>Q3</v>
      </c>
      <c r="G704" s="30" t="str">
        <f aca="false">INDEX(Lists!$N$2:$N$8,MATCH(WEEKDAY(B704,2),Lists!$M$2:$M$8,0))</f>
        <v>الأحد</v>
      </c>
      <c r="H704" s="30" t="s">
        <v>57</v>
      </c>
      <c r="I704" s="19" t="str">
        <f aca="false">INDEX(Lists!$B$2:$B$6,MATCH(H704,Lists!$A$2:$A$6,0))</f>
        <v>المنطقة الغربية</v>
      </c>
      <c r="J704" s="30" t="s">
        <v>107</v>
      </c>
      <c r="K704" s="30" t="s">
        <v>115</v>
      </c>
      <c r="L704" s="31" t="n">
        <v>7019</v>
      </c>
      <c r="M704" s="19" t="n">
        <v>1</v>
      </c>
      <c r="N704" s="32" t="n">
        <v>0.05</v>
      </c>
      <c r="O704" s="30" t="s">
        <v>55</v>
      </c>
      <c r="P704" s="30" t="s">
        <v>47</v>
      </c>
      <c r="Q704" s="30" t="s">
        <v>94</v>
      </c>
      <c r="R704" s="25" t="n">
        <f aca="false">L704*M704*(1-N704)</f>
        <v>6668.05</v>
      </c>
    </row>
    <row r="705" customFormat="false" ht="15" hidden="false" customHeight="false" outlineLevel="0" collapsed="false">
      <c r="A705" s="30" t="s">
        <v>876</v>
      </c>
      <c r="B705" s="44" t="n">
        <v>45536</v>
      </c>
      <c r="C705" s="19" t="n">
        <f aca="false">YEAR(B705)</f>
        <v>2024</v>
      </c>
      <c r="D705" s="19" t="n">
        <f aca="false">MONTH(B705)</f>
        <v>9</v>
      </c>
      <c r="E705" s="30" t="str">
        <f aca="false">INDEX(Lists!$K$2:$K$13,MATCH(D705,Lists!$J$2:$J$13,0))</f>
        <v>سبتمبر</v>
      </c>
      <c r="F705" s="19" t="str">
        <f aca="false">"Q"&amp;ROUNDUP(D705/3,0)</f>
        <v>Q3</v>
      </c>
      <c r="G705" s="30" t="str">
        <f aca="false">INDEX(Lists!$N$2:$N$8,MATCH(WEEKDAY(B705,2),Lists!$M$2:$M$8,0))</f>
        <v>الأحد</v>
      </c>
      <c r="H705" s="30" t="s">
        <v>46</v>
      </c>
      <c r="I705" s="19" t="str">
        <f aca="false">INDEX(Lists!$B$2:$B$6,MATCH(H705,Lists!$A$2:$A$6,0))</f>
        <v>المنطقة الوسطى</v>
      </c>
      <c r="J705" s="30" t="s">
        <v>109</v>
      </c>
      <c r="K705" s="30" t="s">
        <v>93</v>
      </c>
      <c r="L705" s="31" t="n">
        <v>69</v>
      </c>
      <c r="M705" s="19" t="n">
        <v>1</v>
      </c>
      <c r="N705" s="32" t="n">
        <v>0</v>
      </c>
      <c r="O705" s="30" t="s">
        <v>52</v>
      </c>
      <c r="P705" s="30" t="s">
        <v>47</v>
      </c>
      <c r="Q705" s="30" t="s">
        <v>86</v>
      </c>
      <c r="R705" s="25" t="n">
        <f aca="false">L705*M705*(1-N705)</f>
        <v>69</v>
      </c>
    </row>
    <row r="706" customFormat="false" ht="15" hidden="false" customHeight="false" outlineLevel="0" collapsed="false">
      <c r="A706" s="30" t="s">
        <v>877</v>
      </c>
      <c r="B706" s="44" t="n">
        <v>45536</v>
      </c>
      <c r="C706" s="19" t="n">
        <f aca="false">YEAR(B706)</f>
        <v>2024</v>
      </c>
      <c r="D706" s="19" t="n">
        <f aca="false">MONTH(B706)</f>
        <v>9</v>
      </c>
      <c r="E706" s="30" t="str">
        <f aca="false">INDEX(Lists!$K$2:$K$13,MATCH(D706,Lists!$J$2:$J$13,0))</f>
        <v>سبتمبر</v>
      </c>
      <c r="F706" s="19" t="str">
        <f aca="false">"Q"&amp;ROUNDUP(D706/3,0)</f>
        <v>Q3</v>
      </c>
      <c r="G706" s="30" t="str">
        <f aca="false">INDEX(Lists!$N$2:$N$8,MATCH(WEEKDAY(B706,2),Lists!$M$2:$M$8,0))</f>
        <v>الأحد</v>
      </c>
      <c r="H706" s="30" t="s">
        <v>50</v>
      </c>
      <c r="I706" s="19" t="str">
        <f aca="false">INDEX(Lists!$B$2:$B$6,MATCH(H706,Lists!$A$2:$A$6,0))</f>
        <v>المنطقة الغربية</v>
      </c>
      <c r="J706" s="30" t="s">
        <v>105</v>
      </c>
      <c r="K706" s="30" t="s">
        <v>179</v>
      </c>
      <c r="L706" s="31" t="n">
        <v>3889</v>
      </c>
      <c r="M706" s="19" t="n">
        <v>1</v>
      </c>
      <c r="N706" s="32" t="n">
        <v>0</v>
      </c>
      <c r="O706" s="30" t="s">
        <v>52</v>
      </c>
      <c r="P706" s="30" t="s">
        <v>47</v>
      </c>
      <c r="Q706" s="30" t="s">
        <v>89</v>
      </c>
      <c r="R706" s="25" t="n">
        <f aca="false">L706*M706*(1-N706)</f>
        <v>3889</v>
      </c>
    </row>
    <row r="707" customFormat="false" ht="15" hidden="false" customHeight="false" outlineLevel="0" collapsed="false">
      <c r="A707" s="30" t="s">
        <v>878</v>
      </c>
      <c r="B707" s="44" t="n">
        <v>45537</v>
      </c>
      <c r="C707" s="19" t="n">
        <f aca="false">YEAR(B707)</f>
        <v>2024</v>
      </c>
      <c r="D707" s="19" t="n">
        <f aca="false">MONTH(B707)</f>
        <v>9</v>
      </c>
      <c r="E707" s="30" t="str">
        <f aca="false">INDEX(Lists!$K$2:$K$13,MATCH(D707,Lists!$J$2:$J$13,0))</f>
        <v>سبتمبر</v>
      </c>
      <c r="F707" s="19" t="str">
        <f aca="false">"Q"&amp;ROUNDUP(D707/3,0)</f>
        <v>Q3</v>
      </c>
      <c r="G707" s="30" t="str">
        <f aca="false">INDEX(Lists!$N$2:$N$8,MATCH(WEEKDAY(B707,2),Lists!$M$2:$M$8,0))</f>
        <v>الإثنين</v>
      </c>
      <c r="H707" s="30" t="s">
        <v>57</v>
      </c>
      <c r="I707" s="19" t="str">
        <f aca="false">INDEX(Lists!$B$2:$B$6,MATCH(H707,Lists!$A$2:$A$6,0))</f>
        <v>المنطقة الغربية</v>
      </c>
      <c r="J707" s="30" t="s">
        <v>107</v>
      </c>
      <c r="K707" s="30" t="s">
        <v>114</v>
      </c>
      <c r="L707" s="31" t="n">
        <v>3859</v>
      </c>
      <c r="M707" s="19" t="n">
        <v>2</v>
      </c>
      <c r="N707" s="32" t="n">
        <v>0.1</v>
      </c>
      <c r="O707" s="30" t="s">
        <v>48</v>
      </c>
      <c r="P707" s="30" t="s">
        <v>47</v>
      </c>
      <c r="Q707" s="30" t="s">
        <v>78</v>
      </c>
      <c r="R707" s="25" t="n">
        <f aca="false">L707*M707*(1-N707)</f>
        <v>6946.2</v>
      </c>
    </row>
    <row r="708" customFormat="false" ht="15" hidden="false" customHeight="false" outlineLevel="0" collapsed="false">
      <c r="A708" s="30" t="s">
        <v>879</v>
      </c>
      <c r="B708" s="44" t="n">
        <v>45537</v>
      </c>
      <c r="C708" s="19" t="n">
        <f aca="false">YEAR(B708)</f>
        <v>2024</v>
      </c>
      <c r="D708" s="19" t="n">
        <f aca="false">MONTH(B708)</f>
        <v>9</v>
      </c>
      <c r="E708" s="30" t="str">
        <f aca="false">INDEX(Lists!$K$2:$K$13,MATCH(D708,Lists!$J$2:$J$13,0))</f>
        <v>سبتمبر</v>
      </c>
      <c r="F708" s="19" t="str">
        <f aca="false">"Q"&amp;ROUNDUP(D708/3,0)</f>
        <v>Q3</v>
      </c>
      <c r="G708" s="30" t="str">
        <f aca="false">INDEX(Lists!$N$2:$N$8,MATCH(WEEKDAY(B708,2),Lists!$M$2:$M$8,0))</f>
        <v>الإثنين</v>
      </c>
      <c r="H708" s="30" t="s">
        <v>50</v>
      </c>
      <c r="I708" s="19" t="str">
        <f aca="false">INDEX(Lists!$B$2:$B$6,MATCH(H708,Lists!$A$2:$A$6,0))</f>
        <v>المنطقة الغربية</v>
      </c>
      <c r="J708" s="30" t="s">
        <v>105</v>
      </c>
      <c r="K708" s="30" t="s">
        <v>179</v>
      </c>
      <c r="L708" s="31" t="n">
        <v>3379</v>
      </c>
      <c r="M708" s="19" t="n">
        <v>3</v>
      </c>
      <c r="N708" s="32" t="n">
        <v>0.1</v>
      </c>
      <c r="O708" s="30" t="s">
        <v>52</v>
      </c>
      <c r="P708" s="30" t="s">
        <v>47</v>
      </c>
      <c r="Q708" s="30" t="s">
        <v>84</v>
      </c>
      <c r="R708" s="25" t="n">
        <f aca="false">L708*M708*(1-N708)</f>
        <v>9123.3</v>
      </c>
    </row>
    <row r="709" customFormat="false" ht="15" hidden="false" customHeight="false" outlineLevel="0" collapsed="false">
      <c r="A709" s="30" t="s">
        <v>880</v>
      </c>
      <c r="B709" s="44" t="n">
        <v>45538</v>
      </c>
      <c r="C709" s="19" t="n">
        <f aca="false">YEAR(B709)</f>
        <v>2024</v>
      </c>
      <c r="D709" s="19" t="n">
        <f aca="false">MONTH(B709)</f>
        <v>9</v>
      </c>
      <c r="E709" s="30" t="str">
        <f aca="false">INDEX(Lists!$K$2:$K$13,MATCH(D709,Lists!$J$2:$J$13,0))</f>
        <v>سبتمبر</v>
      </c>
      <c r="F709" s="19" t="str">
        <f aca="false">"Q"&amp;ROUNDUP(D709/3,0)</f>
        <v>Q3</v>
      </c>
      <c r="G709" s="30" t="str">
        <f aca="false">INDEX(Lists!$N$2:$N$8,MATCH(WEEKDAY(B709,2),Lists!$M$2:$M$8,0))</f>
        <v>الثلاثاء</v>
      </c>
      <c r="H709" s="30" t="s">
        <v>46</v>
      </c>
      <c r="I709" s="19" t="str">
        <f aca="false">INDEX(Lists!$B$2:$B$6,MATCH(H709,Lists!$A$2:$A$6,0))</f>
        <v>المنطقة الوسطى</v>
      </c>
      <c r="J709" s="30" t="s">
        <v>107</v>
      </c>
      <c r="K709" s="30" t="s">
        <v>184</v>
      </c>
      <c r="L709" s="31" t="n">
        <v>3469</v>
      </c>
      <c r="M709" s="19" t="n">
        <v>1</v>
      </c>
      <c r="N709" s="32" t="n">
        <v>0.05</v>
      </c>
      <c r="O709" s="30" t="s">
        <v>55</v>
      </c>
      <c r="P709" s="30" t="s">
        <v>47</v>
      </c>
      <c r="Q709" s="30" t="s">
        <v>84</v>
      </c>
      <c r="R709" s="25" t="n">
        <f aca="false">L709*M709*(1-N709)</f>
        <v>3295.55</v>
      </c>
    </row>
    <row r="710" customFormat="false" ht="15" hidden="false" customHeight="false" outlineLevel="0" collapsed="false">
      <c r="A710" s="30" t="s">
        <v>881</v>
      </c>
      <c r="B710" s="44" t="n">
        <v>45538</v>
      </c>
      <c r="C710" s="19" t="n">
        <f aca="false">YEAR(B710)</f>
        <v>2024</v>
      </c>
      <c r="D710" s="19" t="n">
        <f aca="false">MONTH(B710)</f>
        <v>9</v>
      </c>
      <c r="E710" s="30" t="str">
        <f aca="false">INDEX(Lists!$K$2:$K$13,MATCH(D710,Lists!$J$2:$J$13,0))</f>
        <v>سبتمبر</v>
      </c>
      <c r="F710" s="19" t="str">
        <f aca="false">"Q"&amp;ROUNDUP(D710/3,0)</f>
        <v>Q3</v>
      </c>
      <c r="G710" s="30" t="str">
        <f aca="false">INDEX(Lists!$N$2:$N$8,MATCH(WEEKDAY(B710,2),Lists!$M$2:$M$8,0))</f>
        <v>الثلاثاء</v>
      </c>
      <c r="H710" s="30" t="s">
        <v>46</v>
      </c>
      <c r="I710" s="19" t="str">
        <f aca="false">INDEX(Lists!$B$2:$B$6,MATCH(H710,Lists!$A$2:$A$6,0))</f>
        <v>المنطقة الوسطى</v>
      </c>
      <c r="J710" s="30" t="s">
        <v>107</v>
      </c>
      <c r="K710" s="30" t="s">
        <v>272</v>
      </c>
      <c r="L710" s="31" t="n">
        <v>3359</v>
      </c>
      <c r="M710" s="19" t="n">
        <v>1</v>
      </c>
      <c r="N710" s="32" t="n">
        <v>0.15</v>
      </c>
      <c r="O710" s="30" t="s">
        <v>55</v>
      </c>
      <c r="P710" s="30" t="s">
        <v>51</v>
      </c>
      <c r="Q710" s="30" t="s">
        <v>94</v>
      </c>
      <c r="R710" s="25" t="n">
        <f aca="false">L710*M710*(1-N710)</f>
        <v>2855.15</v>
      </c>
    </row>
    <row r="711" customFormat="false" ht="15" hidden="false" customHeight="false" outlineLevel="0" collapsed="false">
      <c r="A711" s="30" t="s">
        <v>882</v>
      </c>
      <c r="B711" s="44" t="n">
        <v>45539</v>
      </c>
      <c r="C711" s="19" t="n">
        <f aca="false">YEAR(B711)</f>
        <v>2024</v>
      </c>
      <c r="D711" s="19" t="n">
        <f aca="false">MONTH(B711)</f>
        <v>9</v>
      </c>
      <c r="E711" s="30" t="str">
        <f aca="false">INDEX(Lists!$K$2:$K$13,MATCH(D711,Lists!$J$2:$J$13,0))</f>
        <v>سبتمبر</v>
      </c>
      <c r="F711" s="19" t="str">
        <f aca="false">"Q"&amp;ROUNDUP(D711/3,0)</f>
        <v>Q3</v>
      </c>
      <c r="G711" s="30" t="str">
        <f aca="false">INDEX(Lists!$N$2:$N$8,MATCH(WEEKDAY(B711,2),Lists!$M$2:$M$8,0))</f>
        <v>الأربعاء</v>
      </c>
      <c r="H711" s="30" t="s">
        <v>46</v>
      </c>
      <c r="I711" s="19" t="str">
        <f aca="false">INDEX(Lists!$B$2:$B$6,MATCH(H711,Lists!$A$2:$A$6,0))</f>
        <v>المنطقة الوسطى</v>
      </c>
      <c r="J711" s="30" t="s">
        <v>109</v>
      </c>
      <c r="K711" s="30" t="s">
        <v>192</v>
      </c>
      <c r="L711" s="31" t="n">
        <v>279</v>
      </c>
      <c r="M711" s="19" t="n">
        <v>1</v>
      </c>
      <c r="N711" s="32" t="n">
        <v>0</v>
      </c>
      <c r="O711" s="30" t="s">
        <v>52</v>
      </c>
      <c r="P711" s="30" t="s">
        <v>47</v>
      </c>
      <c r="Q711" s="30" t="s">
        <v>89</v>
      </c>
      <c r="R711" s="25" t="n">
        <f aca="false">L711*M711*(1-N711)</f>
        <v>279</v>
      </c>
    </row>
    <row r="712" customFormat="false" ht="15" hidden="false" customHeight="false" outlineLevel="0" collapsed="false">
      <c r="A712" s="30" t="s">
        <v>883</v>
      </c>
      <c r="B712" s="44" t="n">
        <v>45539</v>
      </c>
      <c r="C712" s="19" t="n">
        <f aca="false">YEAR(B712)</f>
        <v>2024</v>
      </c>
      <c r="D712" s="19" t="n">
        <f aca="false">MONTH(B712)</f>
        <v>9</v>
      </c>
      <c r="E712" s="30" t="str">
        <f aca="false">INDEX(Lists!$K$2:$K$13,MATCH(D712,Lists!$J$2:$J$13,0))</f>
        <v>سبتمبر</v>
      </c>
      <c r="F712" s="19" t="str">
        <f aca="false">"Q"&amp;ROUNDUP(D712/3,0)</f>
        <v>Q3</v>
      </c>
      <c r="G712" s="30" t="str">
        <f aca="false">INDEX(Lists!$N$2:$N$8,MATCH(WEEKDAY(B712,2),Lists!$M$2:$M$8,0))</f>
        <v>الأربعاء</v>
      </c>
      <c r="H712" s="30" t="s">
        <v>46</v>
      </c>
      <c r="I712" s="19" t="str">
        <f aca="false">INDEX(Lists!$B$2:$B$6,MATCH(H712,Lists!$A$2:$A$6,0))</f>
        <v>المنطقة الوسطى</v>
      </c>
      <c r="J712" s="30" t="s">
        <v>113</v>
      </c>
      <c r="K712" s="30" t="s">
        <v>100</v>
      </c>
      <c r="L712" s="31" t="n">
        <v>809</v>
      </c>
      <c r="M712" s="19" t="n">
        <v>1</v>
      </c>
      <c r="N712" s="32" t="n">
        <v>0</v>
      </c>
      <c r="O712" s="30" t="s">
        <v>48</v>
      </c>
      <c r="P712" s="30" t="s">
        <v>47</v>
      </c>
      <c r="Q712" s="30" t="s">
        <v>89</v>
      </c>
      <c r="R712" s="25" t="n">
        <f aca="false">L712*M712*(1-N712)</f>
        <v>809</v>
      </c>
    </row>
    <row r="713" customFormat="false" ht="15" hidden="false" customHeight="false" outlineLevel="0" collapsed="false">
      <c r="A713" s="30" t="s">
        <v>884</v>
      </c>
      <c r="B713" s="44" t="n">
        <v>45539</v>
      </c>
      <c r="C713" s="19" t="n">
        <f aca="false">YEAR(B713)</f>
        <v>2024</v>
      </c>
      <c r="D713" s="19" t="n">
        <f aca="false">MONTH(B713)</f>
        <v>9</v>
      </c>
      <c r="E713" s="30" t="str">
        <f aca="false">INDEX(Lists!$K$2:$K$13,MATCH(D713,Lists!$J$2:$J$13,0))</f>
        <v>سبتمبر</v>
      </c>
      <c r="F713" s="19" t="str">
        <f aca="false">"Q"&amp;ROUNDUP(D713/3,0)</f>
        <v>Q3</v>
      </c>
      <c r="G713" s="30" t="str">
        <f aca="false">INDEX(Lists!$N$2:$N$8,MATCH(WEEKDAY(B713,2),Lists!$M$2:$M$8,0))</f>
        <v>الأربعاء</v>
      </c>
      <c r="H713" s="30" t="s">
        <v>46</v>
      </c>
      <c r="I713" s="19" t="str">
        <f aca="false">INDEX(Lists!$B$2:$B$6,MATCH(H713,Lists!$A$2:$A$6,0))</f>
        <v>المنطقة الوسطى</v>
      </c>
      <c r="J713" s="30" t="s">
        <v>109</v>
      </c>
      <c r="K713" s="30" t="s">
        <v>93</v>
      </c>
      <c r="L713" s="31" t="n">
        <v>49</v>
      </c>
      <c r="M713" s="19" t="n">
        <v>3</v>
      </c>
      <c r="N713" s="32" t="n">
        <v>0</v>
      </c>
      <c r="O713" s="30" t="s">
        <v>48</v>
      </c>
      <c r="P713" s="30" t="s">
        <v>51</v>
      </c>
      <c r="Q713" s="30" t="s">
        <v>89</v>
      </c>
      <c r="R713" s="25" t="n">
        <f aca="false">L713*M713*(1-N713)</f>
        <v>147</v>
      </c>
    </row>
    <row r="714" customFormat="false" ht="15" hidden="false" customHeight="false" outlineLevel="0" collapsed="false">
      <c r="A714" s="30" t="s">
        <v>885</v>
      </c>
      <c r="B714" s="44" t="n">
        <v>45539</v>
      </c>
      <c r="C714" s="19" t="n">
        <f aca="false">YEAR(B714)</f>
        <v>2024</v>
      </c>
      <c r="D714" s="19" t="n">
        <f aca="false">MONTH(B714)</f>
        <v>9</v>
      </c>
      <c r="E714" s="30" t="str">
        <f aca="false">INDEX(Lists!$K$2:$K$13,MATCH(D714,Lists!$J$2:$J$13,0))</f>
        <v>سبتمبر</v>
      </c>
      <c r="F714" s="19" t="str">
        <f aca="false">"Q"&amp;ROUNDUP(D714/3,0)</f>
        <v>Q3</v>
      </c>
      <c r="G714" s="30" t="str">
        <f aca="false">INDEX(Lists!$N$2:$N$8,MATCH(WEEKDAY(B714,2),Lists!$M$2:$M$8,0))</f>
        <v>الأربعاء</v>
      </c>
      <c r="H714" s="30" t="s">
        <v>46</v>
      </c>
      <c r="I714" s="19" t="str">
        <f aca="false">INDEX(Lists!$B$2:$B$6,MATCH(H714,Lists!$A$2:$A$6,0))</f>
        <v>المنطقة الوسطى</v>
      </c>
      <c r="J714" s="30" t="s">
        <v>107</v>
      </c>
      <c r="K714" s="30" t="s">
        <v>115</v>
      </c>
      <c r="L714" s="31" t="n">
        <v>6789</v>
      </c>
      <c r="M714" s="19" t="n">
        <v>1</v>
      </c>
      <c r="N714" s="32" t="n">
        <v>0.1</v>
      </c>
      <c r="O714" s="30" t="s">
        <v>52</v>
      </c>
      <c r="P714" s="30" t="s">
        <v>47</v>
      </c>
      <c r="Q714" s="30" t="s">
        <v>96</v>
      </c>
      <c r="R714" s="25" t="n">
        <f aca="false">L714*M714*(1-N714)</f>
        <v>6110.1</v>
      </c>
    </row>
    <row r="715" customFormat="false" ht="15" hidden="false" customHeight="false" outlineLevel="0" collapsed="false">
      <c r="A715" s="30" t="s">
        <v>886</v>
      </c>
      <c r="B715" s="44" t="n">
        <v>45540</v>
      </c>
      <c r="C715" s="19" t="n">
        <f aca="false">YEAR(B715)</f>
        <v>2024</v>
      </c>
      <c r="D715" s="19" t="n">
        <f aca="false">MONTH(B715)</f>
        <v>9</v>
      </c>
      <c r="E715" s="30" t="str">
        <f aca="false">INDEX(Lists!$K$2:$K$13,MATCH(D715,Lists!$J$2:$J$13,0))</f>
        <v>سبتمبر</v>
      </c>
      <c r="F715" s="19" t="str">
        <f aca="false">"Q"&amp;ROUNDUP(D715/3,0)</f>
        <v>Q3</v>
      </c>
      <c r="G715" s="30" t="str">
        <f aca="false">INDEX(Lists!$N$2:$N$8,MATCH(WEEKDAY(B715,2),Lists!$M$2:$M$8,0))</f>
        <v>الخميس</v>
      </c>
      <c r="H715" s="30" t="s">
        <v>46</v>
      </c>
      <c r="I715" s="19" t="str">
        <f aca="false">INDEX(Lists!$B$2:$B$6,MATCH(H715,Lists!$A$2:$A$6,0))</f>
        <v>المنطقة الوسطى</v>
      </c>
      <c r="J715" s="30" t="s">
        <v>105</v>
      </c>
      <c r="K715" s="30" t="s">
        <v>179</v>
      </c>
      <c r="L715" s="31" t="n">
        <v>1649</v>
      </c>
      <c r="M715" s="19" t="n">
        <v>6</v>
      </c>
      <c r="N715" s="32" t="n">
        <v>0</v>
      </c>
      <c r="O715" s="30" t="s">
        <v>48</v>
      </c>
      <c r="P715" s="30" t="s">
        <v>51</v>
      </c>
      <c r="Q715" s="30" t="s">
        <v>81</v>
      </c>
      <c r="R715" s="25" t="n">
        <f aca="false">L715*M715*(1-N715)</f>
        <v>9894</v>
      </c>
    </row>
    <row r="716" customFormat="false" ht="15" hidden="false" customHeight="false" outlineLevel="0" collapsed="false">
      <c r="A716" s="30" t="s">
        <v>887</v>
      </c>
      <c r="B716" s="44" t="n">
        <v>45540</v>
      </c>
      <c r="C716" s="19" t="n">
        <f aca="false">YEAR(B716)</f>
        <v>2024</v>
      </c>
      <c r="D716" s="19" t="n">
        <f aca="false">MONTH(B716)</f>
        <v>9</v>
      </c>
      <c r="E716" s="30" t="str">
        <f aca="false">INDEX(Lists!$K$2:$K$13,MATCH(D716,Lists!$J$2:$J$13,0))</f>
        <v>سبتمبر</v>
      </c>
      <c r="F716" s="19" t="str">
        <f aca="false">"Q"&amp;ROUNDUP(D716/3,0)</f>
        <v>Q3</v>
      </c>
      <c r="G716" s="30" t="str">
        <f aca="false">INDEX(Lists!$N$2:$N$8,MATCH(WEEKDAY(B716,2),Lists!$M$2:$M$8,0))</f>
        <v>الخميس</v>
      </c>
      <c r="H716" s="30" t="s">
        <v>50</v>
      </c>
      <c r="I716" s="19" t="str">
        <f aca="false">INDEX(Lists!$B$2:$B$6,MATCH(H716,Lists!$A$2:$A$6,0))</f>
        <v>المنطقة الغربية</v>
      </c>
      <c r="J716" s="30" t="s">
        <v>109</v>
      </c>
      <c r="K716" s="30" t="s">
        <v>175</v>
      </c>
      <c r="L716" s="31" t="n">
        <v>209</v>
      </c>
      <c r="M716" s="19" t="n">
        <v>1</v>
      </c>
      <c r="N716" s="32" t="n">
        <v>0</v>
      </c>
      <c r="O716" s="30" t="s">
        <v>52</v>
      </c>
      <c r="P716" s="30" t="s">
        <v>47</v>
      </c>
      <c r="Q716" s="30" t="s">
        <v>99</v>
      </c>
      <c r="R716" s="25" t="n">
        <f aca="false">L716*M716*(1-N716)</f>
        <v>209</v>
      </c>
    </row>
    <row r="717" customFormat="false" ht="15" hidden="false" customHeight="false" outlineLevel="0" collapsed="false">
      <c r="A717" s="30" t="s">
        <v>888</v>
      </c>
      <c r="B717" s="44" t="n">
        <v>45540</v>
      </c>
      <c r="C717" s="19" t="n">
        <f aca="false">YEAR(B717)</f>
        <v>2024</v>
      </c>
      <c r="D717" s="19" t="n">
        <f aca="false">MONTH(B717)</f>
        <v>9</v>
      </c>
      <c r="E717" s="30" t="str">
        <f aca="false">INDEX(Lists!$K$2:$K$13,MATCH(D717,Lists!$J$2:$J$13,0))</f>
        <v>سبتمبر</v>
      </c>
      <c r="F717" s="19" t="str">
        <f aca="false">"Q"&amp;ROUNDUP(D717/3,0)</f>
        <v>Q3</v>
      </c>
      <c r="G717" s="30" t="str">
        <f aca="false">INDEX(Lists!$N$2:$N$8,MATCH(WEEKDAY(B717,2),Lists!$M$2:$M$8,0))</f>
        <v>الخميس</v>
      </c>
      <c r="H717" s="30" t="s">
        <v>54</v>
      </c>
      <c r="I717" s="19" t="str">
        <f aca="false">INDEX(Lists!$B$2:$B$6,MATCH(H717,Lists!$A$2:$A$6,0))</f>
        <v>المنطقة الشرقية</v>
      </c>
      <c r="J717" s="30" t="s">
        <v>113</v>
      </c>
      <c r="K717" s="30" t="s">
        <v>121</v>
      </c>
      <c r="L717" s="31" t="n">
        <v>379</v>
      </c>
      <c r="M717" s="19" t="n">
        <v>3</v>
      </c>
      <c r="N717" s="32" t="n">
        <v>0.15</v>
      </c>
      <c r="O717" s="30" t="s">
        <v>48</v>
      </c>
      <c r="P717" s="30" t="s">
        <v>51</v>
      </c>
      <c r="Q717" s="30" t="s">
        <v>81</v>
      </c>
      <c r="R717" s="25" t="n">
        <f aca="false">L717*M717*(1-N717)</f>
        <v>966.45</v>
      </c>
    </row>
    <row r="718" customFormat="false" ht="15" hidden="false" customHeight="false" outlineLevel="0" collapsed="false">
      <c r="A718" s="30" t="s">
        <v>889</v>
      </c>
      <c r="B718" s="44" t="n">
        <v>45541</v>
      </c>
      <c r="C718" s="19" t="n">
        <f aca="false">YEAR(B718)</f>
        <v>2024</v>
      </c>
      <c r="D718" s="19" t="n">
        <f aca="false">MONTH(B718)</f>
        <v>9</v>
      </c>
      <c r="E718" s="30" t="str">
        <f aca="false">INDEX(Lists!$K$2:$K$13,MATCH(D718,Lists!$J$2:$J$13,0))</f>
        <v>سبتمبر</v>
      </c>
      <c r="F718" s="19" t="str">
        <f aca="false">"Q"&amp;ROUNDUP(D718/3,0)</f>
        <v>Q3</v>
      </c>
      <c r="G718" s="30" t="str">
        <f aca="false">INDEX(Lists!$N$2:$N$8,MATCH(WEEKDAY(B718,2),Lists!$M$2:$M$8,0))</f>
        <v>الجمعة</v>
      </c>
      <c r="H718" s="30" t="s">
        <v>46</v>
      </c>
      <c r="I718" s="19" t="str">
        <f aca="false">INDEX(Lists!$B$2:$B$6,MATCH(H718,Lists!$A$2:$A$6,0))</f>
        <v>المنطقة الوسطى</v>
      </c>
      <c r="J718" s="30" t="s">
        <v>113</v>
      </c>
      <c r="K718" s="30" t="s">
        <v>97</v>
      </c>
      <c r="L718" s="31" t="n">
        <v>769</v>
      </c>
      <c r="M718" s="19" t="n">
        <v>1</v>
      </c>
      <c r="N718" s="32" t="n">
        <v>0</v>
      </c>
      <c r="O718" s="30" t="s">
        <v>48</v>
      </c>
      <c r="P718" s="30" t="s">
        <v>47</v>
      </c>
      <c r="Q718" s="30" t="s">
        <v>86</v>
      </c>
      <c r="R718" s="25" t="n">
        <f aca="false">L718*M718*(1-N718)</f>
        <v>769</v>
      </c>
    </row>
    <row r="719" customFormat="false" ht="15" hidden="false" customHeight="false" outlineLevel="0" collapsed="false">
      <c r="A719" s="30" t="s">
        <v>890</v>
      </c>
      <c r="B719" s="44" t="n">
        <v>45542</v>
      </c>
      <c r="C719" s="19" t="n">
        <f aca="false">YEAR(B719)</f>
        <v>2024</v>
      </c>
      <c r="D719" s="19" t="n">
        <f aca="false">MONTH(B719)</f>
        <v>9</v>
      </c>
      <c r="E719" s="30" t="str">
        <f aca="false">INDEX(Lists!$K$2:$K$13,MATCH(D719,Lists!$J$2:$J$13,0))</f>
        <v>سبتمبر</v>
      </c>
      <c r="F719" s="19" t="str">
        <f aca="false">"Q"&amp;ROUNDUP(D719/3,0)</f>
        <v>Q3</v>
      </c>
      <c r="G719" s="30" t="str">
        <f aca="false">INDEX(Lists!$N$2:$N$8,MATCH(WEEKDAY(B719,2),Lists!$M$2:$M$8,0))</f>
        <v>السبت</v>
      </c>
      <c r="H719" s="30" t="s">
        <v>46</v>
      </c>
      <c r="I719" s="19" t="str">
        <f aca="false">INDEX(Lists!$B$2:$B$6,MATCH(H719,Lists!$A$2:$A$6,0))</f>
        <v>المنطقة الوسطى</v>
      </c>
      <c r="J719" s="30" t="s">
        <v>111</v>
      </c>
      <c r="K719" s="30" t="s">
        <v>120</v>
      </c>
      <c r="L719" s="31" t="n">
        <v>569</v>
      </c>
      <c r="M719" s="19" t="n">
        <v>1</v>
      </c>
      <c r="N719" s="32" t="n">
        <v>0</v>
      </c>
      <c r="O719" s="30" t="s">
        <v>52</v>
      </c>
      <c r="P719" s="30" t="s">
        <v>47</v>
      </c>
      <c r="Q719" s="30" t="s">
        <v>96</v>
      </c>
      <c r="R719" s="25" t="n">
        <f aca="false">L719*M719*(1-N719)</f>
        <v>569</v>
      </c>
    </row>
    <row r="720" customFormat="false" ht="15" hidden="false" customHeight="false" outlineLevel="0" collapsed="false">
      <c r="A720" s="30" t="s">
        <v>891</v>
      </c>
      <c r="B720" s="44" t="n">
        <v>45542</v>
      </c>
      <c r="C720" s="19" t="n">
        <f aca="false">YEAR(B720)</f>
        <v>2024</v>
      </c>
      <c r="D720" s="19" t="n">
        <f aca="false">MONTH(B720)</f>
        <v>9</v>
      </c>
      <c r="E720" s="30" t="str">
        <f aca="false">INDEX(Lists!$K$2:$K$13,MATCH(D720,Lists!$J$2:$J$13,0))</f>
        <v>سبتمبر</v>
      </c>
      <c r="F720" s="19" t="str">
        <f aca="false">"Q"&amp;ROUNDUP(D720/3,0)</f>
        <v>Q3</v>
      </c>
      <c r="G720" s="30" t="str">
        <f aca="false">INDEX(Lists!$N$2:$N$8,MATCH(WEEKDAY(B720,2),Lists!$M$2:$M$8,0))</f>
        <v>السبت</v>
      </c>
      <c r="H720" s="30" t="s">
        <v>46</v>
      </c>
      <c r="I720" s="19" t="str">
        <f aca="false">INDEX(Lists!$B$2:$B$6,MATCH(H720,Lists!$A$2:$A$6,0))</f>
        <v>المنطقة الوسطى</v>
      </c>
      <c r="J720" s="30" t="s">
        <v>109</v>
      </c>
      <c r="K720" s="30" t="s">
        <v>192</v>
      </c>
      <c r="L720" s="31" t="n">
        <v>189</v>
      </c>
      <c r="M720" s="19" t="n">
        <v>1</v>
      </c>
      <c r="N720" s="32" t="n">
        <v>0</v>
      </c>
      <c r="O720" s="30" t="s">
        <v>48</v>
      </c>
      <c r="P720" s="30" t="s">
        <v>47</v>
      </c>
      <c r="Q720" s="30" t="s">
        <v>81</v>
      </c>
      <c r="R720" s="25" t="n">
        <f aca="false">L720*M720*(1-N720)</f>
        <v>189</v>
      </c>
    </row>
    <row r="721" customFormat="false" ht="15" hidden="false" customHeight="false" outlineLevel="0" collapsed="false">
      <c r="A721" s="30" t="s">
        <v>892</v>
      </c>
      <c r="B721" s="44" t="n">
        <v>45542</v>
      </c>
      <c r="C721" s="19" t="n">
        <f aca="false">YEAR(B721)</f>
        <v>2024</v>
      </c>
      <c r="D721" s="19" t="n">
        <f aca="false">MONTH(B721)</f>
        <v>9</v>
      </c>
      <c r="E721" s="30" t="str">
        <f aca="false">INDEX(Lists!$K$2:$K$13,MATCH(D721,Lists!$J$2:$J$13,0))</f>
        <v>سبتمبر</v>
      </c>
      <c r="F721" s="19" t="str">
        <f aca="false">"Q"&amp;ROUNDUP(D721/3,0)</f>
        <v>Q3</v>
      </c>
      <c r="G721" s="30" t="str">
        <f aca="false">INDEX(Lists!$N$2:$N$8,MATCH(WEEKDAY(B721,2),Lists!$M$2:$M$8,0))</f>
        <v>السبت</v>
      </c>
      <c r="H721" s="30" t="s">
        <v>54</v>
      </c>
      <c r="I721" s="19" t="str">
        <f aca="false">INDEX(Lists!$B$2:$B$6,MATCH(H721,Lists!$A$2:$A$6,0))</f>
        <v>المنطقة الشرقية</v>
      </c>
      <c r="J721" s="30" t="s">
        <v>105</v>
      </c>
      <c r="K721" s="30" t="s">
        <v>179</v>
      </c>
      <c r="L721" s="31" t="n">
        <v>1089</v>
      </c>
      <c r="M721" s="19" t="n">
        <v>2</v>
      </c>
      <c r="N721" s="32" t="n">
        <v>0.15</v>
      </c>
      <c r="O721" s="30" t="s">
        <v>55</v>
      </c>
      <c r="P721" s="30" t="s">
        <v>51</v>
      </c>
      <c r="Q721" s="30" t="s">
        <v>92</v>
      </c>
      <c r="R721" s="25" t="n">
        <f aca="false">L721*M721*(1-N721)</f>
        <v>1851.3</v>
      </c>
    </row>
    <row r="722" customFormat="false" ht="15" hidden="false" customHeight="false" outlineLevel="0" collapsed="false">
      <c r="A722" s="30" t="s">
        <v>893</v>
      </c>
      <c r="B722" s="44" t="n">
        <v>45543</v>
      </c>
      <c r="C722" s="19" t="n">
        <f aca="false">YEAR(B722)</f>
        <v>2024</v>
      </c>
      <c r="D722" s="19" t="n">
        <f aca="false">MONTH(B722)</f>
        <v>9</v>
      </c>
      <c r="E722" s="30" t="str">
        <f aca="false">INDEX(Lists!$K$2:$K$13,MATCH(D722,Lists!$J$2:$J$13,0))</f>
        <v>سبتمبر</v>
      </c>
      <c r="F722" s="19" t="str">
        <f aca="false">"Q"&amp;ROUNDUP(D722/3,0)</f>
        <v>Q3</v>
      </c>
      <c r="G722" s="30" t="str">
        <f aca="false">INDEX(Lists!$N$2:$N$8,MATCH(WEEKDAY(B722,2),Lists!$M$2:$M$8,0))</f>
        <v>الأحد</v>
      </c>
      <c r="H722" s="30" t="s">
        <v>54</v>
      </c>
      <c r="I722" s="19" t="str">
        <f aca="false">INDEX(Lists!$B$2:$B$6,MATCH(H722,Lists!$A$2:$A$6,0))</f>
        <v>المنطقة الشرقية</v>
      </c>
      <c r="J722" s="30" t="s">
        <v>107</v>
      </c>
      <c r="K722" s="30" t="s">
        <v>115</v>
      </c>
      <c r="L722" s="31" t="n">
        <v>6599</v>
      </c>
      <c r="M722" s="19" t="n">
        <v>3</v>
      </c>
      <c r="N722" s="32" t="n">
        <v>0.05</v>
      </c>
      <c r="O722" s="30" t="s">
        <v>48</v>
      </c>
      <c r="P722" s="30" t="s">
        <v>47</v>
      </c>
      <c r="Q722" s="30" t="s">
        <v>89</v>
      </c>
      <c r="R722" s="25" t="n">
        <f aca="false">L722*M722*(1-N722)</f>
        <v>18807.15</v>
      </c>
    </row>
    <row r="723" customFormat="false" ht="15" hidden="false" customHeight="false" outlineLevel="0" collapsed="false">
      <c r="A723" s="30" t="s">
        <v>894</v>
      </c>
      <c r="B723" s="44" t="n">
        <v>45543</v>
      </c>
      <c r="C723" s="19" t="n">
        <f aca="false">YEAR(B723)</f>
        <v>2024</v>
      </c>
      <c r="D723" s="19" t="n">
        <f aca="false">MONTH(B723)</f>
        <v>9</v>
      </c>
      <c r="E723" s="30" t="str">
        <f aca="false">INDEX(Lists!$K$2:$K$13,MATCH(D723,Lists!$J$2:$J$13,0))</f>
        <v>سبتمبر</v>
      </c>
      <c r="F723" s="19" t="str">
        <f aca="false">"Q"&amp;ROUNDUP(D723/3,0)</f>
        <v>Q3</v>
      </c>
      <c r="G723" s="30" t="str">
        <f aca="false">INDEX(Lists!$N$2:$N$8,MATCH(WEEKDAY(B723,2),Lists!$M$2:$M$8,0))</f>
        <v>الأحد</v>
      </c>
      <c r="H723" s="30" t="s">
        <v>57</v>
      </c>
      <c r="I723" s="19" t="str">
        <f aca="false">INDEX(Lists!$B$2:$B$6,MATCH(H723,Lists!$A$2:$A$6,0))</f>
        <v>المنطقة الغربية</v>
      </c>
      <c r="J723" s="30" t="s">
        <v>113</v>
      </c>
      <c r="K723" s="30" t="s">
        <v>121</v>
      </c>
      <c r="L723" s="31" t="n">
        <v>829</v>
      </c>
      <c r="M723" s="19" t="n">
        <v>1</v>
      </c>
      <c r="N723" s="32" t="n">
        <v>0.1</v>
      </c>
      <c r="O723" s="30" t="s">
        <v>55</v>
      </c>
      <c r="P723" s="30" t="s">
        <v>47</v>
      </c>
      <c r="Q723" s="30" t="s">
        <v>96</v>
      </c>
      <c r="R723" s="25" t="n">
        <f aca="false">L723*M723*(1-N723)</f>
        <v>746.1</v>
      </c>
    </row>
    <row r="724" customFormat="false" ht="15" hidden="false" customHeight="false" outlineLevel="0" collapsed="false">
      <c r="A724" s="30" t="s">
        <v>895</v>
      </c>
      <c r="B724" s="44" t="n">
        <v>45543</v>
      </c>
      <c r="C724" s="19" t="n">
        <f aca="false">YEAR(B724)</f>
        <v>2024</v>
      </c>
      <c r="D724" s="19" t="n">
        <f aca="false">MONTH(B724)</f>
        <v>9</v>
      </c>
      <c r="E724" s="30" t="str">
        <f aca="false">INDEX(Lists!$K$2:$K$13,MATCH(D724,Lists!$J$2:$J$13,0))</f>
        <v>سبتمبر</v>
      </c>
      <c r="F724" s="19" t="str">
        <f aca="false">"Q"&amp;ROUNDUP(D724/3,0)</f>
        <v>Q3</v>
      </c>
      <c r="G724" s="30" t="str">
        <f aca="false">INDEX(Lists!$N$2:$N$8,MATCH(WEEKDAY(B724,2),Lists!$M$2:$M$8,0))</f>
        <v>الأحد</v>
      </c>
      <c r="H724" s="30" t="s">
        <v>50</v>
      </c>
      <c r="I724" s="19" t="str">
        <f aca="false">INDEX(Lists!$B$2:$B$6,MATCH(H724,Lists!$A$2:$A$6,0))</f>
        <v>المنطقة الغربية</v>
      </c>
      <c r="J724" s="30" t="s">
        <v>107</v>
      </c>
      <c r="K724" s="30" t="s">
        <v>184</v>
      </c>
      <c r="L724" s="31" t="n">
        <v>3699</v>
      </c>
      <c r="M724" s="19" t="n">
        <v>3</v>
      </c>
      <c r="N724" s="32" t="n">
        <v>0.05</v>
      </c>
      <c r="O724" s="30" t="s">
        <v>52</v>
      </c>
      <c r="P724" s="30" t="s">
        <v>47</v>
      </c>
      <c r="Q724" s="30" t="s">
        <v>89</v>
      </c>
      <c r="R724" s="25" t="n">
        <f aca="false">L724*M724*(1-N724)</f>
        <v>10542.15</v>
      </c>
    </row>
    <row r="725" customFormat="false" ht="15" hidden="false" customHeight="false" outlineLevel="0" collapsed="false">
      <c r="A725" s="30" t="s">
        <v>896</v>
      </c>
      <c r="B725" s="44" t="n">
        <v>45544</v>
      </c>
      <c r="C725" s="19" t="n">
        <f aca="false">YEAR(B725)</f>
        <v>2024</v>
      </c>
      <c r="D725" s="19" t="n">
        <f aca="false">MONTH(B725)</f>
        <v>9</v>
      </c>
      <c r="E725" s="30" t="str">
        <f aca="false">INDEX(Lists!$K$2:$K$13,MATCH(D725,Lists!$J$2:$J$13,0))</f>
        <v>سبتمبر</v>
      </c>
      <c r="F725" s="19" t="str">
        <f aca="false">"Q"&amp;ROUNDUP(D725/3,0)</f>
        <v>Q3</v>
      </c>
      <c r="G725" s="30" t="str">
        <f aca="false">INDEX(Lists!$N$2:$N$8,MATCH(WEEKDAY(B725,2),Lists!$M$2:$M$8,0))</f>
        <v>الإثنين</v>
      </c>
      <c r="H725" s="30" t="s">
        <v>50</v>
      </c>
      <c r="I725" s="19" t="str">
        <f aca="false">INDEX(Lists!$B$2:$B$6,MATCH(H725,Lists!$A$2:$A$6,0))</f>
        <v>المنطقة الغربية</v>
      </c>
      <c r="J725" s="30" t="s">
        <v>105</v>
      </c>
      <c r="K725" s="30" t="s">
        <v>79</v>
      </c>
      <c r="L725" s="31" t="n">
        <v>3349</v>
      </c>
      <c r="M725" s="19" t="n">
        <v>2</v>
      </c>
      <c r="N725" s="32" t="n">
        <v>0</v>
      </c>
      <c r="O725" s="30" t="s">
        <v>55</v>
      </c>
      <c r="P725" s="30" t="s">
        <v>47</v>
      </c>
      <c r="Q725" s="30" t="s">
        <v>89</v>
      </c>
      <c r="R725" s="25" t="n">
        <f aca="false">L725*M725*(1-N725)</f>
        <v>6698</v>
      </c>
    </row>
    <row r="726" customFormat="false" ht="15" hidden="false" customHeight="false" outlineLevel="0" collapsed="false">
      <c r="A726" s="30" t="s">
        <v>897</v>
      </c>
      <c r="B726" s="44" t="n">
        <v>45544</v>
      </c>
      <c r="C726" s="19" t="n">
        <f aca="false">YEAR(B726)</f>
        <v>2024</v>
      </c>
      <c r="D726" s="19" t="n">
        <f aca="false">MONTH(B726)</f>
        <v>9</v>
      </c>
      <c r="E726" s="30" t="str">
        <f aca="false">INDEX(Lists!$K$2:$K$13,MATCH(D726,Lists!$J$2:$J$13,0))</f>
        <v>سبتمبر</v>
      </c>
      <c r="F726" s="19" t="str">
        <f aca="false">"Q"&amp;ROUNDUP(D726/3,0)</f>
        <v>Q3</v>
      </c>
      <c r="G726" s="30" t="str">
        <f aca="false">INDEX(Lists!$N$2:$N$8,MATCH(WEEKDAY(B726,2),Lists!$M$2:$M$8,0))</f>
        <v>الإثنين</v>
      </c>
      <c r="H726" s="30" t="s">
        <v>50</v>
      </c>
      <c r="I726" s="19" t="str">
        <f aca="false">INDEX(Lists!$B$2:$B$6,MATCH(H726,Lists!$A$2:$A$6,0))</f>
        <v>المنطقة الغربية</v>
      </c>
      <c r="J726" s="30" t="s">
        <v>113</v>
      </c>
      <c r="K726" s="30" t="s">
        <v>121</v>
      </c>
      <c r="L726" s="31" t="n">
        <v>269</v>
      </c>
      <c r="M726" s="19" t="n">
        <v>1</v>
      </c>
      <c r="N726" s="32" t="n">
        <v>0.1</v>
      </c>
      <c r="O726" s="30" t="s">
        <v>48</v>
      </c>
      <c r="P726" s="30" t="s">
        <v>47</v>
      </c>
      <c r="Q726" s="30" t="s">
        <v>84</v>
      </c>
      <c r="R726" s="25" t="n">
        <f aca="false">L726*M726*(1-N726)</f>
        <v>242.1</v>
      </c>
    </row>
    <row r="727" customFormat="false" ht="15" hidden="false" customHeight="false" outlineLevel="0" collapsed="false">
      <c r="A727" s="30" t="s">
        <v>898</v>
      </c>
      <c r="B727" s="44" t="n">
        <v>45544</v>
      </c>
      <c r="C727" s="19" t="n">
        <f aca="false">YEAR(B727)</f>
        <v>2024</v>
      </c>
      <c r="D727" s="19" t="n">
        <f aca="false">MONTH(B727)</f>
        <v>9</v>
      </c>
      <c r="E727" s="30" t="str">
        <f aca="false">INDEX(Lists!$K$2:$K$13,MATCH(D727,Lists!$J$2:$J$13,0))</f>
        <v>سبتمبر</v>
      </c>
      <c r="F727" s="19" t="str">
        <f aca="false">"Q"&amp;ROUNDUP(D727/3,0)</f>
        <v>Q3</v>
      </c>
      <c r="G727" s="30" t="str">
        <f aca="false">INDEX(Lists!$N$2:$N$8,MATCH(WEEKDAY(B727,2),Lists!$M$2:$M$8,0))</f>
        <v>الإثنين</v>
      </c>
      <c r="H727" s="30" t="s">
        <v>60</v>
      </c>
      <c r="I727" s="19" t="str">
        <f aca="false">INDEX(Lists!$B$2:$B$6,MATCH(H727,Lists!$A$2:$A$6,0))</f>
        <v>المنطقة الغربية</v>
      </c>
      <c r="J727" s="30" t="s">
        <v>105</v>
      </c>
      <c r="K727" s="30" t="s">
        <v>179</v>
      </c>
      <c r="L727" s="31" t="n">
        <v>1719</v>
      </c>
      <c r="M727" s="19" t="n">
        <v>8</v>
      </c>
      <c r="N727" s="32" t="n">
        <v>0.1</v>
      </c>
      <c r="O727" s="30" t="s">
        <v>55</v>
      </c>
      <c r="P727" s="30" t="s">
        <v>51</v>
      </c>
      <c r="Q727" s="30" t="s">
        <v>86</v>
      </c>
      <c r="R727" s="25" t="n">
        <f aca="false">L727*M727*(1-N727)</f>
        <v>12376.8</v>
      </c>
    </row>
    <row r="728" customFormat="false" ht="15" hidden="false" customHeight="false" outlineLevel="0" collapsed="false">
      <c r="A728" s="30" t="s">
        <v>899</v>
      </c>
      <c r="B728" s="44" t="n">
        <v>45544</v>
      </c>
      <c r="C728" s="19" t="n">
        <f aca="false">YEAR(B728)</f>
        <v>2024</v>
      </c>
      <c r="D728" s="19" t="n">
        <f aca="false">MONTH(B728)</f>
        <v>9</v>
      </c>
      <c r="E728" s="30" t="str">
        <f aca="false">INDEX(Lists!$K$2:$K$13,MATCH(D728,Lists!$J$2:$J$13,0))</f>
        <v>سبتمبر</v>
      </c>
      <c r="F728" s="19" t="str">
        <f aca="false">"Q"&amp;ROUNDUP(D728/3,0)</f>
        <v>Q3</v>
      </c>
      <c r="G728" s="30" t="str">
        <f aca="false">INDEX(Lists!$N$2:$N$8,MATCH(WEEKDAY(B728,2),Lists!$M$2:$M$8,0))</f>
        <v>الإثنين</v>
      </c>
      <c r="H728" s="30" t="s">
        <v>60</v>
      </c>
      <c r="I728" s="19" t="str">
        <f aca="false">INDEX(Lists!$B$2:$B$6,MATCH(H728,Lists!$A$2:$A$6,0))</f>
        <v>المنطقة الغربية</v>
      </c>
      <c r="J728" s="30" t="s">
        <v>109</v>
      </c>
      <c r="K728" s="30" t="s">
        <v>192</v>
      </c>
      <c r="L728" s="31" t="n">
        <v>229</v>
      </c>
      <c r="M728" s="19" t="n">
        <v>1</v>
      </c>
      <c r="N728" s="32" t="n">
        <v>0.1</v>
      </c>
      <c r="O728" s="30" t="s">
        <v>48</v>
      </c>
      <c r="P728" s="30" t="s">
        <v>47</v>
      </c>
      <c r="Q728" s="30" t="s">
        <v>84</v>
      </c>
      <c r="R728" s="25" t="n">
        <f aca="false">L728*M728*(1-N728)</f>
        <v>206.1</v>
      </c>
    </row>
    <row r="729" customFormat="false" ht="15" hidden="false" customHeight="false" outlineLevel="0" collapsed="false">
      <c r="A729" s="30" t="s">
        <v>900</v>
      </c>
      <c r="B729" s="44" t="n">
        <v>45545</v>
      </c>
      <c r="C729" s="19" t="n">
        <f aca="false">YEAR(B729)</f>
        <v>2024</v>
      </c>
      <c r="D729" s="19" t="n">
        <f aca="false">MONTH(B729)</f>
        <v>9</v>
      </c>
      <c r="E729" s="30" t="str">
        <f aca="false">INDEX(Lists!$K$2:$K$13,MATCH(D729,Lists!$J$2:$J$13,0))</f>
        <v>سبتمبر</v>
      </c>
      <c r="F729" s="19" t="str">
        <f aca="false">"Q"&amp;ROUNDUP(D729/3,0)</f>
        <v>Q3</v>
      </c>
      <c r="G729" s="30" t="str">
        <f aca="false">INDEX(Lists!$N$2:$N$8,MATCH(WEEKDAY(B729,2),Lists!$M$2:$M$8,0))</f>
        <v>الثلاثاء</v>
      </c>
      <c r="H729" s="30" t="s">
        <v>50</v>
      </c>
      <c r="I729" s="19" t="str">
        <f aca="false">INDEX(Lists!$B$2:$B$6,MATCH(H729,Lists!$A$2:$A$6,0))</f>
        <v>المنطقة الغربية</v>
      </c>
      <c r="J729" s="30" t="s">
        <v>105</v>
      </c>
      <c r="K729" s="30" t="s">
        <v>79</v>
      </c>
      <c r="L729" s="31" t="n">
        <v>4199</v>
      </c>
      <c r="M729" s="19" t="n">
        <v>1</v>
      </c>
      <c r="N729" s="32" t="n">
        <v>0.05</v>
      </c>
      <c r="O729" s="30" t="s">
        <v>52</v>
      </c>
      <c r="P729" s="30" t="s">
        <v>47</v>
      </c>
      <c r="Q729" s="30" t="s">
        <v>86</v>
      </c>
      <c r="R729" s="25" t="n">
        <f aca="false">L729*M729*(1-N729)</f>
        <v>3989.05</v>
      </c>
    </row>
    <row r="730" customFormat="false" ht="15" hidden="false" customHeight="false" outlineLevel="0" collapsed="false">
      <c r="A730" s="30" t="s">
        <v>901</v>
      </c>
      <c r="B730" s="44" t="n">
        <v>45547</v>
      </c>
      <c r="C730" s="19" t="n">
        <f aca="false">YEAR(B730)</f>
        <v>2024</v>
      </c>
      <c r="D730" s="19" t="n">
        <f aca="false">MONTH(B730)</f>
        <v>9</v>
      </c>
      <c r="E730" s="30" t="str">
        <f aca="false">INDEX(Lists!$K$2:$K$13,MATCH(D730,Lists!$J$2:$J$13,0))</f>
        <v>سبتمبر</v>
      </c>
      <c r="F730" s="19" t="str">
        <f aca="false">"Q"&amp;ROUNDUP(D730/3,0)</f>
        <v>Q3</v>
      </c>
      <c r="G730" s="30" t="str">
        <f aca="false">INDEX(Lists!$N$2:$N$8,MATCH(WEEKDAY(B730,2),Lists!$M$2:$M$8,0))</f>
        <v>الخميس</v>
      </c>
      <c r="H730" s="30" t="s">
        <v>46</v>
      </c>
      <c r="I730" s="19" t="str">
        <f aca="false">INDEX(Lists!$B$2:$B$6,MATCH(H730,Lists!$A$2:$A$6,0))</f>
        <v>المنطقة الوسطى</v>
      </c>
      <c r="J730" s="30" t="s">
        <v>109</v>
      </c>
      <c r="K730" s="30" t="s">
        <v>93</v>
      </c>
      <c r="L730" s="31" t="n">
        <v>69</v>
      </c>
      <c r="M730" s="19" t="n">
        <v>1</v>
      </c>
      <c r="N730" s="32" t="n">
        <v>0.1</v>
      </c>
      <c r="O730" s="30" t="s">
        <v>48</v>
      </c>
      <c r="P730" s="30" t="s">
        <v>47</v>
      </c>
      <c r="Q730" s="30" t="s">
        <v>76</v>
      </c>
      <c r="R730" s="25" t="n">
        <f aca="false">L730*M730*(1-N730)</f>
        <v>62.1</v>
      </c>
    </row>
    <row r="731" customFormat="false" ht="15" hidden="false" customHeight="false" outlineLevel="0" collapsed="false">
      <c r="A731" s="30" t="s">
        <v>902</v>
      </c>
      <c r="B731" s="44" t="n">
        <v>45547</v>
      </c>
      <c r="C731" s="19" t="n">
        <f aca="false">YEAR(B731)</f>
        <v>2024</v>
      </c>
      <c r="D731" s="19" t="n">
        <f aca="false">MONTH(B731)</f>
        <v>9</v>
      </c>
      <c r="E731" s="30" t="str">
        <f aca="false">INDEX(Lists!$K$2:$K$13,MATCH(D731,Lists!$J$2:$J$13,0))</f>
        <v>سبتمبر</v>
      </c>
      <c r="F731" s="19" t="str">
        <f aca="false">"Q"&amp;ROUNDUP(D731/3,0)</f>
        <v>Q3</v>
      </c>
      <c r="G731" s="30" t="str">
        <f aca="false">INDEX(Lists!$N$2:$N$8,MATCH(WEEKDAY(B731,2),Lists!$M$2:$M$8,0))</f>
        <v>الخميس</v>
      </c>
      <c r="H731" s="30" t="s">
        <v>50</v>
      </c>
      <c r="I731" s="19" t="str">
        <f aca="false">INDEX(Lists!$B$2:$B$6,MATCH(H731,Lists!$A$2:$A$6,0))</f>
        <v>المنطقة الغربية</v>
      </c>
      <c r="J731" s="30" t="s">
        <v>111</v>
      </c>
      <c r="K731" s="30" t="s">
        <v>118</v>
      </c>
      <c r="L731" s="31" t="n">
        <v>239</v>
      </c>
      <c r="M731" s="19" t="n">
        <v>2</v>
      </c>
      <c r="N731" s="32" t="n">
        <v>0</v>
      </c>
      <c r="O731" s="30" t="s">
        <v>48</v>
      </c>
      <c r="P731" s="30" t="s">
        <v>47</v>
      </c>
      <c r="Q731" s="30" t="s">
        <v>99</v>
      </c>
      <c r="R731" s="25" t="n">
        <f aca="false">L731*M731*(1-N731)</f>
        <v>478</v>
      </c>
    </row>
    <row r="732" customFormat="false" ht="15" hidden="false" customHeight="false" outlineLevel="0" collapsed="false">
      <c r="A732" s="30" t="s">
        <v>903</v>
      </c>
      <c r="B732" s="44" t="n">
        <v>45547</v>
      </c>
      <c r="C732" s="19" t="n">
        <f aca="false">YEAR(B732)</f>
        <v>2024</v>
      </c>
      <c r="D732" s="19" t="n">
        <f aca="false">MONTH(B732)</f>
        <v>9</v>
      </c>
      <c r="E732" s="30" t="str">
        <f aca="false">INDEX(Lists!$K$2:$K$13,MATCH(D732,Lists!$J$2:$J$13,0))</f>
        <v>سبتمبر</v>
      </c>
      <c r="F732" s="19" t="str">
        <f aca="false">"Q"&amp;ROUNDUP(D732/3,0)</f>
        <v>Q3</v>
      </c>
      <c r="G732" s="30" t="str">
        <f aca="false">INDEX(Lists!$N$2:$N$8,MATCH(WEEKDAY(B732,2),Lists!$M$2:$M$8,0))</f>
        <v>الخميس</v>
      </c>
      <c r="H732" s="30" t="s">
        <v>54</v>
      </c>
      <c r="I732" s="19" t="str">
        <f aca="false">INDEX(Lists!$B$2:$B$6,MATCH(H732,Lists!$A$2:$A$6,0))</f>
        <v>المنطقة الشرقية</v>
      </c>
      <c r="J732" s="30" t="s">
        <v>105</v>
      </c>
      <c r="K732" s="30" t="s">
        <v>179</v>
      </c>
      <c r="L732" s="31" t="n">
        <v>1969</v>
      </c>
      <c r="M732" s="19" t="n">
        <v>1</v>
      </c>
      <c r="N732" s="32" t="n">
        <v>0</v>
      </c>
      <c r="O732" s="30" t="s">
        <v>52</v>
      </c>
      <c r="P732" s="30" t="s">
        <v>47</v>
      </c>
      <c r="Q732" s="30" t="s">
        <v>76</v>
      </c>
      <c r="R732" s="25" t="n">
        <f aca="false">L732*M732*(1-N732)</f>
        <v>1969</v>
      </c>
    </row>
    <row r="733" customFormat="false" ht="15" hidden="false" customHeight="false" outlineLevel="0" collapsed="false">
      <c r="A733" s="30" t="s">
        <v>904</v>
      </c>
      <c r="B733" s="44" t="n">
        <v>45548</v>
      </c>
      <c r="C733" s="19" t="n">
        <f aca="false">YEAR(B733)</f>
        <v>2024</v>
      </c>
      <c r="D733" s="19" t="n">
        <f aca="false">MONTH(B733)</f>
        <v>9</v>
      </c>
      <c r="E733" s="30" t="str">
        <f aca="false">INDEX(Lists!$K$2:$K$13,MATCH(D733,Lists!$J$2:$J$13,0))</f>
        <v>سبتمبر</v>
      </c>
      <c r="F733" s="19" t="str">
        <f aca="false">"Q"&amp;ROUNDUP(D733/3,0)</f>
        <v>Q3</v>
      </c>
      <c r="G733" s="30" t="str">
        <f aca="false">INDEX(Lists!$N$2:$N$8,MATCH(WEEKDAY(B733,2),Lists!$M$2:$M$8,0))</f>
        <v>الجمعة</v>
      </c>
      <c r="H733" s="30" t="s">
        <v>50</v>
      </c>
      <c r="I733" s="19" t="str">
        <f aca="false">INDEX(Lists!$B$2:$B$6,MATCH(H733,Lists!$A$2:$A$6,0))</f>
        <v>المنطقة الغربية</v>
      </c>
      <c r="J733" s="30" t="s">
        <v>113</v>
      </c>
      <c r="K733" s="30" t="s">
        <v>100</v>
      </c>
      <c r="L733" s="31" t="n">
        <v>739</v>
      </c>
      <c r="M733" s="19" t="n">
        <v>2</v>
      </c>
      <c r="N733" s="32" t="n">
        <v>0</v>
      </c>
      <c r="O733" s="30" t="s">
        <v>48</v>
      </c>
      <c r="P733" s="30" t="s">
        <v>47</v>
      </c>
      <c r="Q733" s="30" t="s">
        <v>94</v>
      </c>
      <c r="R733" s="25" t="n">
        <f aca="false">L733*M733*(1-N733)</f>
        <v>1478</v>
      </c>
    </row>
    <row r="734" customFormat="false" ht="15" hidden="false" customHeight="false" outlineLevel="0" collapsed="false">
      <c r="A734" s="30" t="s">
        <v>905</v>
      </c>
      <c r="B734" s="44" t="n">
        <v>45548</v>
      </c>
      <c r="C734" s="19" t="n">
        <f aca="false">YEAR(B734)</f>
        <v>2024</v>
      </c>
      <c r="D734" s="19" t="n">
        <f aca="false">MONTH(B734)</f>
        <v>9</v>
      </c>
      <c r="E734" s="30" t="str">
        <f aca="false">INDEX(Lists!$K$2:$K$13,MATCH(D734,Lists!$J$2:$J$13,0))</f>
        <v>سبتمبر</v>
      </c>
      <c r="F734" s="19" t="str">
        <f aca="false">"Q"&amp;ROUNDUP(D734/3,0)</f>
        <v>Q3</v>
      </c>
      <c r="G734" s="30" t="str">
        <f aca="false">INDEX(Lists!$N$2:$N$8,MATCH(WEEKDAY(B734,2),Lists!$M$2:$M$8,0))</f>
        <v>الجمعة</v>
      </c>
      <c r="H734" s="30" t="s">
        <v>50</v>
      </c>
      <c r="I734" s="19" t="str">
        <f aca="false">INDEX(Lists!$B$2:$B$6,MATCH(H734,Lists!$A$2:$A$6,0))</f>
        <v>المنطقة الغربية</v>
      </c>
      <c r="J734" s="30" t="s">
        <v>113</v>
      </c>
      <c r="K734" s="30" t="s">
        <v>95</v>
      </c>
      <c r="L734" s="31" t="n">
        <v>769</v>
      </c>
      <c r="M734" s="19" t="n">
        <v>1</v>
      </c>
      <c r="N734" s="32" t="n">
        <v>0.15</v>
      </c>
      <c r="O734" s="30" t="s">
        <v>52</v>
      </c>
      <c r="P734" s="30" t="s">
        <v>47</v>
      </c>
      <c r="Q734" s="30" t="s">
        <v>94</v>
      </c>
      <c r="R734" s="25" t="n">
        <f aca="false">L734*M734*(1-N734)</f>
        <v>653.65</v>
      </c>
    </row>
    <row r="735" customFormat="false" ht="15" hidden="false" customHeight="false" outlineLevel="0" collapsed="false">
      <c r="A735" s="30" t="s">
        <v>906</v>
      </c>
      <c r="B735" s="44" t="n">
        <v>45548</v>
      </c>
      <c r="C735" s="19" t="n">
        <f aca="false">YEAR(B735)</f>
        <v>2024</v>
      </c>
      <c r="D735" s="19" t="n">
        <f aca="false">MONTH(B735)</f>
        <v>9</v>
      </c>
      <c r="E735" s="30" t="str">
        <f aca="false">INDEX(Lists!$K$2:$K$13,MATCH(D735,Lists!$J$2:$J$13,0))</f>
        <v>سبتمبر</v>
      </c>
      <c r="F735" s="19" t="str">
        <f aca="false">"Q"&amp;ROUNDUP(D735/3,0)</f>
        <v>Q3</v>
      </c>
      <c r="G735" s="30" t="str">
        <f aca="false">INDEX(Lists!$N$2:$N$8,MATCH(WEEKDAY(B735,2),Lists!$M$2:$M$8,0))</f>
        <v>الجمعة</v>
      </c>
      <c r="H735" s="30" t="s">
        <v>46</v>
      </c>
      <c r="I735" s="19" t="str">
        <f aca="false">INDEX(Lists!$B$2:$B$6,MATCH(H735,Lists!$A$2:$A$6,0))</f>
        <v>المنطقة الوسطى</v>
      </c>
      <c r="J735" s="30" t="s">
        <v>109</v>
      </c>
      <c r="K735" s="30" t="s">
        <v>110</v>
      </c>
      <c r="L735" s="31" t="n">
        <v>199</v>
      </c>
      <c r="M735" s="19" t="n">
        <v>3</v>
      </c>
      <c r="N735" s="32" t="n">
        <v>0.1</v>
      </c>
      <c r="O735" s="30" t="s">
        <v>58</v>
      </c>
      <c r="P735" s="30" t="s">
        <v>47</v>
      </c>
      <c r="Q735" s="30" t="s">
        <v>76</v>
      </c>
      <c r="R735" s="25" t="n">
        <f aca="false">L735*M735*(1-N735)</f>
        <v>537.3</v>
      </c>
    </row>
    <row r="736" customFormat="false" ht="15" hidden="false" customHeight="false" outlineLevel="0" collapsed="false">
      <c r="A736" s="30" t="s">
        <v>907</v>
      </c>
      <c r="B736" s="44" t="n">
        <v>45548</v>
      </c>
      <c r="C736" s="19" t="n">
        <f aca="false">YEAR(B736)</f>
        <v>2024</v>
      </c>
      <c r="D736" s="19" t="n">
        <f aca="false">MONTH(B736)</f>
        <v>9</v>
      </c>
      <c r="E736" s="30" t="str">
        <f aca="false">INDEX(Lists!$K$2:$K$13,MATCH(D736,Lists!$J$2:$J$13,0))</f>
        <v>سبتمبر</v>
      </c>
      <c r="F736" s="19" t="str">
        <f aca="false">"Q"&amp;ROUNDUP(D736/3,0)</f>
        <v>Q3</v>
      </c>
      <c r="G736" s="30" t="str">
        <f aca="false">INDEX(Lists!$N$2:$N$8,MATCH(WEEKDAY(B736,2),Lists!$M$2:$M$8,0))</f>
        <v>الجمعة</v>
      </c>
      <c r="H736" s="30" t="s">
        <v>46</v>
      </c>
      <c r="I736" s="19" t="str">
        <f aca="false">INDEX(Lists!$B$2:$B$6,MATCH(H736,Lists!$A$2:$A$6,0))</f>
        <v>المنطقة الوسطى</v>
      </c>
      <c r="J736" s="30" t="s">
        <v>105</v>
      </c>
      <c r="K736" s="30" t="s">
        <v>79</v>
      </c>
      <c r="L736" s="31" t="n">
        <v>2829</v>
      </c>
      <c r="M736" s="19" t="n">
        <v>1</v>
      </c>
      <c r="N736" s="32" t="n">
        <v>0</v>
      </c>
      <c r="O736" s="30" t="s">
        <v>55</v>
      </c>
      <c r="P736" s="30" t="s">
        <v>47</v>
      </c>
      <c r="Q736" s="30" t="s">
        <v>84</v>
      </c>
      <c r="R736" s="25" t="n">
        <f aca="false">L736*M736*(1-N736)</f>
        <v>2829</v>
      </c>
    </row>
    <row r="737" customFormat="false" ht="15" hidden="false" customHeight="false" outlineLevel="0" collapsed="false">
      <c r="A737" s="30" t="s">
        <v>908</v>
      </c>
      <c r="B737" s="44" t="n">
        <v>45549</v>
      </c>
      <c r="C737" s="19" t="n">
        <f aca="false">YEAR(B737)</f>
        <v>2024</v>
      </c>
      <c r="D737" s="19" t="n">
        <f aca="false">MONTH(B737)</f>
        <v>9</v>
      </c>
      <c r="E737" s="30" t="str">
        <f aca="false">INDEX(Lists!$K$2:$K$13,MATCH(D737,Lists!$J$2:$J$13,0))</f>
        <v>سبتمبر</v>
      </c>
      <c r="F737" s="19" t="str">
        <f aca="false">"Q"&amp;ROUNDUP(D737/3,0)</f>
        <v>Q3</v>
      </c>
      <c r="G737" s="30" t="str">
        <f aca="false">INDEX(Lists!$N$2:$N$8,MATCH(WEEKDAY(B737,2),Lists!$M$2:$M$8,0))</f>
        <v>السبت</v>
      </c>
      <c r="H737" s="30" t="s">
        <v>46</v>
      </c>
      <c r="I737" s="19" t="str">
        <f aca="false">INDEX(Lists!$B$2:$B$6,MATCH(H737,Lists!$A$2:$A$6,0))</f>
        <v>المنطقة الوسطى</v>
      </c>
      <c r="J737" s="30" t="s">
        <v>107</v>
      </c>
      <c r="K737" s="30" t="s">
        <v>184</v>
      </c>
      <c r="L737" s="31" t="n">
        <v>2729</v>
      </c>
      <c r="M737" s="19" t="n">
        <v>1</v>
      </c>
      <c r="N737" s="32" t="n">
        <v>0</v>
      </c>
      <c r="O737" s="30" t="s">
        <v>48</v>
      </c>
      <c r="P737" s="30" t="s">
        <v>47</v>
      </c>
      <c r="Q737" s="30" t="s">
        <v>99</v>
      </c>
      <c r="R737" s="25" t="n">
        <f aca="false">L737*M737*(1-N737)</f>
        <v>2729</v>
      </c>
    </row>
    <row r="738" customFormat="false" ht="15" hidden="false" customHeight="false" outlineLevel="0" collapsed="false">
      <c r="A738" s="30" t="s">
        <v>909</v>
      </c>
      <c r="B738" s="44" t="n">
        <v>45550</v>
      </c>
      <c r="C738" s="19" t="n">
        <f aca="false">YEAR(B738)</f>
        <v>2024</v>
      </c>
      <c r="D738" s="19" t="n">
        <f aca="false">MONTH(B738)</f>
        <v>9</v>
      </c>
      <c r="E738" s="30" t="str">
        <f aca="false">INDEX(Lists!$K$2:$K$13,MATCH(D738,Lists!$J$2:$J$13,0))</f>
        <v>سبتمبر</v>
      </c>
      <c r="F738" s="19" t="str">
        <f aca="false">"Q"&amp;ROUNDUP(D738/3,0)</f>
        <v>Q3</v>
      </c>
      <c r="G738" s="30" t="str">
        <f aca="false">INDEX(Lists!$N$2:$N$8,MATCH(WEEKDAY(B738,2),Lists!$M$2:$M$8,0))</f>
        <v>الأحد</v>
      </c>
      <c r="H738" s="30" t="s">
        <v>57</v>
      </c>
      <c r="I738" s="19" t="str">
        <f aca="false">INDEX(Lists!$B$2:$B$6,MATCH(H738,Lists!$A$2:$A$6,0))</f>
        <v>المنطقة الغربية</v>
      </c>
      <c r="J738" s="30" t="s">
        <v>105</v>
      </c>
      <c r="K738" s="30" t="s">
        <v>179</v>
      </c>
      <c r="L738" s="31" t="n">
        <v>939</v>
      </c>
      <c r="M738" s="19" t="n">
        <v>2</v>
      </c>
      <c r="N738" s="32" t="n">
        <v>0</v>
      </c>
      <c r="O738" s="30" t="s">
        <v>52</v>
      </c>
      <c r="P738" s="30" t="s">
        <v>51</v>
      </c>
      <c r="Q738" s="30" t="s">
        <v>96</v>
      </c>
      <c r="R738" s="25" t="n">
        <f aca="false">L738*M738*(1-N738)</f>
        <v>1878</v>
      </c>
    </row>
    <row r="739" customFormat="false" ht="15" hidden="false" customHeight="false" outlineLevel="0" collapsed="false">
      <c r="A739" s="30" t="s">
        <v>910</v>
      </c>
      <c r="B739" s="44" t="n">
        <v>45550</v>
      </c>
      <c r="C739" s="19" t="n">
        <f aca="false">YEAR(B739)</f>
        <v>2024</v>
      </c>
      <c r="D739" s="19" t="n">
        <f aca="false">MONTH(B739)</f>
        <v>9</v>
      </c>
      <c r="E739" s="30" t="str">
        <f aca="false">INDEX(Lists!$K$2:$K$13,MATCH(D739,Lists!$J$2:$J$13,0))</f>
        <v>سبتمبر</v>
      </c>
      <c r="F739" s="19" t="str">
        <f aca="false">"Q"&amp;ROUNDUP(D739/3,0)</f>
        <v>Q3</v>
      </c>
      <c r="G739" s="30" t="str">
        <f aca="false">INDEX(Lists!$N$2:$N$8,MATCH(WEEKDAY(B739,2),Lists!$M$2:$M$8,0))</f>
        <v>الأحد</v>
      </c>
      <c r="H739" s="30" t="s">
        <v>50</v>
      </c>
      <c r="I739" s="19" t="str">
        <f aca="false">INDEX(Lists!$B$2:$B$6,MATCH(H739,Lists!$A$2:$A$6,0))</f>
        <v>المنطقة الغربية</v>
      </c>
      <c r="J739" s="30" t="s">
        <v>109</v>
      </c>
      <c r="K739" s="30" t="s">
        <v>93</v>
      </c>
      <c r="L739" s="31" t="n">
        <v>89</v>
      </c>
      <c r="M739" s="19" t="n">
        <v>1</v>
      </c>
      <c r="N739" s="32" t="n">
        <v>0.2</v>
      </c>
      <c r="O739" s="30" t="s">
        <v>52</v>
      </c>
      <c r="P739" s="30" t="s">
        <v>47</v>
      </c>
      <c r="Q739" s="30" t="s">
        <v>78</v>
      </c>
      <c r="R739" s="25" t="n">
        <f aca="false">L739*M739*(1-N739)</f>
        <v>71.2</v>
      </c>
    </row>
    <row r="740" customFormat="false" ht="15" hidden="false" customHeight="false" outlineLevel="0" collapsed="false">
      <c r="A740" s="30" t="s">
        <v>911</v>
      </c>
      <c r="B740" s="44" t="n">
        <v>45550</v>
      </c>
      <c r="C740" s="19" t="n">
        <f aca="false">YEAR(B740)</f>
        <v>2024</v>
      </c>
      <c r="D740" s="19" t="n">
        <f aca="false">MONTH(B740)</f>
        <v>9</v>
      </c>
      <c r="E740" s="30" t="str">
        <f aca="false">INDEX(Lists!$K$2:$K$13,MATCH(D740,Lists!$J$2:$J$13,0))</f>
        <v>سبتمبر</v>
      </c>
      <c r="F740" s="19" t="str">
        <f aca="false">"Q"&amp;ROUNDUP(D740/3,0)</f>
        <v>Q3</v>
      </c>
      <c r="G740" s="30" t="str">
        <f aca="false">INDEX(Lists!$N$2:$N$8,MATCH(WEEKDAY(B740,2),Lists!$M$2:$M$8,0))</f>
        <v>الأحد</v>
      </c>
      <c r="H740" s="30" t="s">
        <v>46</v>
      </c>
      <c r="I740" s="19" t="str">
        <f aca="false">INDEX(Lists!$B$2:$B$6,MATCH(H740,Lists!$A$2:$A$6,0))</f>
        <v>المنطقة الوسطى</v>
      </c>
      <c r="J740" s="30" t="s">
        <v>109</v>
      </c>
      <c r="K740" s="30" t="s">
        <v>192</v>
      </c>
      <c r="L740" s="31" t="n">
        <v>169</v>
      </c>
      <c r="M740" s="19" t="n">
        <v>1</v>
      </c>
      <c r="N740" s="32" t="n">
        <v>0.1</v>
      </c>
      <c r="O740" s="30" t="s">
        <v>55</v>
      </c>
      <c r="P740" s="30" t="s">
        <v>47</v>
      </c>
      <c r="Q740" s="30" t="s">
        <v>84</v>
      </c>
      <c r="R740" s="25" t="n">
        <f aca="false">L740*M740*(1-N740)</f>
        <v>152.1</v>
      </c>
    </row>
    <row r="741" customFormat="false" ht="15" hidden="false" customHeight="false" outlineLevel="0" collapsed="false">
      <c r="A741" s="30" t="s">
        <v>912</v>
      </c>
      <c r="B741" s="44" t="n">
        <v>45551</v>
      </c>
      <c r="C741" s="19" t="n">
        <f aca="false">YEAR(B741)</f>
        <v>2024</v>
      </c>
      <c r="D741" s="19" t="n">
        <f aca="false">MONTH(B741)</f>
        <v>9</v>
      </c>
      <c r="E741" s="30" t="str">
        <f aca="false">INDEX(Lists!$K$2:$K$13,MATCH(D741,Lists!$J$2:$J$13,0))</f>
        <v>سبتمبر</v>
      </c>
      <c r="F741" s="19" t="str">
        <f aca="false">"Q"&amp;ROUNDUP(D741/3,0)</f>
        <v>Q3</v>
      </c>
      <c r="G741" s="30" t="str">
        <f aca="false">INDEX(Lists!$N$2:$N$8,MATCH(WEEKDAY(B741,2),Lists!$M$2:$M$8,0))</f>
        <v>الإثنين</v>
      </c>
      <c r="H741" s="30" t="s">
        <v>46</v>
      </c>
      <c r="I741" s="19" t="str">
        <f aca="false">INDEX(Lists!$B$2:$B$6,MATCH(H741,Lists!$A$2:$A$6,0))</f>
        <v>المنطقة الوسطى</v>
      </c>
      <c r="J741" s="30" t="s">
        <v>109</v>
      </c>
      <c r="K741" s="30" t="s">
        <v>93</v>
      </c>
      <c r="L741" s="31" t="n">
        <v>139</v>
      </c>
      <c r="M741" s="19" t="n">
        <v>1</v>
      </c>
      <c r="N741" s="32" t="n">
        <v>0</v>
      </c>
      <c r="O741" s="30" t="s">
        <v>58</v>
      </c>
      <c r="P741" s="30" t="s">
        <v>47</v>
      </c>
      <c r="Q741" s="30" t="s">
        <v>99</v>
      </c>
      <c r="R741" s="25" t="n">
        <f aca="false">L741*M741*(1-N741)</f>
        <v>139</v>
      </c>
    </row>
    <row r="742" customFormat="false" ht="15" hidden="false" customHeight="false" outlineLevel="0" collapsed="false">
      <c r="A742" s="30" t="s">
        <v>913</v>
      </c>
      <c r="B742" s="44" t="n">
        <v>45552</v>
      </c>
      <c r="C742" s="19" t="n">
        <f aca="false">YEAR(B742)</f>
        <v>2024</v>
      </c>
      <c r="D742" s="19" t="n">
        <f aca="false">MONTH(B742)</f>
        <v>9</v>
      </c>
      <c r="E742" s="30" t="str">
        <f aca="false">INDEX(Lists!$K$2:$K$13,MATCH(D742,Lists!$J$2:$J$13,0))</f>
        <v>سبتمبر</v>
      </c>
      <c r="F742" s="19" t="str">
        <f aca="false">"Q"&amp;ROUNDUP(D742/3,0)</f>
        <v>Q3</v>
      </c>
      <c r="G742" s="30" t="str">
        <f aca="false">INDEX(Lists!$N$2:$N$8,MATCH(WEEKDAY(B742,2),Lists!$M$2:$M$8,0))</f>
        <v>الثلاثاء</v>
      </c>
      <c r="H742" s="30" t="s">
        <v>57</v>
      </c>
      <c r="I742" s="19" t="str">
        <f aca="false">INDEX(Lists!$B$2:$B$6,MATCH(H742,Lists!$A$2:$A$6,0))</f>
        <v>المنطقة الغربية</v>
      </c>
      <c r="J742" s="30" t="s">
        <v>107</v>
      </c>
      <c r="K742" s="30" t="s">
        <v>115</v>
      </c>
      <c r="L742" s="31" t="n">
        <v>5649</v>
      </c>
      <c r="M742" s="19" t="n">
        <v>1</v>
      </c>
      <c r="N742" s="32" t="n">
        <v>0.05</v>
      </c>
      <c r="O742" s="30" t="s">
        <v>52</v>
      </c>
      <c r="P742" s="30" t="s">
        <v>47</v>
      </c>
      <c r="Q742" s="30" t="s">
        <v>99</v>
      </c>
      <c r="R742" s="25" t="n">
        <f aca="false">L742*M742*(1-N742)</f>
        <v>5366.55</v>
      </c>
    </row>
    <row r="743" customFormat="false" ht="15" hidden="false" customHeight="false" outlineLevel="0" collapsed="false">
      <c r="A743" s="30" t="s">
        <v>914</v>
      </c>
      <c r="B743" s="44" t="n">
        <v>45552</v>
      </c>
      <c r="C743" s="19" t="n">
        <f aca="false">YEAR(B743)</f>
        <v>2024</v>
      </c>
      <c r="D743" s="19" t="n">
        <f aca="false">MONTH(B743)</f>
        <v>9</v>
      </c>
      <c r="E743" s="30" t="str">
        <f aca="false">INDEX(Lists!$K$2:$K$13,MATCH(D743,Lists!$J$2:$J$13,0))</f>
        <v>سبتمبر</v>
      </c>
      <c r="F743" s="19" t="str">
        <f aca="false">"Q"&amp;ROUNDUP(D743/3,0)</f>
        <v>Q3</v>
      </c>
      <c r="G743" s="30" t="str">
        <f aca="false">INDEX(Lists!$N$2:$N$8,MATCH(WEEKDAY(B743,2),Lists!$M$2:$M$8,0))</f>
        <v>الثلاثاء</v>
      </c>
      <c r="H743" s="30" t="s">
        <v>57</v>
      </c>
      <c r="I743" s="19" t="str">
        <f aca="false">INDEX(Lists!$B$2:$B$6,MATCH(H743,Lists!$A$2:$A$6,0))</f>
        <v>المنطقة الغربية</v>
      </c>
      <c r="J743" s="30" t="s">
        <v>109</v>
      </c>
      <c r="K743" s="30" t="s">
        <v>192</v>
      </c>
      <c r="L743" s="31" t="n">
        <v>159</v>
      </c>
      <c r="M743" s="19" t="n">
        <v>2</v>
      </c>
      <c r="N743" s="32" t="n">
        <v>0</v>
      </c>
      <c r="O743" s="30" t="s">
        <v>48</v>
      </c>
      <c r="P743" s="30" t="s">
        <v>47</v>
      </c>
      <c r="Q743" s="30" t="s">
        <v>86</v>
      </c>
      <c r="R743" s="25" t="n">
        <f aca="false">L743*M743*(1-N743)</f>
        <v>318</v>
      </c>
    </row>
    <row r="744" customFormat="false" ht="15" hidden="false" customHeight="false" outlineLevel="0" collapsed="false">
      <c r="A744" s="30" t="s">
        <v>915</v>
      </c>
      <c r="B744" s="44" t="n">
        <v>45553</v>
      </c>
      <c r="C744" s="19" t="n">
        <f aca="false">YEAR(B744)</f>
        <v>2024</v>
      </c>
      <c r="D744" s="19" t="n">
        <f aca="false">MONTH(B744)</f>
        <v>9</v>
      </c>
      <c r="E744" s="30" t="str">
        <f aca="false">INDEX(Lists!$K$2:$K$13,MATCH(D744,Lists!$J$2:$J$13,0))</f>
        <v>سبتمبر</v>
      </c>
      <c r="F744" s="19" t="str">
        <f aca="false">"Q"&amp;ROUNDUP(D744/3,0)</f>
        <v>Q3</v>
      </c>
      <c r="G744" s="30" t="str">
        <f aca="false">INDEX(Lists!$N$2:$N$8,MATCH(WEEKDAY(B744,2),Lists!$M$2:$M$8,0))</f>
        <v>الأربعاء</v>
      </c>
      <c r="H744" s="30" t="s">
        <v>54</v>
      </c>
      <c r="I744" s="19" t="str">
        <f aca="false">INDEX(Lists!$B$2:$B$6,MATCH(H744,Lists!$A$2:$A$6,0))</f>
        <v>المنطقة الشرقية</v>
      </c>
      <c r="J744" s="30" t="s">
        <v>109</v>
      </c>
      <c r="K744" s="30" t="s">
        <v>93</v>
      </c>
      <c r="L744" s="31" t="n">
        <v>129</v>
      </c>
      <c r="M744" s="19" t="n">
        <v>1</v>
      </c>
      <c r="N744" s="32" t="n">
        <v>0.15</v>
      </c>
      <c r="O744" s="30" t="s">
        <v>58</v>
      </c>
      <c r="P744" s="30" t="s">
        <v>47</v>
      </c>
      <c r="Q744" s="30" t="s">
        <v>86</v>
      </c>
      <c r="R744" s="25" t="n">
        <f aca="false">L744*M744*(1-N744)</f>
        <v>109.65</v>
      </c>
    </row>
    <row r="745" customFormat="false" ht="15" hidden="false" customHeight="false" outlineLevel="0" collapsed="false">
      <c r="A745" s="30" t="s">
        <v>916</v>
      </c>
      <c r="B745" s="44" t="n">
        <v>45553</v>
      </c>
      <c r="C745" s="19" t="n">
        <f aca="false">YEAR(B745)</f>
        <v>2024</v>
      </c>
      <c r="D745" s="19" t="n">
        <f aca="false">MONTH(B745)</f>
        <v>9</v>
      </c>
      <c r="E745" s="30" t="str">
        <f aca="false">INDEX(Lists!$K$2:$K$13,MATCH(D745,Lists!$J$2:$J$13,0))</f>
        <v>سبتمبر</v>
      </c>
      <c r="F745" s="19" t="str">
        <f aca="false">"Q"&amp;ROUNDUP(D745/3,0)</f>
        <v>Q3</v>
      </c>
      <c r="G745" s="30" t="str">
        <f aca="false">INDEX(Lists!$N$2:$N$8,MATCH(WEEKDAY(B745,2),Lists!$M$2:$M$8,0))</f>
        <v>الأربعاء</v>
      </c>
      <c r="H745" s="30" t="s">
        <v>50</v>
      </c>
      <c r="I745" s="19" t="str">
        <f aca="false">INDEX(Lists!$B$2:$B$6,MATCH(H745,Lists!$A$2:$A$6,0))</f>
        <v>المنطقة الغربية</v>
      </c>
      <c r="J745" s="30" t="s">
        <v>113</v>
      </c>
      <c r="K745" s="30" t="s">
        <v>100</v>
      </c>
      <c r="L745" s="31" t="n">
        <v>789</v>
      </c>
      <c r="M745" s="19" t="n">
        <v>2</v>
      </c>
      <c r="N745" s="32" t="n">
        <v>0</v>
      </c>
      <c r="O745" s="30" t="s">
        <v>58</v>
      </c>
      <c r="P745" s="30" t="s">
        <v>47</v>
      </c>
      <c r="Q745" s="30" t="s">
        <v>78</v>
      </c>
      <c r="R745" s="25" t="n">
        <f aca="false">L745*M745*(1-N745)</f>
        <v>1578</v>
      </c>
    </row>
    <row r="746" customFormat="false" ht="15" hidden="false" customHeight="false" outlineLevel="0" collapsed="false">
      <c r="A746" s="30" t="s">
        <v>917</v>
      </c>
      <c r="B746" s="44" t="n">
        <v>45553</v>
      </c>
      <c r="C746" s="19" t="n">
        <f aca="false">YEAR(B746)</f>
        <v>2024</v>
      </c>
      <c r="D746" s="19" t="n">
        <f aca="false">MONTH(B746)</f>
        <v>9</v>
      </c>
      <c r="E746" s="30" t="str">
        <f aca="false">INDEX(Lists!$K$2:$K$13,MATCH(D746,Lists!$J$2:$J$13,0))</f>
        <v>سبتمبر</v>
      </c>
      <c r="F746" s="19" t="str">
        <f aca="false">"Q"&amp;ROUNDUP(D746/3,0)</f>
        <v>Q3</v>
      </c>
      <c r="G746" s="30" t="str">
        <f aca="false">INDEX(Lists!$N$2:$N$8,MATCH(WEEKDAY(B746,2),Lists!$M$2:$M$8,0))</f>
        <v>الأربعاء</v>
      </c>
      <c r="H746" s="30" t="s">
        <v>57</v>
      </c>
      <c r="I746" s="19" t="str">
        <f aca="false">INDEX(Lists!$B$2:$B$6,MATCH(H746,Lists!$A$2:$A$6,0))</f>
        <v>المنطقة الغربية</v>
      </c>
      <c r="J746" s="30" t="s">
        <v>113</v>
      </c>
      <c r="K746" s="30" t="s">
        <v>95</v>
      </c>
      <c r="L746" s="31" t="n">
        <v>689</v>
      </c>
      <c r="M746" s="19" t="n">
        <v>1</v>
      </c>
      <c r="N746" s="32" t="n">
        <v>0</v>
      </c>
      <c r="O746" s="30" t="s">
        <v>52</v>
      </c>
      <c r="P746" s="30" t="s">
        <v>47</v>
      </c>
      <c r="Q746" s="30" t="s">
        <v>84</v>
      </c>
      <c r="R746" s="25" t="n">
        <f aca="false">L746*M746*(1-N746)</f>
        <v>689</v>
      </c>
    </row>
    <row r="747" customFormat="false" ht="15" hidden="false" customHeight="false" outlineLevel="0" collapsed="false">
      <c r="A747" s="30" t="s">
        <v>918</v>
      </c>
      <c r="B747" s="44" t="n">
        <v>45553</v>
      </c>
      <c r="C747" s="19" t="n">
        <f aca="false">YEAR(B747)</f>
        <v>2024</v>
      </c>
      <c r="D747" s="19" t="n">
        <f aca="false">MONTH(B747)</f>
        <v>9</v>
      </c>
      <c r="E747" s="30" t="str">
        <f aca="false">INDEX(Lists!$K$2:$K$13,MATCH(D747,Lists!$J$2:$J$13,0))</f>
        <v>سبتمبر</v>
      </c>
      <c r="F747" s="19" t="str">
        <f aca="false">"Q"&amp;ROUNDUP(D747/3,0)</f>
        <v>Q3</v>
      </c>
      <c r="G747" s="30" t="str">
        <f aca="false">INDEX(Lists!$N$2:$N$8,MATCH(WEEKDAY(B747,2),Lists!$M$2:$M$8,0))</f>
        <v>الأربعاء</v>
      </c>
      <c r="H747" s="30" t="s">
        <v>50</v>
      </c>
      <c r="I747" s="19" t="str">
        <f aca="false">INDEX(Lists!$B$2:$B$6,MATCH(H747,Lists!$A$2:$A$6,0))</f>
        <v>المنطقة الغربية</v>
      </c>
      <c r="J747" s="30" t="s">
        <v>105</v>
      </c>
      <c r="K747" s="30" t="s">
        <v>79</v>
      </c>
      <c r="L747" s="31" t="n">
        <v>1389</v>
      </c>
      <c r="M747" s="19" t="n">
        <v>6</v>
      </c>
      <c r="N747" s="32" t="n">
        <v>0.15</v>
      </c>
      <c r="O747" s="30" t="s">
        <v>58</v>
      </c>
      <c r="P747" s="30" t="s">
        <v>51</v>
      </c>
      <c r="Q747" s="30" t="s">
        <v>84</v>
      </c>
      <c r="R747" s="25" t="n">
        <f aca="false">L747*M747*(1-N747)</f>
        <v>7083.9</v>
      </c>
    </row>
    <row r="748" customFormat="false" ht="15" hidden="false" customHeight="false" outlineLevel="0" collapsed="false">
      <c r="A748" s="30" t="s">
        <v>919</v>
      </c>
      <c r="B748" s="44" t="n">
        <v>45554</v>
      </c>
      <c r="C748" s="19" t="n">
        <f aca="false">YEAR(B748)</f>
        <v>2024</v>
      </c>
      <c r="D748" s="19" t="n">
        <f aca="false">MONTH(B748)</f>
        <v>9</v>
      </c>
      <c r="E748" s="30" t="str">
        <f aca="false">INDEX(Lists!$K$2:$K$13,MATCH(D748,Lists!$J$2:$J$13,0))</f>
        <v>سبتمبر</v>
      </c>
      <c r="F748" s="19" t="str">
        <f aca="false">"Q"&amp;ROUNDUP(D748/3,0)</f>
        <v>Q3</v>
      </c>
      <c r="G748" s="30" t="str">
        <f aca="false">INDEX(Lists!$N$2:$N$8,MATCH(WEEKDAY(B748,2),Lists!$M$2:$M$8,0))</f>
        <v>الخميس</v>
      </c>
      <c r="H748" s="30" t="s">
        <v>50</v>
      </c>
      <c r="I748" s="19" t="str">
        <f aca="false">INDEX(Lists!$B$2:$B$6,MATCH(H748,Lists!$A$2:$A$6,0))</f>
        <v>المنطقة الغربية</v>
      </c>
      <c r="J748" s="30" t="s">
        <v>109</v>
      </c>
      <c r="K748" s="30" t="s">
        <v>93</v>
      </c>
      <c r="L748" s="31" t="n">
        <v>139</v>
      </c>
      <c r="M748" s="19" t="n">
        <v>3</v>
      </c>
      <c r="N748" s="32" t="n">
        <v>0.1</v>
      </c>
      <c r="O748" s="30" t="s">
        <v>52</v>
      </c>
      <c r="P748" s="30" t="s">
        <v>47</v>
      </c>
      <c r="Q748" s="30" t="s">
        <v>94</v>
      </c>
      <c r="R748" s="25" t="n">
        <f aca="false">L748*M748*(1-N748)</f>
        <v>375.3</v>
      </c>
    </row>
    <row r="749" customFormat="false" ht="15" hidden="false" customHeight="false" outlineLevel="0" collapsed="false">
      <c r="A749" s="30" t="s">
        <v>920</v>
      </c>
      <c r="B749" s="44" t="n">
        <v>45554</v>
      </c>
      <c r="C749" s="19" t="n">
        <f aca="false">YEAR(B749)</f>
        <v>2024</v>
      </c>
      <c r="D749" s="19" t="n">
        <f aca="false">MONTH(B749)</f>
        <v>9</v>
      </c>
      <c r="E749" s="30" t="str">
        <f aca="false">INDEX(Lists!$K$2:$K$13,MATCH(D749,Lists!$J$2:$J$13,0))</f>
        <v>سبتمبر</v>
      </c>
      <c r="F749" s="19" t="str">
        <f aca="false">"Q"&amp;ROUNDUP(D749/3,0)</f>
        <v>Q3</v>
      </c>
      <c r="G749" s="30" t="str">
        <f aca="false">INDEX(Lists!$N$2:$N$8,MATCH(WEEKDAY(B749,2),Lists!$M$2:$M$8,0))</f>
        <v>الخميس</v>
      </c>
      <c r="H749" s="30" t="s">
        <v>54</v>
      </c>
      <c r="I749" s="19" t="str">
        <f aca="false">INDEX(Lists!$B$2:$B$6,MATCH(H749,Lists!$A$2:$A$6,0))</f>
        <v>المنطقة الشرقية</v>
      </c>
      <c r="J749" s="30" t="s">
        <v>113</v>
      </c>
      <c r="K749" s="30" t="s">
        <v>95</v>
      </c>
      <c r="L749" s="31" t="n">
        <v>509</v>
      </c>
      <c r="M749" s="19" t="n">
        <v>3</v>
      </c>
      <c r="N749" s="32" t="n">
        <v>0.05</v>
      </c>
      <c r="O749" s="30" t="s">
        <v>48</v>
      </c>
      <c r="P749" s="30" t="s">
        <v>47</v>
      </c>
      <c r="Q749" s="30" t="s">
        <v>86</v>
      </c>
      <c r="R749" s="25" t="n">
        <f aca="false">L749*M749*(1-N749)</f>
        <v>1450.65</v>
      </c>
    </row>
    <row r="750" customFormat="false" ht="15" hidden="false" customHeight="false" outlineLevel="0" collapsed="false">
      <c r="A750" s="30" t="s">
        <v>921</v>
      </c>
      <c r="B750" s="44" t="n">
        <v>45554</v>
      </c>
      <c r="C750" s="19" t="n">
        <f aca="false">YEAR(B750)</f>
        <v>2024</v>
      </c>
      <c r="D750" s="19" t="n">
        <f aca="false">MONTH(B750)</f>
        <v>9</v>
      </c>
      <c r="E750" s="30" t="str">
        <f aca="false">INDEX(Lists!$K$2:$K$13,MATCH(D750,Lists!$J$2:$J$13,0))</f>
        <v>سبتمبر</v>
      </c>
      <c r="F750" s="19" t="str">
        <f aca="false">"Q"&amp;ROUNDUP(D750/3,0)</f>
        <v>Q3</v>
      </c>
      <c r="G750" s="30" t="str">
        <f aca="false">INDEX(Lists!$N$2:$N$8,MATCH(WEEKDAY(B750,2),Lists!$M$2:$M$8,0))</f>
        <v>الخميس</v>
      </c>
      <c r="H750" s="30" t="s">
        <v>50</v>
      </c>
      <c r="I750" s="19" t="str">
        <f aca="false">INDEX(Lists!$B$2:$B$6,MATCH(H750,Lists!$A$2:$A$6,0))</f>
        <v>المنطقة الغربية</v>
      </c>
      <c r="J750" s="30" t="s">
        <v>113</v>
      </c>
      <c r="K750" s="30" t="s">
        <v>95</v>
      </c>
      <c r="L750" s="31" t="n">
        <v>429</v>
      </c>
      <c r="M750" s="19" t="n">
        <v>1</v>
      </c>
      <c r="N750" s="32" t="n">
        <v>0.15</v>
      </c>
      <c r="O750" s="30" t="s">
        <v>48</v>
      </c>
      <c r="P750" s="30" t="s">
        <v>47</v>
      </c>
      <c r="Q750" s="30" t="s">
        <v>78</v>
      </c>
      <c r="R750" s="25" t="n">
        <f aca="false">L750*M750*(1-N750)</f>
        <v>364.65</v>
      </c>
    </row>
    <row r="751" customFormat="false" ht="15" hidden="false" customHeight="false" outlineLevel="0" collapsed="false">
      <c r="A751" s="30" t="s">
        <v>922</v>
      </c>
      <c r="B751" s="44" t="n">
        <v>45556</v>
      </c>
      <c r="C751" s="19" t="n">
        <f aca="false">YEAR(B751)</f>
        <v>2024</v>
      </c>
      <c r="D751" s="19" t="n">
        <f aca="false">MONTH(B751)</f>
        <v>9</v>
      </c>
      <c r="E751" s="30" t="str">
        <f aca="false">INDEX(Lists!$K$2:$K$13,MATCH(D751,Lists!$J$2:$J$13,0))</f>
        <v>سبتمبر</v>
      </c>
      <c r="F751" s="19" t="str">
        <f aca="false">"Q"&amp;ROUNDUP(D751/3,0)</f>
        <v>Q3</v>
      </c>
      <c r="G751" s="30" t="str">
        <f aca="false">INDEX(Lists!$N$2:$N$8,MATCH(WEEKDAY(B751,2),Lists!$M$2:$M$8,0))</f>
        <v>السبت</v>
      </c>
      <c r="H751" s="30" t="s">
        <v>46</v>
      </c>
      <c r="I751" s="19" t="str">
        <f aca="false">INDEX(Lists!$B$2:$B$6,MATCH(H751,Lists!$A$2:$A$6,0))</f>
        <v>المنطقة الوسطى</v>
      </c>
      <c r="J751" s="30" t="s">
        <v>113</v>
      </c>
      <c r="K751" s="30" t="s">
        <v>100</v>
      </c>
      <c r="L751" s="31" t="n">
        <v>469</v>
      </c>
      <c r="M751" s="19" t="n">
        <v>1</v>
      </c>
      <c r="N751" s="32" t="n">
        <v>0.1</v>
      </c>
      <c r="O751" s="30" t="s">
        <v>48</v>
      </c>
      <c r="P751" s="30" t="s">
        <v>47</v>
      </c>
      <c r="Q751" s="30" t="s">
        <v>89</v>
      </c>
      <c r="R751" s="25" t="n">
        <f aca="false">L751*M751*(1-N751)</f>
        <v>422.1</v>
      </c>
    </row>
    <row r="752" customFormat="false" ht="15" hidden="false" customHeight="false" outlineLevel="0" collapsed="false">
      <c r="A752" s="30" t="s">
        <v>923</v>
      </c>
      <c r="B752" s="44" t="n">
        <v>45556</v>
      </c>
      <c r="C752" s="19" t="n">
        <f aca="false">YEAR(B752)</f>
        <v>2024</v>
      </c>
      <c r="D752" s="19" t="n">
        <f aca="false">MONTH(B752)</f>
        <v>9</v>
      </c>
      <c r="E752" s="30" t="str">
        <f aca="false">INDEX(Lists!$K$2:$K$13,MATCH(D752,Lists!$J$2:$J$13,0))</f>
        <v>سبتمبر</v>
      </c>
      <c r="F752" s="19" t="str">
        <f aca="false">"Q"&amp;ROUNDUP(D752/3,0)</f>
        <v>Q3</v>
      </c>
      <c r="G752" s="30" t="str">
        <f aca="false">INDEX(Lists!$N$2:$N$8,MATCH(WEEKDAY(B752,2),Lists!$M$2:$M$8,0))</f>
        <v>السبت</v>
      </c>
      <c r="H752" s="30" t="s">
        <v>46</v>
      </c>
      <c r="I752" s="19" t="str">
        <f aca="false">INDEX(Lists!$B$2:$B$6,MATCH(H752,Lists!$A$2:$A$6,0))</f>
        <v>المنطقة الوسطى</v>
      </c>
      <c r="J752" s="30" t="s">
        <v>109</v>
      </c>
      <c r="K752" s="30" t="s">
        <v>93</v>
      </c>
      <c r="L752" s="31" t="n">
        <v>129</v>
      </c>
      <c r="M752" s="19" t="n">
        <v>1</v>
      </c>
      <c r="N752" s="32" t="n">
        <v>0</v>
      </c>
      <c r="O752" s="30" t="s">
        <v>48</v>
      </c>
      <c r="P752" s="30" t="s">
        <v>47</v>
      </c>
      <c r="Q752" s="30" t="s">
        <v>86</v>
      </c>
      <c r="R752" s="25" t="n">
        <f aca="false">L752*M752*(1-N752)</f>
        <v>129</v>
      </c>
    </row>
    <row r="753" customFormat="false" ht="15" hidden="false" customHeight="false" outlineLevel="0" collapsed="false">
      <c r="A753" s="30" t="s">
        <v>924</v>
      </c>
      <c r="B753" s="44" t="n">
        <v>45556</v>
      </c>
      <c r="C753" s="19" t="n">
        <f aca="false">YEAR(B753)</f>
        <v>2024</v>
      </c>
      <c r="D753" s="19" t="n">
        <f aca="false">MONTH(B753)</f>
        <v>9</v>
      </c>
      <c r="E753" s="30" t="str">
        <f aca="false">INDEX(Lists!$K$2:$K$13,MATCH(D753,Lists!$J$2:$J$13,0))</f>
        <v>سبتمبر</v>
      </c>
      <c r="F753" s="19" t="str">
        <f aca="false">"Q"&amp;ROUNDUP(D753/3,0)</f>
        <v>Q3</v>
      </c>
      <c r="G753" s="30" t="str">
        <f aca="false">INDEX(Lists!$N$2:$N$8,MATCH(WEEKDAY(B753,2),Lists!$M$2:$M$8,0))</f>
        <v>السبت</v>
      </c>
      <c r="H753" s="30" t="s">
        <v>50</v>
      </c>
      <c r="I753" s="19" t="str">
        <f aca="false">INDEX(Lists!$B$2:$B$6,MATCH(H753,Lists!$A$2:$A$6,0))</f>
        <v>المنطقة الغربية</v>
      </c>
      <c r="J753" s="30" t="s">
        <v>105</v>
      </c>
      <c r="K753" s="30" t="s">
        <v>85</v>
      </c>
      <c r="L753" s="31" t="n">
        <v>4489</v>
      </c>
      <c r="M753" s="19" t="n">
        <v>1</v>
      </c>
      <c r="N753" s="32" t="n">
        <v>0</v>
      </c>
      <c r="O753" s="30" t="s">
        <v>55</v>
      </c>
      <c r="P753" s="30" t="s">
        <v>47</v>
      </c>
      <c r="Q753" s="30" t="s">
        <v>89</v>
      </c>
      <c r="R753" s="25" t="n">
        <f aca="false">L753*M753*(1-N753)</f>
        <v>4489</v>
      </c>
    </row>
    <row r="754" customFormat="false" ht="15" hidden="false" customHeight="false" outlineLevel="0" collapsed="false">
      <c r="A754" s="30" t="s">
        <v>925</v>
      </c>
      <c r="B754" s="44" t="n">
        <v>45556</v>
      </c>
      <c r="C754" s="19" t="n">
        <f aca="false">YEAR(B754)</f>
        <v>2024</v>
      </c>
      <c r="D754" s="19" t="n">
        <f aca="false">MONTH(B754)</f>
        <v>9</v>
      </c>
      <c r="E754" s="30" t="str">
        <f aca="false">INDEX(Lists!$K$2:$K$13,MATCH(D754,Lists!$J$2:$J$13,0))</f>
        <v>سبتمبر</v>
      </c>
      <c r="F754" s="19" t="str">
        <f aca="false">"Q"&amp;ROUNDUP(D754/3,0)</f>
        <v>Q3</v>
      </c>
      <c r="G754" s="30" t="str">
        <f aca="false">INDEX(Lists!$N$2:$N$8,MATCH(WEEKDAY(B754,2),Lists!$M$2:$M$8,0))</f>
        <v>السبت</v>
      </c>
      <c r="H754" s="30" t="s">
        <v>50</v>
      </c>
      <c r="I754" s="19" t="str">
        <f aca="false">INDEX(Lists!$B$2:$B$6,MATCH(H754,Lists!$A$2:$A$6,0))</f>
        <v>المنطقة الغربية</v>
      </c>
      <c r="J754" s="30" t="s">
        <v>109</v>
      </c>
      <c r="K754" s="30" t="s">
        <v>175</v>
      </c>
      <c r="L754" s="31" t="n">
        <v>309</v>
      </c>
      <c r="M754" s="19" t="n">
        <v>1</v>
      </c>
      <c r="N754" s="32" t="n">
        <v>0.15</v>
      </c>
      <c r="O754" s="30" t="s">
        <v>52</v>
      </c>
      <c r="P754" s="30" t="s">
        <v>47</v>
      </c>
      <c r="Q754" s="30" t="s">
        <v>89</v>
      </c>
      <c r="R754" s="25" t="n">
        <f aca="false">L754*M754*(1-N754)</f>
        <v>262.65</v>
      </c>
    </row>
    <row r="755" customFormat="false" ht="15" hidden="false" customHeight="false" outlineLevel="0" collapsed="false">
      <c r="A755" s="30" t="s">
        <v>926</v>
      </c>
      <c r="B755" s="44" t="n">
        <v>45557</v>
      </c>
      <c r="C755" s="19" t="n">
        <f aca="false">YEAR(B755)</f>
        <v>2024</v>
      </c>
      <c r="D755" s="19" t="n">
        <f aca="false">MONTH(B755)</f>
        <v>9</v>
      </c>
      <c r="E755" s="30" t="str">
        <f aca="false">INDEX(Lists!$K$2:$K$13,MATCH(D755,Lists!$J$2:$J$13,0))</f>
        <v>سبتمبر</v>
      </c>
      <c r="F755" s="19" t="str">
        <f aca="false">"Q"&amp;ROUNDUP(D755/3,0)</f>
        <v>Q3</v>
      </c>
      <c r="G755" s="30" t="str">
        <f aca="false">INDEX(Lists!$N$2:$N$8,MATCH(WEEKDAY(B755,2),Lists!$M$2:$M$8,0))</f>
        <v>الأحد</v>
      </c>
      <c r="H755" s="30" t="s">
        <v>46</v>
      </c>
      <c r="I755" s="19" t="str">
        <f aca="false">INDEX(Lists!$B$2:$B$6,MATCH(H755,Lists!$A$2:$A$6,0))</f>
        <v>المنطقة الوسطى</v>
      </c>
      <c r="J755" s="30" t="s">
        <v>105</v>
      </c>
      <c r="K755" s="30" t="s">
        <v>85</v>
      </c>
      <c r="L755" s="31" t="n">
        <v>3349</v>
      </c>
      <c r="M755" s="19" t="n">
        <v>1</v>
      </c>
      <c r="N755" s="32" t="n">
        <v>0</v>
      </c>
      <c r="O755" s="30" t="s">
        <v>48</v>
      </c>
      <c r="P755" s="30" t="s">
        <v>47</v>
      </c>
      <c r="Q755" s="30" t="s">
        <v>89</v>
      </c>
      <c r="R755" s="25" t="n">
        <f aca="false">L755*M755*(1-N755)</f>
        <v>3349</v>
      </c>
    </row>
    <row r="756" customFormat="false" ht="15" hidden="false" customHeight="false" outlineLevel="0" collapsed="false">
      <c r="A756" s="30" t="s">
        <v>927</v>
      </c>
      <c r="B756" s="44" t="n">
        <v>45557</v>
      </c>
      <c r="C756" s="19" t="n">
        <f aca="false">YEAR(B756)</f>
        <v>2024</v>
      </c>
      <c r="D756" s="19" t="n">
        <f aca="false">MONTH(B756)</f>
        <v>9</v>
      </c>
      <c r="E756" s="30" t="str">
        <f aca="false">INDEX(Lists!$K$2:$K$13,MATCH(D756,Lists!$J$2:$J$13,0))</f>
        <v>سبتمبر</v>
      </c>
      <c r="F756" s="19" t="str">
        <f aca="false">"Q"&amp;ROUNDUP(D756/3,0)</f>
        <v>Q3</v>
      </c>
      <c r="G756" s="30" t="str">
        <f aca="false">INDEX(Lists!$N$2:$N$8,MATCH(WEEKDAY(B756,2),Lists!$M$2:$M$8,0))</f>
        <v>الأحد</v>
      </c>
      <c r="H756" s="30" t="s">
        <v>46</v>
      </c>
      <c r="I756" s="19" t="str">
        <f aca="false">INDEX(Lists!$B$2:$B$6,MATCH(H756,Lists!$A$2:$A$6,0))</f>
        <v>المنطقة الوسطى</v>
      </c>
      <c r="J756" s="30" t="s">
        <v>113</v>
      </c>
      <c r="K756" s="30" t="s">
        <v>97</v>
      </c>
      <c r="L756" s="31" t="n">
        <v>749</v>
      </c>
      <c r="M756" s="19" t="n">
        <v>5</v>
      </c>
      <c r="N756" s="32" t="n">
        <v>0.05</v>
      </c>
      <c r="O756" s="30" t="s">
        <v>48</v>
      </c>
      <c r="P756" s="30" t="s">
        <v>51</v>
      </c>
      <c r="Q756" s="30" t="s">
        <v>81</v>
      </c>
      <c r="R756" s="25" t="n">
        <f aca="false">L756*M756*(1-N756)</f>
        <v>3557.75</v>
      </c>
    </row>
    <row r="757" customFormat="false" ht="15" hidden="false" customHeight="false" outlineLevel="0" collapsed="false">
      <c r="A757" s="30" t="s">
        <v>928</v>
      </c>
      <c r="B757" s="44" t="n">
        <v>45557</v>
      </c>
      <c r="C757" s="19" t="n">
        <f aca="false">YEAR(B757)</f>
        <v>2024</v>
      </c>
      <c r="D757" s="19" t="n">
        <f aca="false">MONTH(B757)</f>
        <v>9</v>
      </c>
      <c r="E757" s="30" t="str">
        <f aca="false">INDEX(Lists!$K$2:$K$13,MATCH(D757,Lists!$J$2:$J$13,0))</f>
        <v>سبتمبر</v>
      </c>
      <c r="F757" s="19" t="str">
        <f aca="false">"Q"&amp;ROUNDUP(D757/3,0)</f>
        <v>Q3</v>
      </c>
      <c r="G757" s="30" t="str">
        <f aca="false">INDEX(Lists!$N$2:$N$8,MATCH(WEEKDAY(B757,2),Lists!$M$2:$M$8,0))</f>
        <v>الأحد</v>
      </c>
      <c r="H757" s="30" t="s">
        <v>57</v>
      </c>
      <c r="I757" s="19" t="str">
        <f aca="false">INDEX(Lists!$B$2:$B$6,MATCH(H757,Lists!$A$2:$A$6,0))</f>
        <v>المنطقة الغربية</v>
      </c>
      <c r="J757" s="30" t="s">
        <v>109</v>
      </c>
      <c r="K757" s="30" t="s">
        <v>175</v>
      </c>
      <c r="L757" s="31" t="n">
        <v>319</v>
      </c>
      <c r="M757" s="19" t="n">
        <v>1</v>
      </c>
      <c r="N757" s="32" t="n">
        <v>0</v>
      </c>
      <c r="O757" s="30" t="s">
        <v>48</v>
      </c>
      <c r="P757" s="30" t="s">
        <v>51</v>
      </c>
      <c r="Q757" s="30" t="s">
        <v>94</v>
      </c>
      <c r="R757" s="25" t="n">
        <f aca="false">L757*M757*(1-N757)</f>
        <v>319</v>
      </c>
    </row>
    <row r="758" customFormat="false" ht="15" hidden="false" customHeight="false" outlineLevel="0" collapsed="false">
      <c r="A758" s="30" t="s">
        <v>929</v>
      </c>
      <c r="B758" s="44" t="n">
        <v>45557</v>
      </c>
      <c r="C758" s="19" t="n">
        <f aca="false">YEAR(B758)</f>
        <v>2024</v>
      </c>
      <c r="D758" s="19" t="n">
        <f aca="false">MONTH(B758)</f>
        <v>9</v>
      </c>
      <c r="E758" s="30" t="str">
        <f aca="false">INDEX(Lists!$K$2:$K$13,MATCH(D758,Lists!$J$2:$J$13,0))</f>
        <v>سبتمبر</v>
      </c>
      <c r="F758" s="19" t="str">
        <f aca="false">"Q"&amp;ROUNDUP(D758/3,0)</f>
        <v>Q3</v>
      </c>
      <c r="G758" s="30" t="str">
        <f aca="false">INDEX(Lists!$N$2:$N$8,MATCH(WEEKDAY(B758,2),Lists!$M$2:$M$8,0))</f>
        <v>الأحد</v>
      </c>
      <c r="H758" s="30" t="s">
        <v>57</v>
      </c>
      <c r="I758" s="19" t="str">
        <f aca="false">INDEX(Lists!$B$2:$B$6,MATCH(H758,Lists!$A$2:$A$6,0))</f>
        <v>المنطقة الغربية</v>
      </c>
      <c r="J758" s="30" t="s">
        <v>105</v>
      </c>
      <c r="K758" s="30" t="s">
        <v>79</v>
      </c>
      <c r="L758" s="31" t="n">
        <v>3049</v>
      </c>
      <c r="M758" s="19" t="n">
        <v>1</v>
      </c>
      <c r="N758" s="32" t="n">
        <v>0</v>
      </c>
      <c r="O758" s="30" t="s">
        <v>48</v>
      </c>
      <c r="P758" s="30" t="s">
        <v>47</v>
      </c>
      <c r="Q758" s="30" t="s">
        <v>84</v>
      </c>
      <c r="R758" s="25" t="n">
        <f aca="false">L758*M758*(1-N758)</f>
        <v>3049</v>
      </c>
    </row>
    <row r="759" customFormat="false" ht="15" hidden="false" customHeight="false" outlineLevel="0" collapsed="false">
      <c r="A759" s="30" t="s">
        <v>930</v>
      </c>
      <c r="B759" s="44" t="n">
        <v>45558</v>
      </c>
      <c r="C759" s="19" t="n">
        <f aca="false">YEAR(B759)</f>
        <v>2024</v>
      </c>
      <c r="D759" s="19" t="n">
        <f aca="false">MONTH(B759)</f>
        <v>9</v>
      </c>
      <c r="E759" s="30" t="str">
        <f aca="false">INDEX(Lists!$K$2:$K$13,MATCH(D759,Lists!$J$2:$J$13,0))</f>
        <v>سبتمبر</v>
      </c>
      <c r="F759" s="19" t="str">
        <f aca="false">"Q"&amp;ROUNDUP(D759/3,0)</f>
        <v>Q3</v>
      </c>
      <c r="G759" s="30" t="str">
        <f aca="false">INDEX(Lists!$N$2:$N$8,MATCH(WEEKDAY(B759,2),Lists!$M$2:$M$8,0))</f>
        <v>الإثنين</v>
      </c>
      <c r="H759" s="30" t="s">
        <v>46</v>
      </c>
      <c r="I759" s="19" t="str">
        <f aca="false">INDEX(Lists!$B$2:$B$6,MATCH(H759,Lists!$A$2:$A$6,0))</f>
        <v>المنطقة الوسطى</v>
      </c>
      <c r="J759" s="30" t="s">
        <v>107</v>
      </c>
      <c r="K759" s="30" t="s">
        <v>115</v>
      </c>
      <c r="L759" s="31" t="n">
        <v>5179</v>
      </c>
      <c r="M759" s="19" t="n">
        <v>1</v>
      </c>
      <c r="N759" s="32" t="n">
        <v>0</v>
      </c>
      <c r="O759" s="30" t="s">
        <v>55</v>
      </c>
      <c r="P759" s="30" t="s">
        <v>51</v>
      </c>
      <c r="Q759" s="30" t="s">
        <v>86</v>
      </c>
      <c r="R759" s="25" t="n">
        <f aca="false">L759*M759*(1-N759)</f>
        <v>5179</v>
      </c>
    </row>
    <row r="760" customFormat="false" ht="15" hidden="false" customHeight="false" outlineLevel="0" collapsed="false">
      <c r="A760" s="30" t="s">
        <v>931</v>
      </c>
      <c r="B760" s="44" t="n">
        <v>45558</v>
      </c>
      <c r="C760" s="19" t="n">
        <f aca="false">YEAR(B760)</f>
        <v>2024</v>
      </c>
      <c r="D760" s="19" t="n">
        <f aca="false">MONTH(B760)</f>
        <v>9</v>
      </c>
      <c r="E760" s="30" t="str">
        <f aca="false">INDEX(Lists!$K$2:$K$13,MATCH(D760,Lists!$J$2:$J$13,0))</f>
        <v>سبتمبر</v>
      </c>
      <c r="F760" s="19" t="str">
        <f aca="false">"Q"&amp;ROUNDUP(D760/3,0)</f>
        <v>Q3</v>
      </c>
      <c r="G760" s="30" t="str">
        <f aca="false">INDEX(Lists!$N$2:$N$8,MATCH(WEEKDAY(B760,2),Lists!$M$2:$M$8,0))</f>
        <v>الإثنين</v>
      </c>
      <c r="H760" s="30" t="s">
        <v>46</v>
      </c>
      <c r="I760" s="19" t="str">
        <f aca="false">INDEX(Lists!$B$2:$B$6,MATCH(H760,Lists!$A$2:$A$6,0))</f>
        <v>المنطقة الوسطى</v>
      </c>
      <c r="J760" s="30" t="s">
        <v>113</v>
      </c>
      <c r="K760" s="30" t="s">
        <v>121</v>
      </c>
      <c r="L760" s="31" t="n">
        <v>539</v>
      </c>
      <c r="M760" s="19" t="n">
        <v>2</v>
      </c>
      <c r="N760" s="32" t="n">
        <v>0</v>
      </c>
      <c r="O760" s="30" t="s">
        <v>52</v>
      </c>
      <c r="P760" s="30" t="s">
        <v>47</v>
      </c>
      <c r="Q760" s="30" t="s">
        <v>86</v>
      </c>
      <c r="R760" s="25" t="n">
        <f aca="false">L760*M760*(1-N760)</f>
        <v>1078</v>
      </c>
    </row>
    <row r="761" customFormat="false" ht="15" hidden="false" customHeight="false" outlineLevel="0" collapsed="false">
      <c r="A761" s="30" t="s">
        <v>932</v>
      </c>
      <c r="B761" s="44" t="n">
        <v>45559</v>
      </c>
      <c r="C761" s="19" t="n">
        <f aca="false">YEAR(B761)</f>
        <v>2024</v>
      </c>
      <c r="D761" s="19" t="n">
        <f aca="false">MONTH(B761)</f>
        <v>9</v>
      </c>
      <c r="E761" s="30" t="str">
        <f aca="false">INDEX(Lists!$K$2:$K$13,MATCH(D761,Lists!$J$2:$J$13,0))</f>
        <v>سبتمبر</v>
      </c>
      <c r="F761" s="19" t="str">
        <f aca="false">"Q"&amp;ROUNDUP(D761/3,0)</f>
        <v>Q3</v>
      </c>
      <c r="G761" s="30" t="str">
        <f aca="false">INDEX(Lists!$N$2:$N$8,MATCH(WEEKDAY(B761,2),Lists!$M$2:$M$8,0))</f>
        <v>الثلاثاء</v>
      </c>
      <c r="H761" s="30" t="s">
        <v>46</v>
      </c>
      <c r="I761" s="19" t="str">
        <f aca="false">INDEX(Lists!$B$2:$B$6,MATCH(H761,Lists!$A$2:$A$6,0))</f>
        <v>المنطقة الوسطى</v>
      </c>
      <c r="J761" s="30" t="s">
        <v>105</v>
      </c>
      <c r="K761" s="30" t="s">
        <v>179</v>
      </c>
      <c r="L761" s="31" t="n">
        <v>1479</v>
      </c>
      <c r="M761" s="19" t="n">
        <v>1</v>
      </c>
      <c r="N761" s="32" t="n">
        <v>0.1</v>
      </c>
      <c r="O761" s="30" t="s">
        <v>48</v>
      </c>
      <c r="P761" s="30" t="s">
        <v>47</v>
      </c>
      <c r="Q761" s="30" t="s">
        <v>89</v>
      </c>
      <c r="R761" s="25" t="n">
        <f aca="false">L761*M761*(1-N761)</f>
        <v>1331.1</v>
      </c>
    </row>
    <row r="762" customFormat="false" ht="15" hidden="false" customHeight="false" outlineLevel="0" collapsed="false">
      <c r="A762" s="30" t="s">
        <v>933</v>
      </c>
      <c r="B762" s="44" t="n">
        <v>45559</v>
      </c>
      <c r="C762" s="19" t="n">
        <f aca="false">YEAR(B762)</f>
        <v>2024</v>
      </c>
      <c r="D762" s="19" t="n">
        <f aca="false">MONTH(B762)</f>
        <v>9</v>
      </c>
      <c r="E762" s="30" t="str">
        <f aca="false">INDEX(Lists!$K$2:$K$13,MATCH(D762,Lists!$J$2:$J$13,0))</f>
        <v>سبتمبر</v>
      </c>
      <c r="F762" s="19" t="str">
        <f aca="false">"Q"&amp;ROUNDUP(D762/3,0)</f>
        <v>Q3</v>
      </c>
      <c r="G762" s="30" t="str">
        <f aca="false">INDEX(Lists!$N$2:$N$8,MATCH(WEEKDAY(B762,2),Lists!$M$2:$M$8,0))</f>
        <v>الثلاثاء</v>
      </c>
      <c r="H762" s="30" t="s">
        <v>50</v>
      </c>
      <c r="I762" s="19" t="str">
        <f aca="false">INDEX(Lists!$B$2:$B$6,MATCH(H762,Lists!$A$2:$A$6,0))</f>
        <v>المنطقة الغربية</v>
      </c>
      <c r="J762" s="30" t="s">
        <v>109</v>
      </c>
      <c r="K762" s="30" t="s">
        <v>175</v>
      </c>
      <c r="L762" s="31" t="n">
        <v>309</v>
      </c>
      <c r="M762" s="19" t="n">
        <v>2</v>
      </c>
      <c r="N762" s="32" t="n">
        <v>0.1</v>
      </c>
      <c r="O762" s="30" t="s">
        <v>52</v>
      </c>
      <c r="P762" s="30" t="s">
        <v>47</v>
      </c>
      <c r="Q762" s="30" t="s">
        <v>96</v>
      </c>
      <c r="R762" s="25" t="n">
        <f aca="false">L762*M762*(1-N762)</f>
        <v>556.2</v>
      </c>
    </row>
    <row r="763" customFormat="false" ht="15" hidden="false" customHeight="false" outlineLevel="0" collapsed="false">
      <c r="A763" s="30" t="s">
        <v>934</v>
      </c>
      <c r="B763" s="44" t="n">
        <v>45560</v>
      </c>
      <c r="C763" s="19" t="n">
        <f aca="false">YEAR(B763)</f>
        <v>2024</v>
      </c>
      <c r="D763" s="19" t="n">
        <f aca="false">MONTH(B763)</f>
        <v>9</v>
      </c>
      <c r="E763" s="30" t="str">
        <f aca="false">INDEX(Lists!$K$2:$K$13,MATCH(D763,Lists!$J$2:$J$13,0))</f>
        <v>سبتمبر</v>
      </c>
      <c r="F763" s="19" t="str">
        <f aca="false">"Q"&amp;ROUNDUP(D763/3,0)</f>
        <v>Q3</v>
      </c>
      <c r="G763" s="30" t="str">
        <f aca="false">INDEX(Lists!$N$2:$N$8,MATCH(WEEKDAY(B763,2),Lists!$M$2:$M$8,0))</f>
        <v>الأربعاء</v>
      </c>
      <c r="H763" s="30" t="s">
        <v>46</v>
      </c>
      <c r="I763" s="19" t="str">
        <f aca="false">INDEX(Lists!$B$2:$B$6,MATCH(H763,Lists!$A$2:$A$6,0))</f>
        <v>المنطقة الوسطى</v>
      </c>
      <c r="J763" s="30" t="s">
        <v>105</v>
      </c>
      <c r="K763" s="30" t="s">
        <v>82</v>
      </c>
      <c r="L763" s="31" t="n">
        <v>1409</v>
      </c>
      <c r="M763" s="19" t="n">
        <v>2</v>
      </c>
      <c r="N763" s="32" t="n">
        <v>0.1</v>
      </c>
      <c r="O763" s="30" t="s">
        <v>52</v>
      </c>
      <c r="P763" s="30" t="s">
        <v>47</v>
      </c>
      <c r="Q763" s="30" t="s">
        <v>84</v>
      </c>
      <c r="R763" s="25" t="n">
        <f aca="false">L763*M763*(1-N763)</f>
        <v>2536.2</v>
      </c>
    </row>
    <row r="764" customFormat="false" ht="15" hidden="false" customHeight="false" outlineLevel="0" collapsed="false">
      <c r="A764" s="30" t="s">
        <v>935</v>
      </c>
      <c r="B764" s="44" t="n">
        <v>45560</v>
      </c>
      <c r="C764" s="19" t="n">
        <f aca="false">YEAR(B764)</f>
        <v>2024</v>
      </c>
      <c r="D764" s="19" t="n">
        <f aca="false">MONTH(B764)</f>
        <v>9</v>
      </c>
      <c r="E764" s="30" t="str">
        <f aca="false">INDEX(Lists!$K$2:$K$13,MATCH(D764,Lists!$J$2:$J$13,0))</f>
        <v>سبتمبر</v>
      </c>
      <c r="F764" s="19" t="str">
        <f aca="false">"Q"&amp;ROUNDUP(D764/3,0)</f>
        <v>Q3</v>
      </c>
      <c r="G764" s="30" t="str">
        <f aca="false">INDEX(Lists!$N$2:$N$8,MATCH(WEEKDAY(B764,2),Lists!$M$2:$M$8,0))</f>
        <v>الأربعاء</v>
      </c>
      <c r="H764" s="30" t="s">
        <v>46</v>
      </c>
      <c r="I764" s="19" t="str">
        <f aca="false">INDEX(Lists!$B$2:$B$6,MATCH(H764,Lists!$A$2:$A$6,0))</f>
        <v>المنطقة الوسطى</v>
      </c>
      <c r="J764" s="30" t="s">
        <v>107</v>
      </c>
      <c r="K764" s="30" t="s">
        <v>114</v>
      </c>
      <c r="L764" s="31" t="n">
        <v>2919</v>
      </c>
      <c r="M764" s="19" t="n">
        <v>1</v>
      </c>
      <c r="N764" s="32" t="n">
        <v>0</v>
      </c>
      <c r="O764" s="30" t="s">
        <v>52</v>
      </c>
      <c r="P764" s="30" t="s">
        <v>51</v>
      </c>
      <c r="Q764" s="30" t="s">
        <v>94</v>
      </c>
      <c r="R764" s="25" t="n">
        <f aca="false">L764*M764*(1-N764)</f>
        <v>2919</v>
      </c>
    </row>
    <row r="765" customFormat="false" ht="15" hidden="false" customHeight="false" outlineLevel="0" collapsed="false">
      <c r="A765" s="30" t="s">
        <v>936</v>
      </c>
      <c r="B765" s="44" t="n">
        <v>45560</v>
      </c>
      <c r="C765" s="19" t="n">
        <f aca="false">YEAR(B765)</f>
        <v>2024</v>
      </c>
      <c r="D765" s="19" t="n">
        <f aca="false">MONTH(B765)</f>
        <v>9</v>
      </c>
      <c r="E765" s="30" t="str">
        <f aca="false">INDEX(Lists!$K$2:$K$13,MATCH(D765,Lists!$J$2:$J$13,0))</f>
        <v>سبتمبر</v>
      </c>
      <c r="F765" s="19" t="str">
        <f aca="false">"Q"&amp;ROUNDUP(D765/3,0)</f>
        <v>Q3</v>
      </c>
      <c r="G765" s="30" t="str">
        <f aca="false">INDEX(Lists!$N$2:$N$8,MATCH(WEEKDAY(B765,2),Lists!$M$2:$M$8,0))</f>
        <v>الأربعاء</v>
      </c>
      <c r="H765" s="30" t="s">
        <v>50</v>
      </c>
      <c r="I765" s="19" t="str">
        <f aca="false">INDEX(Lists!$B$2:$B$6,MATCH(H765,Lists!$A$2:$A$6,0))</f>
        <v>المنطقة الغربية</v>
      </c>
      <c r="J765" s="30" t="s">
        <v>107</v>
      </c>
      <c r="K765" s="30" t="s">
        <v>115</v>
      </c>
      <c r="L765" s="31" t="n">
        <v>3009</v>
      </c>
      <c r="M765" s="19" t="n">
        <v>1</v>
      </c>
      <c r="N765" s="32" t="n">
        <v>0.05</v>
      </c>
      <c r="O765" s="30" t="s">
        <v>58</v>
      </c>
      <c r="P765" s="30" t="s">
        <v>47</v>
      </c>
      <c r="Q765" s="30" t="s">
        <v>76</v>
      </c>
      <c r="R765" s="25" t="n">
        <f aca="false">L765*M765*(1-N765)</f>
        <v>2858.55</v>
      </c>
    </row>
    <row r="766" customFormat="false" ht="15" hidden="false" customHeight="false" outlineLevel="0" collapsed="false">
      <c r="A766" s="30" t="s">
        <v>937</v>
      </c>
      <c r="B766" s="44" t="n">
        <v>45560</v>
      </c>
      <c r="C766" s="19" t="n">
        <f aca="false">YEAR(B766)</f>
        <v>2024</v>
      </c>
      <c r="D766" s="19" t="n">
        <f aca="false">MONTH(B766)</f>
        <v>9</v>
      </c>
      <c r="E766" s="30" t="str">
        <f aca="false">INDEX(Lists!$K$2:$K$13,MATCH(D766,Lists!$J$2:$J$13,0))</f>
        <v>سبتمبر</v>
      </c>
      <c r="F766" s="19" t="str">
        <f aca="false">"Q"&amp;ROUNDUP(D766/3,0)</f>
        <v>Q3</v>
      </c>
      <c r="G766" s="30" t="str">
        <f aca="false">INDEX(Lists!$N$2:$N$8,MATCH(WEEKDAY(B766,2),Lists!$M$2:$M$8,0))</f>
        <v>الأربعاء</v>
      </c>
      <c r="H766" s="30" t="s">
        <v>46</v>
      </c>
      <c r="I766" s="19" t="str">
        <f aca="false">INDEX(Lists!$B$2:$B$6,MATCH(H766,Lists!$A$2:$A$6,0))</f>
        <v>المنطقة الوسطى</v>
      </c>
      <c r="J766" s="30" t="s">
        <v>105</v>
      </c>
      <c r="K766" s="30" t="s">
        <v>82</v>
      </c>
      <c r="L766" s="31" t="n">
        <v>2129</v>
      </c>
      <c r="M766" s="19" t="n">
        <v>2</v>
      </c>
      <c r="N766" s="32" t="n">
        <v>0</v>
      </c>
      <c r="O766" s="30" t="s">
        <v>58</v>
      </c>
      <c r="P766" s="30" t="s">
        <v>51</v>
      </c>
      <c r="Q766" s="30" t="s">
        <v>86</v>
      </c>
      <c r="R766" s="25" t="n">
        <f aca="false">L766*M766*(1-N766)</f>
        <v>4258</v>
      </c>
    </row>
    <row r="767" customFormat="false" ht="15" hidden="false" customHeight="false" outlineLevel="0" collapsed="false">
      <c r="A767" s="30" t="s">
        <v>938</v>
      </c>
      <c r="B767" s="44" t="n">
        <v>45561</v>
      </c>
      <c r="C767" s="19" t="n">
        <f aca="false">YEAR(B767)</f>
        <v>2024</v>
      </c>
      <c r="D767" s="19" t="n">
        <f aca="false">MONTH(B767)</f>
        <v>9</v>
      </c>
      <c r="E767" s="30" t="str">
        <f aca="false">INDEX(Lists!$K$2:$K$13,MATCH(D767,Lists!$J$2:$J$13,0))</f>
        <v>سبتمبر</v>
      </c>
      <c r="F767" s="19" t="str">
        <f aca="false">"Q"&amp;ROUNDUP(D767/3,0)</f>
        <v>Q3</v>
      </c>
      <c r="G767" s="30" t="str">
        <f aca="false">INDEX(Lists!$N$2:$N$8,MATCH(WEEKDAY(B767,2),Lists!$M$2:$M$8,0))</f>
        <v>الخميس</v>
      </c>
      <c r="H767" s="30" t="s">
        <v>50</v>
      </c>
      <c r="I767" s="19" t="str">
        <f aca="false">INDEX(Lists!$B$2:$B$6,MATCH(H767,Lists!$A$2:$A$6,0))</f>
        <v>المنطقة الغربية</v>
      </c>
      <c r="J767" s="30" t="s">
        <v>105</v>
      </c>
      <c r="K767" s="30" t="s">
        <v>179</v>
      </c>
      <c r="L767" s="31" t="n">
        <v>1379</v>
      </c>
      <c r="M767" s="19" t="n">
        <v>1</v>
      </c>
      <c r="N767" s="32" t="n">
        <v>0.1</v>
      </c>
      <c r="O767" s="30" t="s">
        <v>52</v>
      </c>
      <c r="P767" s="30" t="s">
        <v>47</v>
      </c>
      <c r="Q767" s="30" t="s">
        <v>94</v>
      </c>
      <c r="R767" s="25" t="n">
        <f aca="false">L767*M767*(1-N767)</f>
        <v>1241.1</v>
      </c>
    </row>
    <row r="768" customFormat="false" ht="15" hidden="false" customHeight="false" outlineLevel="0" collapsed="false">
      <c r="A768" s="30" t="s">
        <v>939</v>
      </c>
      <c r="B768" s="44" t="n">
        <v>45561</v>
      </c>
      <c r="C768" s="19" t="n">
        <f aca="false">YEAR(B768)</f>
        <v>2024</v>
      </c>
      <c r="D768" s="19" t="n">
        <f aca="false">MONTH(B768)</f>
        <v>9</v>
      </c>
      <c r="E768" s="30" t="str">
        <f aca="false">INDEX(Lists!$K$2:$K$13,MATCH(D768,Lists!$J$2:$J$13,0))</f>
        <v>سبتمبر</v>
      </c>
      <c r="F768" s="19" t="str">
        <f aca="false">"Q"&amp;ROUNDUP(D768/3,0)</f>
        <v>Q3</v>
      </c>
      <c r="G768" s="30" t="str">
        <f aca="false">INDEX(Lists!$N$2:$N$8,MATCH(WEEKDAY(B768,2),Lists!$M$2:$M$8,0))</f>
        <v>الخميس</v>
      </c>
      <c r="H768" s="30" t="s">
        <v>50</v>
      </c>
      <c r="I768" s="19" t="str">
        <f aca="false">INDEX(Lists!$B$2:$B$6,MATCH(H768,Lists!$A$2:$A$6,0))</f>
        <v>المنطقة الغربية</v>
      </c>
      <c r="J768" s="30" t="s">
        <v>109</v>
      </c>
      <c r="K768" s="30" t="s">
        <v>110</v>
      </c>
      <c r="L768" s="31" t="n">
        <v>239</v>
      </c>
      <c r="M768" s="19" t="n">
        <v>2</v>
      </c>
      <c r="N768" s="32" t="n">
        <v>0</v>
      </c>
      <c r="O768" s="30" t="s">
        <v>52</v>
      </c>
      <c r="P768" s="30" t="s">
        <v>47</v>
      </c>
      <c r="Q768" s="30" t="s">
        <v>86</v>
      </c>
      <c r="R768" s="25" t="n">
        <f aca="false">L768*M768*(1-N768)</f>
        <v>478</v>
      </c>
    </row>
    <row r="769" customFormat="false" ht="15" hidden="false" customHeight="false" outlineLevel="0" collapsed="false">
      <c r="A769" s="30" t="s">
        <v>940</v>
      </c>
      <c r="B769" s="44" t="n">
        <v>45561</v>
      </c>
      <c r="C769" s="19" t="n">
        <f aca="false">YEAR(B769)</f>
        <v>2024</v>
      </c>
      <c r="D769" s="19" t="n">
        <f aca="false">MONTH(B769)</f>
        <v>9</v>
      </c>
      <c r="E769" s="30" t="str">
        <f aca="false">INDEX(Lists!$K$2:$K$13,MATCH(D769,Lists!$J$2:$J$13,0))</f>
        <v>سبتمبر</v>
      </c>
      <c r="F769" s="19" t="str">
        <f aca="false">"Q"&amp;ROUNDUP(D769/3,0)</f>
        <v>Q3</v>
      </c>
      <c r="G769" s="30" t="str">
        <f aca="false">INDEX(Lists!$N$2:$N$8,MATCH(WEEKDAY(B769,2),Lists!$M$2:$M$8,0))</f>
        <v>الخميس</v>
      </c>
      <c r="H769" s="30" t="s">
        <v>50</v>
      </c>
      <c r="I769" s="19" t="str">
        <f aca="false">INDEX(Lists!$B$2:$B$6,MATCH(H769,Lists!$A$2:$A$6,0))</f>
        <v>المنطقة الغربية</v>
      </c>
      <c r="J769" s="30" t="s">
        <v>111</v>
      </c>
      <c r="K769" s="30" t="s">
        <v>108</v>
      </c>
      <c r="L769" s="31" t="n">
        <v>119</v>
      </c>
      <c r="M769" s="19" t="n">
        <v>1</v>
      </c>
      <c r="N769" s="32" t="n">
        <v>0.1</v>
      </c>
      <c r="O769" s="30" t="s">
        <v>48</v>
      </c>
      <c r="P769" s="30" t="s">
        <v>47</v>
      </c>
      <c r="Q769" s="30" t="s">
        <v>96</v>
      </c>
      <c r="R769" s="25" t="n">
        <f aca="false">L769*M769*(1-N769)</f>
        <v>107.1</v>
      </c>
    </row>
    <row r="770" customFormat="false" ht="15" hidden="false" customHeight="false" outlineLevel="0" collapsed="false">
      <c r="A770" s="30" t="s">
        <v>941</v>
      </c>
      <c r="B770" s="44" t="n">
        <v>45561</v>
      </c>
      <c r="C770" s="19" t="n">
        <f aca="false">YEAR(B770)</f>
        <v>2024</v>
      </c>
      <c r="D770" s="19" t="n">
        <f aca="false">MONTH(B770)</f>
        <v>9</v>
      </c>
      <c r="E770" s="30" t="str">
        <f aca="false">INDEX(Lists!$K$2:$K$13,MATCH(D770,Lists!$J$2:$J$13,0))</f>
        <v>سبتمبر</v>
      </c>
      <c r="F770" s="19" t="str">
        <f aca="false">"Q"&amp;ROUNDUP(D770/3,0)</f>
        <v>Q3</v>
      </c>
      <c r="G770" s="30" t="str">
        <f aca="false">INDEX(Lists!$N$2:$N$8,MATCH(WEEKDAY(B770,2),Lists!$M$2:$M$8,0))</f>
        <v>الخميس</v>
      </c>
      <c r="H770" s="30" t="s">
        <v>50</v>
      </c>
      <c r="I770" s="19" t="str">
        <f aca="false">INDEX(Lists!$B$2:$B$6,MATCH(H770,Lists!$A$2:$A$6,0))</f>
        <v>المنطقة الغربية</v>
      </c>
      <c r="J770" s="30" t="s">
        <v>111</v>
      </c>
      <c r="K770" s="30" t="s">
        <v>122</v>
      </c>
      <c r="L770" s="31" t="n">
        <v>459</v>
      </c>
      <c r="M770" s="19" t="n">
        <v>1</v>
      </c>
      <c r="N770" s="32" t="n">
        <v>0</v>
      </c>
      <c r="O770" s="30" t="s">
        <v>48</v>
      </c>
      <c r="P770" s="30" t="s">
        <v>47</v>
      </c>
      <c r="Q770" s="30" t="s">
        <v>99</v>
      </c>
      <c r="R770" s="25" t="n">
        <f aca="false">L770*M770*(1-N770)</f>
        <v>459</v>
      </c>
    </row>
    <row r="771" customFormat="false" ht="15" hidden="false" customHeight="false" outlineLevel="0" collapsed="false">
      <c r="A771" s="30" t="s">
        <v>942</v>
      </c>
      <c r="B771" s="44" t="n">
        <v>45562</v>
      </c>
      <c r="C771" s="19" t="n">
        <f aca="false">YEAR(B771)</f>
        <v>2024</v>
      </c>
      <c r="D771" s="19" t="n">
        <f aca="false">MONTH(B771)</f>
        <v>9</v>
      </c>
      <c r="E771" s="30" t="str">
        <f aca="false">INDEX(Lists!$K$2:$K$13,MATCH(D771,Lists!$J$2:$J$13,0))</f>
        <v>سبتمبر</v>
      </c>
      <c r="F771" s="19" t="str">
        <f aca="false">"Q"&amp;ROUNDUP(D771/3,0)</f>
        <v>Q3</v>
      </c>
      <c r="G771" s="30" t="str">
        <f aca="false">INDEX(Lists!$N$2:$N$8,MATCH(WEEKDAY(B771,2),Lists!$M$2:$M$8,0))</f>
        <v>الجمعة</v>
      </c>
      <c r="H771" s="30" t="s">
        <v>54</v>
      </c>
      <c r="I771" s="19" t="str">
        <f aca="false">INDEX(Lists!$B$2:$B$6,MATCH(H771,Lists!$A$2:$A$6,0))</f>
        <v>المنطقة الشرقية</v>
      </c>
      <c r="J771" s="30" t="s">
        <v>109</v>
      </c>
      <c r="K771" s="30" t="s">
        <v>192</v>
      </c>
      <c r="L771" s="31" t="n">
        <v>269</v>
      </c>
      <c r="M771" s="19" t="n">
        <v>2</v>
      </c>
      <c r="N771" s="32" t="n">
        <v>0.15</v>
      </c>
      <c r="O771" s="30" t="s">
        <v>48</v>
      </c>
      <c r="P771" s="30" t="s">
        <v>47</v>
      </c>
      <c r="Q771" s="30" t="s">
        <v>92</v>
      </c>
      <c r="R771" s="25" t="n">
        <f aca="false">L771*M771*(1-N771)</f>
        <v>457.3</v>
      </c>
    </row>
    <row r="772" customFormat="false" ht="15" hidden="false" customHeight="false" outlineLevel="0" collapsed="false">
      <c r="A772" s="30" t="s">
        <v>943</v>
      </c>
      <c r="B772" s="44" t="n">
        <v>45562</v>
      </c>
      <c r="C772" s="19" t="n">
        <f aca="false">YEAR(B772)</f>
        <v>2024</v>
      </c>
      <c r="D772" s="19" t="n">
        <f aca="false">MONTH(B772)</f>
        <v>9</v>
      </c>
      <c r="E772" s="30" t="str">
        <f aca="false">INDEX(Lists!$K$2:$K$13,MATCH(D772,Lists!$J$2:$J$13,0))</f>
        <v>سبتمبر</v>
      </c>
      <c r="F772" s="19" t="str">
        <f aca="false">"Q"&amp;ROUNDUP(D772/3,0)</f>
        <v>Q3</v>
      </c>
      <c r="G772" s="30" t="str">
        <f aca="false">INDEX(Lists!$N$2:$N$8,MATCH(WEEKDAY(B772,2),Lists!$M$2:$M$8,0))</f>
        <v>الجمعة</v>
      </c>
      <c r="H772" s="30" t="s">
        <v>54</v>
      </c>
      <c r="I772" s="19" t="str">
        <f aca="false">INDEX(Lists!$B$2:$B$6,MATCH(H772,Lists!$A$2:$A$6,0))</f>
        <v>المنطقة الشرقية</v>
      </c>
      <c r="J772" s="30" t="s">
        <v>111</v>
      </c>
      <c r="K772" s="30" t="s">
        <v>122</v>
      </c>
      <c r="L772" s="31" t="n">
        <v>129</v>
      </c>
      <c r="M772" s="19" t="n">
        <v>1</v>
      </c>
      <c r="N772" s="32" t="n">
        <v>0</v>
      </c>
      <c r="O772" s="30" t="s">
        <v>48</v>
      </c>
      <c r="P772" s="30" t="s">
        <v>47</v>
      </c>
      <c r="Q772" s="30" t="s">
        <v>96</v>
      </c>
      <c r="R772" s="25" t="n">
        <f aca="false">L772*M772*(1-N772)</f>
        <v>129</v>
      </c>
    </row>
    <row r="773" customFormat="false" ht="15" hidden="false" customHeight="false" outlineLevel="0" collapsed="false">
      <c r="A773" s="30" t="s">
        <v>944</v>
      </c>
      <c r="B773" s="44" t="n">
        <v>45562</v>
      </c>
      <c r="C773" s="19" t="n">
        <f aca="false">YEAR(B773)</f>
        <v>2024</v>
      </c>
      <c r="D773" s="19" t="n">
        <f aca="false">MONTH(B773)</f>
        <v>9</v>
      </c>
      <c r="E773" s="30" t="str">
        <f aca="false">INDEX(Lists!$K$2:$K$13,MATCH(D773,Lists!$J$2:$J$13,0))</f>
        <v>سبتمبر</v>
      </c>
      <c r="F773" s="19" t="str">
        <f aca="false">"Q"&amp;ROUNDUP(D773/3,0)</f>
        <v>Q3</v>
      </c>
      <c r="G773" s="30" t="str">
        <f aca="false">INDEX(Lists!$N$2:$N$8,MATCH(WEEKDAY(B773,2),Lists!$M$2:$M$8,0))</f>
        <v>الجمعة</v>
      </c>
      <c r="H773" s="30" t="s">
        <v>54</v>
      </c>
      <c r="I773" s="19" t="str">
        <f aca="false">INDEX(Lists!$B$2:$B$6,MATCH(H773,Lists!$A$2:$A$6,0))</f>
        <v>المنطقة الشرقية</v>
      </c>
      <c r="J773" s="30" t="s">
        <v>105</v>
      </c>
      <c r="K773" s="30" t="s">
        <v>82</v>
      </c>
      <c r="L773" s="31" t="n">
        <v>2539</v>
      </c>
      <c r="M773" s="19" t="n">
        <v>1</v>
      </c>
      <c r="N773" s="32" t="n">
        <v>0</v>
      </c>
      <c r="O773" s="30" t="s">
        <v>48</v>
      </c>
      <c r="P773" s="30" t="s">
        <v>47</v>
      </c>
      <c r="Q773" s="30" t="s">
        <v>96</v>
      </c>
      <c r="R773" s="25" t="n">
        <f aca="false">L773*M773*(1-N773)</f>
        <v>2539</v>
      </c>
    </row>
    <row r="774" customFormat="false" ht="15" hidden="false" customHeight="false" outlineLevel="0" collapsed="false">
      <c r="A774" s="30" t="s">
        <v>945</v>
      </c>
      <c r="B774" s="44" t="n">
        <v>45562</v>
      </c>
      <c r="C774" s="19" t="n">
        <f aca="false">YEAR(B774)</f>
        <v>2024</v>
      </c>
      <c r="D774" s="19" t="n">
        <f aca="false">MONTH(B774)</f>
        <v>9</v>
      </c>
      <c r="E774" s="30" t="str">
        <f aca="false">INDEX(Lists!$K$2:$K$13,MATCH(D774,Lists!$J$2:$J$13,0))</f>
        <v>سبتمبر</v>
      </c>
      <c r="F774" s="19" t="str">
        <f aca="false">"Q"&amp;ROUNDUP(D774/3,0)</f>
        <v>Q3</v>
      </c>
      <c r="G774" s="30" t="str">
        <f aca="false">INDEX(Lists!$N$2:$N$8,MATCH(WEEKDAY(B774,2),Lists!$M$2:$M$8,0))</f>
        <v>الجمعة</v>
      </c>
      <c r="H774" s="30" t="s">
        <v>60</v>
      </c>
      <c r="I774" s="19" t="str">
        <f aca="false">INDEX(Lists!$B$2:$B$6,MATCH(H774,Lists!$A$2:$A$6,0))</f>
        <v>المنطقة الغربية</v>
      </c>
      <c r="J774" s="30" t="s">
        <v>111</v>
      </c>
      <c r="K774" s="30" t="s">
        <v>120</v>
      </c>
      <c r="L774" s="31" t="n">
        <v>429</v>
      </c>
      <c r="M774" s="19" t="n">
        <v>3</v>
      </c>
      <c r="N774" s="32" t="n">
        <v>0</v>
      </c>
      <c r="O774" s="30" t="s">
        <v>48</v>
      </c>
      <c r="P774" s="30" t="s">
        <v>47</v>
      </c>
      <c r="Q774" s="30" t="s">
        <v>94</v>
      </c>
      <c r="R774" s="25" t="n">
        <f aca="false">L774*M774*(1-N774)</f>
        <v>1287</v>
      </c>
    </row>
    <row r="775" customFormat="false" ht="15" hidden="false" customHeight="false" outlineLevel="0" collapsed="false">
      <c r="A775" s="30" t="s">
        <v>946</v>
      </c>
      <c r="B775" s="44" t="n">
        <v>45563</v>
      </c>
      <c r="C775" s="19" t="n">
        <f aca="false">YEAR(B775)</f>
        <v>2024</v>
      </c>
      <c r="D775" s="19" t="n">
        <f aca="false">MONTH(B775)</f>
        <v>9</v>
      </c>
      <c r="E775" s="30" t="str">
        <f aca="false">INDEX(Lists!$K$2:$K$13,MATCH(D775,Lists!$J$2:$J$13,0))</f>
        <v>سبتمبر</v>
      </c>
      <c r="F775" s="19" t="str">
        <f aca="false">"Q"&amp;ROUNDUP(D775/3,0)</f>
        <v>Q3</v>
      </c>
      <c r="G775" s="30" t="str">
        <f aca="false">INDEX(Lists!$N$2:$N$8,MATCH(WEEKDAY(B775,2),Lists!$M$2:$M$8,0))</f>
        <v>السبت</v>
      </c>
      <c r="H775" s="30" t="s">
        <v>50</v>
      </c>
      <c r="I775" s="19" t="str">
        <f aca="false">INDEX(Lists!$B$2:$B$6,MATCH(H775,Lists!$A$2:$A$6,0))</f>
        <v>المنطقة الغربية</v>
      </c>
      <c r="J775" s="30" t="s">
        <v>107</v>
      </c>
      <c r="K775" s="30" t="s">
        <v>184</v>
      </c>
      <c r="L775" s="31" t="n">
        <v>6989</v>
      </c>
      <c r="M775" s="19" t="n">
        <v>1</v>
      </c>
      <c r="N775" s="32" t="n">
        <v>0</v>
      </c>
      <c r="O775" s="30" t="s">
        <v>55</v>
      </c>
      <c r="P775" s="30" t="s">
        <v>47</v>
      </c>
      <c r="Q775" s="30" t="s">
        <v>89</v>
      </c>
      <c r="R775" s="25" t="n">
        <f aca="false">L775*M775*(1-N775)</f>
        <v>6989</v>
      </c>
    </row>
    <row r="776" customFormat="false" ht="15" hidden="false" customHeight="false" outlineLevel="0" collapsed="false">
      <c r="A776" s="30" t="s">
        <v>947</v>
      </c>
      <c r="B776" s="44" t="n">
        <v>45563</v>
      </c>
      <c r="C776" s="19" t="n">
        <f aca="false">YEAR(B776)</f>
        <v>2024</v>
      </c>
      <c r="D776" s="19" t="n">
        <f aca="false">MONTH(B776)</f>
        <v>9</v>
      </c>
      <c r="E776" s="30" t="str">
        <f aca="false">INDEX(Lists!$K$2:$K$13,MATCH(D776,Lists!$J$2:$J$13,0))</f>
        <v>سبتمبر</v>
      </c>
      <c r="F776" s="19" t="str">
        <f aca="false">"Q"&amp;ROUNDUP(D776/3,0)</f>
        <v>Q3</v>
      </c>
      <c r="G776" s="30" t="str">
        <f aca="false">INDEX(Lists!$N$2:$N$8,MATCH(WEEKDAY(B776,2),Lists!$M$2:$M$8,0))</f>
        <v>السبت</v>
      </c>
      <c r="H776" s="30" t="s">
        <v>46</v>
      </c>
      <c r="I776" s="19" t="str">
        <f aca="false">INDEX(Lists!$B$2:$B$6,MATCH(H776,Lists!$A$2:$A$6,0))</f>
        <v>المنطقة الوسطى</v>
      </c>
      <c r="J776" s="30" t="s">
        <v>105</v>
      </c>
      <c r="K776" s="30" t="s">
        <v>79</v>
      </c>
      <c r="L776" s="31" t="n">
        <v>1899</v>
      </c>
      <c r="M776" s="19" t="n">
        <v>1</v>
      </c>
      <c r="N776" s="32" t="n">
        <v>0</v>
      </c>
      <c r="O776" s="30" t="s">
        <v>55</v>
      </c>
      <c r="P776" s="30" t="s">
        <v>47</v>
      </c>
      <c r="Q776" s="30" t="s">
        <v>84</v>
      </c>
      <c r="R776" s="25" t="n">
        <f aca="false">L776*M776*(1-N776)</f>
        <v>1899</v>
      </c>
    </row>
    <row r="777" customFormat="false" ht="15" hidden="false" customHeight="false" outlineLevel="0" collapsed="false">
      <c r="A777" s="30" t="s">
        <v>948</v>
      </c>
      <c r="B777" s="44" t="n">
        <v>45564</v>
      </c>
      <c r="C777" s="19" t="n">
        <f aca="false">YEAR(B777)</f>
        <v>2024</v>
      </c>
      <c r="D777" s="19" t="n">
        <f aca="false">MONTH(B777)</f>
        <v>9</v>
      </c>
      <c r="E777" s="30" t="str">
        <f aca="false">INDEX(Lists!$K$2:$K$13,MATCH(D777,Lists!$J$2:$J$13,0))</f>
        <v>سبتمبر</v>
      </c>
      <c r="F777" s="19" t="str">
        <f aca="false">"Q"&amp;ROUNDUP(D777/3,0)</f>
        <v>Q3</v>
      </c>
      <c r="G777" s="30" t="str">
        <f aca="false">INDEX(Lists!$N$2:$N$8,MATCH(WEEKDAY(B777,2),Lists!$M$2:$M$8,0))</f>
        <v>الأحد</v>
      </c>
      <c r="H777" s="30" t="s">
        <v>50</v>
      </c>
      <c r="I777" s="19" t="str">
        <f aca="false">INDEX(Lists!$B$2:$B$6,MATCH(H777,Lists!$A$2:$A$6,0))</f>
        <v>المنطقة الغربية</v>
      </c>
      <c r="J777" s="30" t="s">
        <v>113</v>
      </c>
      <c r="K777" s="30" t="s">
        <v>95</v>
      </c>
      <c r="L777" s="31" t="n">
        <v>469</v>
      </c>
      <c r="M777" s="19" t="n">
        <v>1</v>
      </c>
      <c r="N777" s="32" t="n">
        <v>0</v>
      </c>
      <c r="O777" s="30" t="s">
        <v>48</v>
      </c>
      <c r="P777" s="30" t="s">
        <v>47</v>
      </c>
      <c r="Q777" s="30" t="s">
        <v>96</v>
      </c>
      <c r="R777" s="25" t="n">
        <f aca="false">L777*M777*(1-N777)</f>
        <v>469</v>
      </c>
    </row>
    <row r="778" customFormat="false" ht="15" hidden="false" customHeight="false" outlineLevel="0" collapsed="false">
      <c r="A778" s="30" t="s">
        <v>949</v>
      </c>
      <c r="B778" s="44" t="n">
        <v>45564</v>
      </c>
      <c r="C778" s="19" t="n">
        <f aca="false">YEAR(B778)</f>
        <v>2024</v>
      </c>
      <c r="D778" s="19" t="n">
        <f aca="false">MONTH(B778)</f>
        <v>9</v>
      </c>
      <c r="E778" s="30" t="str">
        <f aca="false">INDEX(Lists!$K$2:$K$13,MATCH(D778,Lists!$J$2:$J$13,0))</f>
        <v>سبتمبر</v>
      </c>
      <c r="F778" s="19" t="str">
        <f aca="false">"Q"&amp;ROUNDUP(D778/3,0)</f>
        <v>Q3</v>
      </c>
      <c r="G778" s="30" t="str">
        <f aca="false">INDEX(Lists!$N$2:$N$8,MATCH(WEEKDAY(B778,2),Lists!$M$2:$M$8,0))</f>
        <v>الأحد</v>
      </c>
      <c r="H778" s="30" t="s">
        <v>46</v>
      </c>
      <c r="I778" s="19" t="str">
        <f aca="false">INDEX(Lists!$B$2:$B$6,MATCH(H778,Lists!$A$2:$A$6,0))</f>
        <v>المنطقة الوسطى</v>
      </c>
      <c r="J778" s="30" t="s">
        <v>107</v>
      </c>
      <c r="K778" s="30" t="s">
        <v>114</v>
      </c>
      <c r="L778" s="31" t="n">
        <v>4029</v>
      </c>
      <c r="M778" s="19" t="n">
        <v>10</v>
      </c>
      <c r="N778" s="32" t="n">
        <v>0.1</v>
      </c>
      <c r="O778" s="30" t="s">
        <v>48</v>
      </c>
      <c r="P778" s="30" t="s">
        <v>51</v>
      </c>
      <c r="Q778" s="30" t="s">
        <v>86</v>
      </c>
      <c r="R778" s="25" t="n">
        <f aca="false">L778*M778*(1-N778)</f>
        <v>36261</v>
      </c>
    </row>
    <row r="779" customFormat="false" ht="15" hidden="false" customHeight="false" outlineLevel="0" collapsed="false">
      <c r="A779" s="30" t="s">
        <v>950</v>
      </c>
      <c r="B779" s="44" t="n">
        <v>45564</v>
      </c>
      <c r="C779" s="19" t="n">
        <f aca="false">YEAR(B779)</f>
        <v>2024</v>
      </c>
      <c r="D779" s="19" t="n">
        <f aca="false">MONTH(B779)</f>
        <v>9</v>
      </c>
      <c r="E779" s="30" t="str">
        <f aca="false">INDEX(Lists!$K$2:$K$13,MATCH(D779,Lists!$J$2:$J$13,0))</f>
        <v>سبتمبر</v>
      </c>
      <c r="F779" s="19" t="str">
        <f aca="false">"Q"&amp;ROUNDUP(D779/3,0)</f>
        <v>Q3</v>
      </c>
      <c r="G779" s="30" t="str">
        <f aca="false">INDEX(Lists!$N$2:$N$8,MATCH(WEEKDAY(B779,2),Lists!$M$2:$M$8,0))</f>
        <v>الأحد</v>
      </c>
      <c r="H779" s="30" t="s">
        <v>60</v>
      </c>
      <c r="I779" s="19" t="str">
        <f aca="false">INDEX(Lists!$B$2:$B$6,MATCH(H779,Lists!$A$2:$A$6,0))</f>
        <v>المنطقة الغربية</v>
      </c>
      <c r="J779" s="30" t="s">
        <v>105</v>
      </c>
      <c r="K779" s="30" t="s">
        <v>85</v>
      </c>
      <c r="L779" s="31" t="n">
        <v>1819</v>
      </c>
      <c r="M779" s="19" t="n">
        <v>1</v>
      </c>
      <c r="N779" s="32" t="n">
        <v>0</v>
      </c>
      <c r="O779" s="30" t="s">
        <v>58</v>
      </c>
      <c r="P779" s="30" t="s">
        <v>47</v>
      </c>
      <c r="Q779" s="30" t="s">
        <v>89</v>
      </c>
      <c r="R779" s="25" t="n">
        <f aca="false">L779*M779*(1-N779)</f>
        <v>1819</v>
      </c>
    </row>
    <row r="780" customFormat="false" ht="15" hidden="false" customHeight="false" outlineLevel="0" collapsed="false">
      <c r="A780" s="30" t="s">
        <v>951</v>
      </c>
      <c r="B780" s="44" t="n">
        <v>45565</v>
      </c>
      <c r="C780" s="19" t="n">
        <f aca="false">YEAR(B780)</f>
        <v>2024</v>
      </c>
      <c r="D780" s="19" t="n">
        <f aca="false">MONTH(B780)</f>
        <v>9</v>
      </c>
      <c r="E780" s="30" t="str">
        <f aca="false">INDEX(Lists!$K$2:$K$13,MATCH(D780,Lists!$J$2:$J$13,0))</f>
        <v>سبتمبر</v>
      </c>
      <c r="F780" s="19" t="str">
        <f aca="false">"Q"&amp;ROUNDUP(D780/3,0)</f>
        <v>Q3</v>
      </c>
      <c r="G780" s="30" t="str">
        <f aca="false">INDEX(Lists!$N$2:$N$8,MATCH(WEEKDAY(B780,2),Lists!$M$2:$M$8,0))</f>
        <v>الإثنين</v>
      </c>
      <c r="H780" s="30" t="s">
        <v>50</v>
      </c>
      <c r="I780" s="19" t="str">
        <f aca="false">INDEX(Lists!$B$2:$B$6,MATCH(H780,Lists!$A$2:$A$6,0))</f>
        <v>المنطقة الغربية</v>
      </c>
      <c r="J780" s="30" t="s">
        <v>109</v>
      </c>
      <c r="K780" s="30" t="s">
        <v>110</v>
      </c>
      <c r="L780" s="31" t="n">
        <v>299</v>
      </c>
      <c r="M780" s="19" t="n">
        <v>1</v>
      </c>
      <c r="N780" s="32" t="n">
        <v>0.1</v>
      </c>
      <c r="O780" s="30" t="s">
        <v>52</v>
      </c>
      <c r="P780" s="30" t="s">
        <v>47</v>
      </c>
      <c r="Q780" s="30" t="s">
        <v>89</v>
      </c>
      <c r="R780" s="25" t="n">
        <f aca="false">L780*M780*(1-N780)</f>
        <v>269.1</v>
      </c>
    </row>
    <row r="781" customFormat="false" ht="15" hidden="false" customHeight="false" outlineLevel="0" collapsed="false">
      <c r="A781" s="30" t="s">
        <v>952</v>
      </c>
      <c r="B781" s="44" t="n">
        <v>45565</v>
      </c>
      <c r="C781" s="19" t="n">
        <f aca="false">YEAR(B781)</f>
        <v>2024</v>
      </c>
      <c r="D781" s="19" t="n">
        <f aca="false">MONTH(B781)</f>
        <v>9</v>
      </c>
      <c r="E781" s="30" t="str">
        <f aca="false">INDEX(Lists!$K$2:$K$13,MATCH(D781,Lists!$J$2:$J$13,0))</f>
        <v>سبتمبر</v>
      </c>
      <c r="F781" s="19" t="str">
        <f aca="false">"Q"&amp;ROUNDUP(D781/3,0)</f>
        <v>Q3</v>
      </c>
      <c r="G781" s="30" t="str">
        <f aca="false">INDEX(Lists!$N$2:$N$8,MATCH(WEEKDAY(B781,2),Lists!$M$2:$M$8,0))</f>
        <v>الإثنين</v>
      </c>
      <c r="H781" s="30" t="s">
        <v>57</v>
      </c>
      <c r="I781" s="19" t="str">
        <f aca="false">INDEX(Lists!$B$2:$B$6,MATCH(H781,Lists!$A$2:$A$6,0))</f>
        <v>المنطقة الغربية</v>
      </c>
      <c r="J781" s="30" t="s">
        <v>109</v>
      </c>
      <c r="K781" s="30" t="s">
        <v>110</v>
      </c>
      <c r="L781" s="31" t="n">
        <v>109</v>
      </c>
      <c r="M781" s="19" t="n">
        <v>1</v>
      </c>
      <c r="N781" s="32" t="n">
        <v>0</v>
      </c>
      <c r="O781" s="30" t="s">
        <v>55</v>
      </c>
      <c r="P781" s="30" t="s">
        <v>51</v>
      </c>
      <c r="Q781" s="30" t="s">
        <v>78</v>
      </c>
      <c r="R781" s="25" t="n">
        <f aca="false">L781*M781*(1-N781)</f>
        <v>109</v>
      </c>
    </row>
    <row r="782" customFormat="false" ht="15" hidden="false" customHeight="false" outlineLevel="0" collapsed="false">
      <c r="A782" s="30" t="s">
        <v>953</v>
      </c>
      <c r="B782" s="44" t="n">
        <v>45566</v>
      </c>
      <c r="C782" s="19" t="n">
        <f aca="false">YEAR(B782)</f>
        <v>2024</v>
      </c>
      <c r="D782" s="19" t="n">
        <f aca="false">MONTH(B782)</f>
        <v>10</v>
      </c>
      <c r="E782" s="30" t="str">
        <f aca="false">INDEX(Lists!$K$2:$K$13,MATCH(D782,Lists!$J$2:$J$13,0))</f>
        <v>أكتوبر</v>
      </c>
      <c r="F782" s="19" t="str">
        <f aca="false">"Q"&amp;ROUNDUP(D782/3,0)</f>
        <v>Q4</v>
      </c>
      <c r="G782" s="30" t="str">
        <f aca="false">INDEX(Lists!$N$2:$N$8,MATCH(WEEKDAY(B782,2),Lists!$M$2:$M$8,0))</f>
        <v>الثلاثاء</v>
      </c>
      <c r="H782" s="30" t="s">
        <v>50</v>
      </c>
      <c r="I782" s="19" t="str">
        <f aca="false">INDEX(Lists!$B$2:$B$6,MATCH(H782,Lists!$A$2:$A$6,0))</f>
        <v>المنطقة الغربية</v>
      </c>
      <c r="J782" s="30" t="s">
        <v>107</v>
      </c>
      <c r="K782" s="30" t="s">
        <v>272</v>
      </c>
      <c r="L782" s="31" t="n">
        <v>3069</v>
      </c>
      <c r="M782" s="19" t="n">
        <v>1</v>
      </c>
      <c r="N782" s="32" t="n">
        <v>0.05</v>
      </c>
      <c r="O782" s="30" t="s">
        <v>48</v>
      </c>
      <c r="P782" s="30" t="s">
        <v>47</v>
      </c>
      <c r="Q782" s="30" t="s">
        <v>81</v>
      </c>
      <c r="R782" s="25" t="n">
        <f aca="false">L782*M782*(1-N782)</f>
        <v>2915.55</v>
      </c>
    </row>
    <row r="783" customFormat="false" ht="15" hidden="false" customHeight="false" outlineLevel="0" collapsed="false">
      <c r="A783" s="30" t="s">
        <v>954</v>
      </c>
      <c r="B783" s="44" t="n">
        <v>45566</v>
      </c>
      <c r="C783" s="19" t="n">
        <f aca="false">YEAR(B783)</f>
        <v>2024</v>
      </c>
      <c r="D783" s="19" t="n">
        <f aca="false">MONTH(B783)</f>
        <v>10</v>
      </c>
      <c r="E783" s="30" t="str">
        <f aca="false">INDEX(Lists!$K$2:$K$13,MATCH(D783,Lists!$J$2:$J$13,0))</f>
        <v>أكتوبر</v>
      </c>
      <c r="F783" s="19" t="str">
        <f aca="false">"Q"&amp;ROUNDUP(D783/3,0)</f>
        <v>Q4</v>
      </c>
      <c r="G783" s="30" t="str">
        <f aca="false">INDEX(Lists!$N$2:$N$8,MATCH(WEEKDAY(B783,2),Lists!$M$2:$M$8,0))</f>
        <v>الثلاثاء</v>
      </c>
      <c r="H783" s="30" t="s">
        <v>46</v>
      </c>
      <c r="I783" s="19" t="str">
        <f aca="false">INDEX(Lists!$B$2:$B$6,MATCH(H783,Lists!$A$2:$A$6,0))</f>
        <v>المنطقة الوسطى</v>
      </c>
      <c r="J783" s="30" t="s">
        <v>105</v>
      </c>
      <c r="K783" s="30" t="s">
        <v>79</v>
      </c>
      <c r="L783" s="31" t="n">
        <v>3249</v>
      </c>
      <c r="M783" s="19" t="n">
        <v>1</v>
      </c>
      <c r="N783" s="32" t="n">
        <v>0.1</v>
      </c>
      <c r="O783" s="30" t="s">
        <v>55</v>
      </c>
      <c r="P783" s="30" t="s">
        <v>47</v>
      </c>
      <c r="Q783" s="30" t="s">
        <v>78</v>
      </c>
      <c r="R783" s="25" t="n">
        <f aca="false">L783*M783*(1-N783)</f>
        <v>2924.1</v>
      </c>
    </row>
    <row r="784" customFormat="false" ht="15" hidden="false" customHeight="false" outlineLevel="0" collapsed="false">
      <c r="A784" s="30" t="s">
        <v>955</v>
      </c>
      <c r="B784" s="44" t="n">
        <v>45566</v>
      </c>
      <c r="C784" s="19" t="n">
        <f aca="false">YEAR(B784)</f>
        <v>2024</v>
      </c>
      <c r="D784" s="19" t="n">
        <f aca="false">MONTH(B784)</f>
        <v>10</v>
      </c>
      <c r="E784" s="30" t="str">
        <f aca="false">INDEX(Lists!$K$2:$K$13,MATCH(D784,Lists!$J$2:$J$13,0))</f>
        <v>أكتوبر</v>
      </c>
      <c r="F784" s="19" t="str">
        <f aca="false">"Q"&amp;ROUNDUP(D784/3,0)</f>
        <v>Q4</v>
      </c>
      <c r="G784" s="30" t="str">
        <f aca="false">INDEX(Lists!$N$2:$N$8,MATCH(WEEKDAY(B784,2),Lists!$M$2:$M$8,0))</f>
        <v>الثلاثاء</v>
      </c>
      <c r="H784" s="30" t="s">
        <v>46</v>
      </c>
      <c r="I784" s="19" t="str">
        <f aca="false">INDEX(Lists!$B$2:$B$6,MATCH(H784,Lists!$A$2:$A$6,0))</f>
        <v>المنطقة الوسطى</v>
      </c>
      <c r="J784" s="30" t="s">
        <v>113</v>
      </c>
      <c r="K784" s="30" t="s">
        <v>100</v>
      </c>
      <c r="L784" s="31" t="n">
        <v>179</v>
      </c>
      <c r="M784" s="19" t="n">
        <v>1</v>
      </c>
      <c r="N784" s="32" t="n">
        <v>0.2</v>
      </c>
      <c r="O784" s="30" t="s">
        <v>52</v>
      </c>
      <c r="P784" s="30" t="s">
        <v>47</v>
      </c>
      <c r="Q784" s="30" t="s">
        <v>92</v>
      </c>
      <c r="R784" s="25" t="n">
        <f aca="false">L784*M784*(1-N784)</f>
        <v>143.2</v>
      </c>
    </row>
    <row r="785" customFormat="false" ht="15" hidden="false" customHeight="false" outlineLevel="0" collapsed="false">
      <c r="A785" s="30" t="s">
        <v>956</v>
      </c>
      <c r="B785" s="44" t="n">
        <v>45566</v>
      </c>
      <c r="C785" s="19" t="n">
        <f aca="false">YEAR(B785)</f>
        <v>2024</v>
      </c>
      <c r="D785" s="19" t="n">
        <f aca="false">MONTH(B785)</f>
        <v>10</v>
      </c>
      <c r="E785" s="30" t="str">
        <f aca="false">INDEX(Lists!$K$2:$K$13,MATCH(D785,Lists!$J$2:$J$13,0))</f>
        <v>أكتوبر</v>
      </c>
      <c r="F785" s="19" t="str">
        <f aca="false">"Q"&amp;ROUNDUP(D785/3,0)</f>
        <v>Q4</v>
      </c>
      <c r="G785" s="30" t="str">
        <f aca="false">INDEX(Lists!$N$2:$N$8,MATCH(WEEKDAY(B785,2),Lists!$M$2:$M$8,0))</f>
        <v>الثلاثاء</v>
      </c>
      <c r="H785" s="30" t="s">
        <v>46</v>
      </c>
      <c r="I785" s="19" t="str">
        <f aca="false">INDEX(Lists!$B$2:$B$6,MATCH(H785,Lists!$A$2:$A$6,0))</f>
        <v>المنطقة الوسطى</v>
      </c>
      <c r="J785" s="30" t="s">
        <v>113</v>
      </c>
      <c r="K785" s="30" t="s">
        <v>95</v>
      </c>
      <c r="L785" s="31" t="n">
        <v>759</v>
      </c>
      <c r="M785" s="19" t="n">
        <v>1</v>
      </c>
      <c r="N785" s="32" t="n">
        <v>0</v>
      </c>
      <c r="O785" s="30" t="s">
        <v>48</v>
      </c>
      <c r="P785" s="30" t="s">
        <v>47</v>
      </c>
      <c r="Q785" s="30" t="s">
        <v>78</v>
      </c>
      <c r="R785" s="25" t="n">
        <f aca="false">L785*M785*(1-N785)</f>
        <v>759</v>
      </c>
    </row>
    <row r="786" customFormat="false" ht="15" hidden="false" customHeight="false" outlineLevel="0" collapsed="false">
      <c r="A786" s="30" t="s">
        <v>957</v>
      </c>
      <c r="B786" s="44" t="n">
        <v>45567</v>
      </c>
      <c r="C786" s="19" t="n">
        <f aca="false">YEAR(B786)</f>
        <v>2024</v>
      </c>
      <c r="D786" s="19" t="n">
        <f aca="false">MONTH(B786)</f>
        <v>10</v>
      </c>
      <c r="E786" s="30" t="str">
        <f aca="false">INDEX(Lists!$K$2:$K$13,MATCH(D786,Lists!$J$2:$J$13,0))</f>
        <v>أكتوبر</v>
      </c>
      <c r="F786" s="19" t="str">
        <f aca="false">"Q"&amp;ROUNDUP(D786/3,0)</f>
        <v>Q4</v>
      </c>
      <c r="G786" s="30" t="str">
        <f aca="false">INDEX(Lists!$N$2:$N$8,MATCH(WEEKDAY(B786,2),Lists!$M$2:$M$8,0))</f>
        <v>الأربعاء</v>
      </c>
      <c r="H786" s="30" t="s">
        <v>46</v>
      </c>
      <c r="I786" s="19" t="str">
        <f aca="false">INDEX(Lists!$B$2:$B$6,MATCH(H786,Lists!$A$2:$A$6,0))</f>
        <v>المنطقة الوسطى</v>
      </c>
      <c r="J786" s="30" t="s">
        <v>111</v>
      </c>
      <c r="K786" s="30" t="s">
        <v>122</v>
      </c>
      <c r="L786" s="31" t="n">
        <v>389</v>
      </c>
      <c r="M786" s="19" t="n">
        <v>1</v>
      </c>
      <c r="N786" s="32" t="n">
        <v>0</v>
      </c>
      <c r="O786" s="30" t="s">
        <v>52</v>
      </c>
      <c r="P786" s="30" t="s">
        <v>51</v>
      </c>
      <c r="Q786" s="30" t="s">
        <v>94</v>
      </c>
      <c r="R786" s="25" t="n">
        <f aca="false">L786*M786*(1-N786)</f>
        <v>389</v>
      </c>
    </row>
    <row r="787" customFormat="false" ht="15" hidden="false" customHeight="false" outlineLevel="0" collapsed="false">
      <c r="A787" s="30" t="s">
        <v>958</v>
      </c>
      <c r="B787" s="44" t="n">
        <v>45567</v>
      </c>
      <c r="C787" s="19" t="n">
        <f aca="false">YEAR(B787)</f>
        <v>2024</v>
      </c>
      <c r="D787" s="19" t="n">
        <f aca="false">MONTH(B787)</f>
        <v>10</v>
      </c>
      <c r="E787" s="30" t="str">
        <f aca="false">INDEX(Lists!$K$2:$K$13,MATCH(D787,Lists!$J$2:$J$13,0))</f>
        <v>أكتوبر</v>
      </c>
      <c r="F787" s="19" t="str">
        <f aca="false">"Q"&amp;ROUNDUP(D787/3,0)</f>
        <v>Q4</v>
      </c>
      <c r="G787" s="30" t="str">
        <f aca="false">INDEX(Lists!$N$2:$N$8,MATCH(WEEKDAY(B787,2),Lists!$M$2:$M$8,0))</f>
        <v>الأربعاء</v>
      </c>
      <c r="H787" s="30" t="s">
        <v>46</v>
      </c>
      <c r="I787" s="19" t="str">
        <f aca="false">INDEX(Lists!$B$2:$B$6,MATCH(H787,Lists!$A$2:$A$6,0))</f>
        <v>المنطقة الوسطى</v>
      </c>
      <c r="J787" s="30" t="s">
        <v>107</v>
      </c>
      <c r="K787" s="30" t="s">
        <v>115</v>
      </c>
      <c r="L787" s="31" t="n">
        <v>6479</v>
      </c>
      <c r="M787" s="19" t="n">
        <v>1</v>
      </c>
      <c r="N787" s="32" t="n">
        <v>0</v>
      </c>
      <c r="O787" s="30" t="s">
        <v>55</v>
      </c>
      <c r="P787" s="30" t="s">
        <v>47</v>
      </c>
      <c r="Q787" s="30" t="s">
        <v>94</v>
      </c>
      <c r="R787" s="25" t="n">
        <f aca="false">L787*M787*(1-N787)</f>
        <v>6479</v>
      </c>
    </row>
    <row r="788" customFormat="false" ht="15" hidden="false" customHeight="false" outlineLevel="0" collapsed="false">
      <c r="A788" s="30" t="s">
        <v>959</v>
      </c>
      <c r="B788" s="44" t="n">
        <v>45567</v>
      </c>
      <c r="C788" s="19" t="n">
        <f aca="false">YEAR(B788)</f>
        <v>2024</v>
      </c>
      <c r="D788" s="19" t="n">
        <f aca="false">MONTH(B788)</f>
        <v>10</v>
      </c>
      <c r="E788" s="30" t="str">
        <f aca="false">INDEX(Lists!$K$2:$K$13,MATCH(D788,Lists!$J$2:$J$13,0))</f>
        <v>أكتوبر</v>
      </c>
      <c r="F788" s="19" t="str">
        <f aca="false">"Q"&amp;ROUNDUP(D788/3,0)</f>
        <v>Q4</v>
      </c>
      <c r="G788" s="30" t="str">
        <f aca="false">INDEX(Lists!$N$2:$N$8,MATCH(WEEKDAY(B788,2),Lists!$M$2:$M$8,0))</f>
        <v>الأربعاء</v>
      </c>
      <c r="H788" s="30" t="s">
        <v>46</v>
      </c>
      <c r="I788" s="19" t="str">
        <f aca="false">INDEX(Lists!$B$2:$B$6,MATCH(H788,Lists!$A$2:$A$6,0))</f>
        <v>المنطقة الوسطى</v>
      </c>
      <c r="J788" s="30" t="s">
        <v>113</v>
      </c>
      <c r="K788" s="30" t="s">
        <v>97</v>
      </c>
      <c r="L788" s="31" t="n">
        <v>439</v>
      </c>
      <c r="M788" s="19" t="n">
        <v>1</v>
      </c>
      <c r="N788" s="32" t="n">
        <v>0</v>
      </c>
      <c r="O788" s="30" t="s">
        <v>55</v>
      </c>
      <c r="P788" s="30" t="s">
        <v>47</v>
      </c>
      <c r="Q788" s="30" t="s">
        <v>99</v>
      </c>
      <c r="R788" s="25" t="n">
        <f aca="false">L788*M788*(1-N788)</f>
        <v>439</v>
      </c>
    </row>
    <row r="789" customFormat="false" ht="15" hidden="false" customHeight="false" outlineLevel="0" collapsed="false">
      <c r="A789" s="30" t="s">
        <v>960</v>
      </c>
      <c r="B789" s="44" t="n">
        <v>45567</v>
      </c>
      <c r="C789" s="19" t="n">
        <f aca="false">YEAR(B789)</f>
        <v>2024</v>
      </c>
      <c r="D789" s="19" t="n">
        <f aca="false">MONTH(B789)</f>
        <v>10</v>
      </c>
      <c r="E789" s="30" t="str">
        <f aca="false">INDEX(Lists!$K$2:$K$13,MATCH(D789,Lists!$J$2:$J$13,0))</f>
        <v>أكتوبر</v>
      </c>
      <c r="F789" s="19" t="str">
        <f aca="false">"Q"&amp;ROUNDUP(D789/3,0)</f>
        <v>Q4</v>
      </c>
      <c r="G789" s="30" t="str">
        <f aca="false">INDEX(Lists!$N$2:$N$8,MATCH(WEEKDAY(B789,2),Lists!$M$2:$M$8,0))</f>
        <v>الأربعاء</v>
      </c>
      <c r="H789" s="30" t="s">
        <v>60</v>
      </c>
      <c r="I789" s="19" t="str">
        <f aca="false">INDEX(Lists!$B$2:$B$6,MATCH(H789,Lists!$A$2:$A$6,0))</f>
        <v>المنطقة الغربية</v>
      </c>
      <c r="J789" s="30" t="s">
        <v>109</v>
      </c>
      <c r="K789" s="30" t="s">
        <v>93</v>
      </c>
      <c r="L789" s="31" t="n">
        <v>109</v>
      </c>
      <c r="M789" s="19" t="n">
        <v>1</v>
      </c>
      <c r="N789" s="32" t="n">
        <v>0</v>
      </c>
      <c r="O789" s="30" t="s">
        <v>52</v>
      </c>
      <c r="P789" s="30" t="s">
        <v>47</v>
      </c>
      <c r="Q789" s="30" t="s">
        <v>81</v>
      </c>
      <c r="R789" s="25" t="n">
        <f aca="false">L789*M789*(1-N789)</f>
        <v>109</v>
      </c>
    </row>
    <row r="790" customFormat="false" ht="15" hidden="false" customHeight="false" outlineLevel="0" collapsed="false">
      <c r="A790" s="30" t="s">
        <v>961</v>
      </c>
      <c r="B790" s="44" t="n">
        <v>45568</v>
      </c>
      <c r="C790" s="19" t="n">
        <f aca="false">YEAR(B790)</f>
        <v>2024</v>
      </c>
      <c r="D790" s="19" t="n">
        <f aca="false">MONTH(B790)</f>
        <v>10</v>
      </c>
      <c r="E790" s="30" t="str">
        <f aca="false">INDEX(Lists!$K$2:$K$13,MATCH(D790,Lists!$J$2:$J$13,0))</f>
        <v>أكتوبر</v>
      </c>
      <c r="F790" s="19" t="str">
        <f aca="false">"Q"&amp;ROUNDUP(D790/3,0)</f>
        <v>Q4</v>
      </c>
      <c r="G790" s="30" t="str">
        <f aca="false">INDEX(Lists!$N$2:$N$8,MATCH(WEEKDAY(B790,2),Lists!$M$2:$M$8,0))</f>
        <v>الخميس</v>
      </c>
      <c r="H790" s="30" t="s">
        <v>60</v>
      </c>
      <c r="I790" s="19" t="str">
        <f aca="false">INDEX(Lists!$B$2:$B$6,MATCH(H790,Lists!$A$2:$A$6,0))</f>
        <v>المنطقة الغربية</v>
      </c>
      <c r="J790" s="30" t="s">
        <v>109</v>
      </c>
      <c r="K790" s="30" t="s">
        <v>110</v>
      </c>
      <c r="L790" s="31" t="n">
        <v>199</v>
      </c>
      <c r="M790" s="19" t="n">
        <v>1</v>
      </c>
      <c r="N790" s="32" t="n">
        <v>0.05</v>
      </c>
      <c r="O790" s="30" t="s">
        <v>48</v>
      </c>
      <c r="P790" s="30" t="s">
        <v>47</v>
      </c>
      <c r="Q790" s="30" t="s">
        <v>94</v>
      </c>
      <c r="R790" s="25" t="n">
        <f aca="false">L790*M790*(1-N790)</f>
        <v>189.05</v>
      </c>
    </row>
    <row r="791" customFormat="false" ht="15" hidden="false" customHeight="false" outlineLevel="0" collapsed="false">
      <c r="A791" s="30" t="s">
        <v>962</v>
      </c>
      <c r="B791" s="44" t="n">
        <v>45568</v>
      </c>
      <c r="C791" s="19" t="n">
        <f aca="false">YEAR(B791)</f>
        <v>2024</v>
      </c>
      <c r="D791" s="19" t="n">
        <f aca="false">MONTH(B791)</f>
        <v>10</v>
      </c>
      <c r="E791" s="30" t="str">
        <f aca="false">INDEX(Lists!$K$2:$K$13,MATCH(D791,Lists!$J$2:$J$13,0))</f>
        <v>أكتوبر</v>
      </c>
      <c r="F791" s="19" t="str">
        <f aca="false">"Q"&amp;ROUNDUP(D791/3,0)</f>
        <v>Q4</v>
      </c>
      <c r="G791" s="30" t="str">
        <f aca="false">INDEX(Lists!$N$2:$N$8,MATCH(WEEKDAY(B791,2),Lists!$M$2:$M$8,0))</f>
        <v>الخميس</v>
      </c>
      <c r="H791" s="30" t="s">
        <v>57</v>
      </c>
      <c r="I791" s="19" t="str">
        <f aca="false">INDEX(Lists!$B$2:$B$6,MATCH(H791,Lists!$A$2:$A$6,0))</f>
        <v>المنطقة الغربية</v>
      </c>
      <c r="J791" s="30" t="s">
        <v>105</v>
      </c>
      <c r="K791" s="30" t="s">
        <v>82</v>
      </c>
      <c r="L791" s="31" t="n">
        <v>2699</v>
      </c>
      <c r="M791" s="19" t="n">
        <v>1</v>
      </c>
      <c r="N791" s="32" t="n">
        <v>0.15</v>
      </c>
      <c r="O791" s="30" t="s">
        <v>55</v>
      </c>
      <c r="P791" s="30" t="s">
        <v>47</v>
      </c>
      <c r="Q791" s="30" t="s">
        <v>89</v>
      </c>
      <c r="R791" s="25" t="n">
        <f aca="false">L791*M791*(1-N791)</f>
        <v>2294.15</v>
      </c>
    </row>
    <row r="792" customFormat="false" ht="15" hidden="false" customHeight="false" outlineLevel="0" collapsed="false">
      <c r="A792" s="30" t="s">
        <v>963</v>
      </c>
      <c r="B792" s="44" t="n">
        <v>45568</v>
      </c>
      <c r="C792" s="19" t="n">
        <f aca="false">YEAR(B792)</f>
        <v>2024</v>
      </c>
      <c r="D792" s="19" t="n">
        <f aca="false">MONTH(B792)</f>
        <v>10</v>
      </c>
      <c r="E792" s="30" t="str">
        <f aca="false">INDEX(Lists!$K$2:$K$13,MATCH(D792,Lists!$J$2:$J$13,0))</f>
        <v>أكتوبر</v>
      </c>
      <c r="F792" s="19" t="str">
        <f aca="false">"Q"&amp;ROUNDUP(D792/3,0)</f>
        <v>Q4</v>
      </c>
      <c r="G792" s="30" t="str">
        <f aca="false">INDEX(Lists!$N$2:$N$8,MATCH(WEEKDAY(B792,2),Lists!$M$2:$M$8,0))</f>
        <v>الخميس</v>
      </c>
      <c r="H792" s="30" t="s">
        <v>50</v>
      </c>
      <c r="I792" s="19" t="str">
        <f aca="false">INDEX(Lists!$B$2:$B$6,MATCH(H792,Lists!$A$2:$A$6,0))</f>
        <v>المنطقة الغربية</v>
      </c>
      <c r="J792" s="30" t="s">
        <v>113</v>
      </c>
      <c r="K792" s="30" t="s">
        <v>95</v>
      </c>
      <c r="L792" s="31" t="n">
        <v>639</v>
      </c>
      <c r="M792" s="19" t="n">
        <v>2</v>
      </c>
      <c r="N792" s="32" t="n">
        <v>0</v>
      </c>
      <c r="O792" s="30" t="s">
        <v>55</v>
      </c>
      <c r="P792" s="30" t="s">
        <v>47</v>
      </c>
      <c r="Q792" s="30" t="s">
        <v>84</v>
      </c>
      <c r="R792" s="25" t="n">
        <f aca="false">L792*M792*(1-N792)</f>
        <v>1278</v>
      </c>
    </row>
    <row r="793" customFormat="false" ht="15" hidden="false" customHeight="false" outlineLevel="0" collapsed="false">
      <c r="A793" s="30" t="s">
        <v>964</v>
      </c>
      <c r="B793" s="44" t="n">
        <v>45569</v>
      </c>
      <c r="C793" s="19" t="n">
        <f aca="false">YEAR(B793)</f>
        <v>2024</v>
      </c>
      <c r="D793" s="19" t="n">
        <f aca="false">MONTH(B793)</f>
        <v>10</v>
      </c>
      <c r="E793" s="30" t="str">
        <f aca="false">INDEX(Lists!$K$2:$K$13,MATCH(D793,Lists!$J$2:$J$13,0))</f>
        <v>أكتوبر</v>
      </c>
      <c r="F793" s="19" t="str">
        <f aca="false">"Q"&amp;ROUNDUP(D793/3,0)</f>
        <v>Q4</v>
      </c>
      <c r="G793" s="30" t="str">
        <f aca="false">INDEX(Lists!$N$2:$N$8,MATCH(WEEKDAY(B793,2),Lists!$M$2:$M$8,0))</f>
        <v>الجمعة</v>
      </c>
      <c r="H793" s="30" t="s">
        <v>50</v>
      </c>
      <c r="I793" s="19" t="str">
        <f aca="false">INDEX(Lists!$B$2:$B$6,MATCH(H793,Lists!$A$2:$A$6,0))</f>
        <v>المنطقة الغربية</v>
      </c>
      <c r="J793" s="30" t="s">
        <v>105</v>
      </c>
      <c r="K793" s="30" t="s">
        <v>179</v>
      </c>
      <c r="L793" s="31" t="n">
        <v>3139</v>
      </c>
      <c r="M793" s="19" t="n">
        <v>2</v>
      </c>
      <c r="N793" s="32" t="n">
        <v>0</v>
      </c>
      <c r="O793" s="30" t="s">
        <v>52</v>
      </c>
      <c r="P793" s="30" t="s">
        <v>51</v>
      </c>
      <c r="Q793" s="30" t="s">
        <v>78</v>
      </c>
      <c r="R793" s="25" t="n">
        <f aca="false">L793*M793*(1-N793)</f>
        <v>6278</v>
      </c>
    </row>
    <row r="794" customFormat="false" ht="15" hidden="false" customHeight="false" outlineLevel="0" collapsed="false">
      <c r="A794" s="30" t="s">
        <v>965</v>
      </c>
      <c r="B794" s="44" t="n">
        <v>45569</v>
      </c>
      <c r="C794" s="19" t="n">
        <f aca="false">YEAR(B794)</f>
        <v>2024</v>
      </c>
      <c r="D794" s="19" t="n">
        <f aca="false">MONTH(B794)</f>
        <v>10</v>
      </c>
      <c r="E794" s="30" t="str">
        <f aca="false">INDEX(Lists!$K$2:$K$13,MATCH(D794,Lists!$J$2:$J$13,0))</f>
        <v>أكتوبر</v>
      </c>
      <c r="F794" s="19" t="str">
        <f aca="false">"Q"&amp;ROUNDUP(D794/3,0)</f>
        <v>Q4</v>
      </c>
      <c r="G794" s="30" t="str">
        <f aca="false">INDEX(Lists!$N$2:$N$8,MATCH(WEEKDAY(B794,2),Lists!$M$2:$M$8,0))</f>
        <v>الجمعة</v>
      </c>
      <c r="H794" s="30" t="s">
        <v>57</v>
      </c>
      <c r="I794" s="19" t="str">
        <f aca="false">INDEX(Lists!$B$2:$B$6,MATCH(H794,Lists!$A$2:$A$6,0))</f>
        <v>المنطقة الغربية</v>
      </c>
      <c r="J794" s="30" t="s">
        <v>107</v>
      </c>
      <c r="K794" s="30" t="s">
        <v>115</v>
      </c>
      <c r="L794" s="31" t="n">
        <v>2779</v>
      </c>
      <c r="M794" s="19" t="n">
        <v>1</v>
      </c>
      <c r="N794" s="32" t="n">
        <v>0</v>
      </c>
      <c r="O794" s="30" t="s">
        <v>52</v>
      </c>
      <c r="P794" s="30" t="s">
        <v>47</v>
      </c>
      <c r="Q794" s="30" t="s">
        <v>84</v>
      </c>
      <c r="R794" s="25" t="n">
        <f aca="false">L794*M794*(1-N794)</f>
        <v>2779</v>
      </c>
    </row>
    <row r="795" customFormat="false" ht="15" hidden="false" customHeight="false" outlineLevel="0" collapsed="false">
      <c r="A795" s="30" t="s">
        <v>966</v>
      </c>
      <c r="B795" s="44" t="n">
        <v>45569</v>
      </c>
      <c r="C795" s="19" t="n">
        <f aca="false">YEAR(B795)</f>
        <v>2024</v>
      </c>
      <c r="D795" s="19" t="n">
        <f aca="false">MONTH(B795)</f>
        <v>10</v>
      </c>
      <c r="E795" s="30" t="str">
        <f aca="false">INDEX(Lists!$K$2:$K$13,MATCH(D795,Lists!$J$2:$J$13,0))</f>
        <v>أكتوبر</v>
      </c>
      <c r="F795" s="19" t="str">
        <f aca="false">"Q"&amp;ROUNDUP(D795/3,0)</f>
        <v>Q4</v>
      </c>
      <c r="G795" s="30" t="str">
        <f aca="false">INDEX(Lists!$N$2:$N$8,MATCH(WEEKDAY(B795,2),Lists!$M$2:$M$8,0))</f>
        <v>الجمعة</v>
      </c>
      <c r="H795" s="30" t="s">
        <v>54</v>
      </c>
      <c r="I795" s="19" t="str">
        <f aca="false">INDEX(Lists!$B$2:$B$6,MATCH(H795,Lists!$A$2:$A$6,0))</f>
        <v>المنطقة الشرقية</v>
      </c>
      <c r="J795" s="30" t="s">
        <v>105</v>
      </c>
      <c r="K795" s="30" t="s">
        <v>179</v>
      </c>
      <c r="L795" s="31" t="n">
        <v>2319</v>
      </c>
      <c r="M795" s="19" t="n">
        <v>3</v>
      </c>
      <c r="N795" s="32" t="n">
        <v>0</v>
      </c>
      <c r="O795" s="30" t="s">
        <v>48</v>
      </c>
      <c r="P795" s="30" t="s">
        <v>47</v>
      </c>
      <c r="Q795" s="30" t="s">
        <v>86</v>
      </c>
      <c r="R795" s="25" t="n">
        <f aca="false">L795*M795*(1-N795)</f>
        <v>6957</v>
      </c>
    </row>
    <row r="796" customFormat="false" ht="15" hidden="false" customHeight="false" outlineLevel="0" collapsed="false">
      <c r="A796" s="30" t="s">
        <v>967</v>
      </c>
      <c r="B796" s="44" t="n">
        <v>45569</v>
      </c>
      <c r="C796" s="19" t="n">
        <f aca="false">YEAR(B796)</f>
        <v>2024</v>
      </c>
      <c r="D796" s="19" t="n">
        <f aca="false">MONTH(B796)</f>
        <v>10</v>
      </c>
      <c r="E796" s="30" t="str">
        <f aca="false">INDEX(Lists!$K$2:$K$13,MATCH(D796,Lists!$J$2:$J$13,0))</f>
        <v>أكتوبر</v>
      </c>
      <c r="F796" s="19" t="str">
        <f aca="false">"Q"&amp;ROUNDUP(D796/3,0)</f>
        <v>Q4</v>
      </c>
      <c r="G796" s="30" t="str">
        <f aca="false">INDEX(Lists!$N$2:$N$8,MATCH(WEEKDAY(B796,2),Lists!$M$2:$M$8,0))</f>
        <v>الجمعة</v>
      </c>
      <c r="H796" s="30" t="s">
        <v>54</v>
      </c>
      <c r="I796" s="19" t="str">
        <f aca="false">INDEX(Lists!$B$2:$B$6,MATCH(H796,Lists!$A$2:$A$6,0))</f>
        <v>المنطقة الشرقية</v>
      </c>
      <c r="J796" s="30" t="s">
        <v>105</v>
      </c>
      <c r="K796" s="30" t="s">
        <v>82</v>
      </c>
      <c r="L796" s="31" t="n">
        <v>2479</v>
      </c>
      <c r="M796" s="19" t="n">
        <v>1</v>
      </c>
      <c r="N796" s="32" t="n">
        <v>0</v>
      </c>
      <c r="O796" s="30" t="s">
        <v>58</v>
      </c>
      <c r="P796" s="30" t="s">
        <v>47</v>
      </c>
      <c r="Q796" s="30" t="s">
        <v>84</v>
      </c>
      <c r="R796" s="25" t="n">
        <f aca="false">L796*M796*(1-N796)</f>
        <v>2479</v>
      </c>
    </row>
    <row r="797" customFormat="false" ht="15" hidden="false" customHeight="false" outlineLevel="0" collapsed="false">
      <c r="A797" s="30" t="s">
        <v>968</v>
      </c>
      <c r="B797" s="44" t="n">
        <v>45569</v>
      </c>
      <c r="C797" s="19" t="n">
        <f aca="false">YEAR(B797)</f>
        <v>2024</v>
      </c>
      <c r="D797" s="19" t="n">
        <f aca="false">MONTH(B797)</f>
        <v>10</v>
      </c>
      <c r="E797" s="30" t="str">
        <f aca="false">INDEX(Lists!$K$2:$K$13,MATCH(D797,Lists!$J$2:$J$13,0))</f>
        <v>أكتوبر</v>
      </c>
      <c r="F797" s="19" t="str">
        <f aca="false">"Q"&amp;ROUNDUP(D797/3,0)</f>
        <v>Q4</v>
      </c>
      <c r="G797" s="30" t="str">
        <f aca="false">INDEX(Lists!$N$2:$N$8,MATCH(WEEKDAY(B797,2),Lists!$M$2:$M$8,0))</f>
        <v>الجمعة</v>
      </c>
      <c r="H797" s="30" t="s">
        <v>50</v>
      </c>
      <c r="I797" s="19" t="str">
        <f aca="false">INDEX(Lists!$B$2:$B$6,MATCH(H797,Lists!$A$2:$A$6,0))</f>
        <v>المنطقة الغربية</v>
      </c>
      <c r="J797" s="30" t="s">
        <v>107</v>
      </c>
      <c r="K797" s="30" t="s">
        <v>114</v>
      </c>
      <c r="L797" s="31" t="n">
        <v>2579</v>
      </c>
      <c r="M797" s="19" t="n">
        <v>1</v>
      </c>
      <c r="N797" s="32" t="n">
        <v>0</v>
      </c>
      <c r="O797" s="30" t="s">
        <v>55</v>
      </c>
      <c r="P797" s="30" t="s">
        <v>47</v>
      </c>
      <c r="Q797" s="30" t="s">
        <v>84</v>
      </c>
      <c r="R797" s="25" t="n">
        <f aca="false">L797*M797*(1-N797)</f>
        <v>2579</v>
      </c>
    </row>
    <row r="798" customFormat="false" ht="15" hidden="false" customHeight="false" outlineLevel="0" collapsed="false">
      <c r="A798" s="30" t="s">
        <v>969</v>
      </c>
      <c r="B798" s="44" t="n">
        <v>45570</v>
      </c>
      <c r="C798" s="19" t="n">
        <f aca="false">YEAR(B798)</f>
        <v>2024</v>
      </c>
      <c r="D798" s="19" t="n">
        <f aca="false">MONTH(B798)</f>
        <v>10</v>
      </c>
      <c r="E798" s="30" t="str">
        <f aca="false">INDEX(Lists!$K$2:$K$13,MATCH(D798,Lists!$J$2:$J$13,0))</f>
        <v>أكتوبر</v>
      </c>
      <c r="F798" s="19" t="str">
        <f aca="false">"Q"&amp;ROUNDUP(D798/3,0)</f>
        <v>Q4</v>
      </c>
      <c r="G798" s="30" t="str">
        <f aca="false">INDEX(Lists!$N$2:$N$8,MATCH(WEEKDAY(B798,2),Lists!$M$2:$M$8,0))</f>
        <v>السبت</v>
      </c>
      <c r="H798" s="30" t="s">
        <v>57</v>
      </c>
      <c r="I798" s="19" t="str">
        <f aca="false">INDEX(Lists!$B$2:$B$6,MATCH(H798,Lists!$A$2:$A$6,0))</f>
        <v>المنطقة الغربية</v>
      </c>
      <c r="J798" s="30" t="s">
        <v>105</v>
      </c>
      <c r="K798" s="30" t="s">
        <v>90</v>
      </c>
      <c r="L798" s="31" t="n">
        <v>1619</v>
      </c>
      <c r="M798" s="19" t="n">
        <v>1</v>
      </c>
      <c r="N798" s="32" t="n">
        <v>0</v>
      </c>
      <c r="O798" s="30" t="s">
        <v>48</v>
      </c>
      <c r="P798" s="30" t="s">
        <v>47</v>
      </c>
      <c r="Q798" s="30" t="s">
        <v>81</v>
      </c>
      <c r="R798" s="25" t="n">
        <f aca="false">L798*M798*(1-N798)</f>
        <v>1619</v>
      </c>
    </row>
    <row r="799" customFormat="false" ht="15" hidden="false" customHeight="false" outlineLevel="0" collapsed="false">
      <c r="A799" s="30" t="s">
        <v>970</v>
      </c>
      <c r="B799" s="44" t="n">
        <v>45570</v>
      </c>
      <c r="C799" s="19" t="n">
        <f aca="false">YEAR(B799)</f>
        <v>2024</v>
      </c>
      <c r="D799" s="19" t="n">
        <f aca="false">MONTH(B799)</f>
        <v>10</v>
      </c>
      <c r="E799" s="30" t="str">
        <f aca="false">INDEX(Lists!$K$2:$K$13,MATCH(D799,Lists!$J$2:$J$13,0))</f>
        <v>أكتوبر</v>
      </c>
      <c r="F799" s="19" t="str">
        <f aca="false">"Q"&amp;ROUNDUP(D799/3,0)</f>
        <v>Q4</v>
      </c>
      <c r="G799" s="30" t="str">
        <f aca="false">INDEX(Lists!$N$2:$N$8,MATCH(WEEKDAY(B799,2),Lists!$M$2:$M$8,0))</f>
        <v>السبت</v>
      </c>
      <c r="H799" s="30" t="s">
        <v>57</v>
      </c>
      <c r="I799" s="19" t="str">
        <f aca="false">INDEX(Lists!$B$2:$B$6,MATCH(H799,Lists!$A$2:$A$6,0))</f>
        <v>المنطقة الغربية</v>
      </c>
      <c r="J799" s="30" t="s">
        <v>105</v>
      </c>
      <c r="K799" s="30" t="s">
        <v>179</v>
      </c>
      <c r="L799" s="31" t="n">
        <v>3759</v>
      </c>
      <c r="M799" s="19" t="n">
        <v>1</v>
      </c>
      <c r="N799" s="32" t="n">
        <v>0</v>
      </c>
      <c r="O799" s="30" t="s">
        <v>55</v>
      </c>
      <c r="P799" s="30" t="s">
        <v>47</v>
      </c>
      <c r="Q799" s="30" t="s">
        <v>84</v>
      </c>
      <c r="R799" s="25" t="n">
        <f aca="false">L799*M799*(1-N799)</f>
        <v>3759</v>
      </c>
    </row>
    <row r="800" customFormat="false" ht="15" hidden="false" customHeight="false" outlineLevel="0" collapsed="false">
      <c r="A800" s="30" t="s">
        <v>971</v>
      </c>
      <c r="B800" s="44" t="n">
        <v>45571</v>
      </c>
      <c r="C800" s="19" t="n">
        <f aca="false">YEAR(B800)</f>
        <v>2024</v>
      </c>
      <c r="D800" s="19" t="n">
        <f aca="false">MONTH(B800)</f>
        <v>10</v>
      </c>
      <c r="E800" s="30" t="str">
        <f aca="false">INDEX(Lists!$K$2:$K$13,MATCH(D800,Lists!$J$2:$J$13,0))</f>
        <v>أكتوبر</v>
      </c>
      <c r="F800" s="19" t="str">
        <f aca="false">"Q"&amp;ROUNDUP(D800/3,0)</f>
        <v>Q4</v>
      </c>
      <c r="G800" s="30" t="str">
        <f aca="false">INDEX(Lists!$N$2:$N$8,MATCH(WEEKDAY(B800,2),Lists!$M$2:$M$8,0))</f>
        <v>الأحد</v>
      </c>
      <c r="H800" s="30" t="s">
        <v>60</v>
      </c>
      <c r="I800" s="19" t="str">
        <f aca="false">INDEX(Lists!$B$2:$B$6,MATCH(H800,Lists!$A$2:$A$6,0))</f>
        <v>المنطقة الغربية</v>
      </c>
      <c r="J800" s="30" t="s">
        <v>107</v>
      </c>
      <c r="K800" s="30" t="s">
        <v>184</v>
      </c>
      <c r="L800" s="31" t="n">
        <v>2889</v>
      </c>
      <c r="M800" s="19" t="n">
        <v>2</v>
      </c>
      <c r="N800" s="32" t="n">
        <v>0.1</v>
      </c>
      <c r="O800" s="30" t="s">
        <v>48</v>
      </c>
      <c r="P800" s="30" t="s">
        <v>47</v>
      </c>
      <c r="Q800" s="30" t="s">
        <v>89</v>
      </c>
      <c r="R800" s="25" t="n">
        <f aca="false">L800*M800*(1-N800)</f>
        <v>5200.2</v>
      </c>
    </row>
    <row r="801" customFormat="false" ht="15" hidden="false" customHeight="false" outlineLevel="0" collapsed="false">
      <c r="A801" s="30" t="s">
        <v>972</v>
      </c>
      <c r="B801" s="44" t="n">
        <v>45572</v>
      </c>
      <c r="C801" s="19" t="n">
        <f aca="false">YEAR(B801)</f>
        <v>2024</v>
      </c>
      <c r="D801" s="19" t="n">
        <f aca="false">MONTH(B801)</f>
        <v>10</v>
      </c>
      <c r="E801" s="30" t="str">
        <f aca="false">INDEX(Lists!$K$2:$K$13,MATCH(D801,Lists!$J$2:$J$13,0))</f>
        <v>أكتوبر</v>
      </c>
      <c r="F801" s="19" t="str">
        <f aca="false">"Q"&amp;ROUNDUP(D801/3,0)</f>
        <v>Q4</v>
      </c>
      <c r="G801" s="30" t="str">
        <f aca="false">INDEX(Lists!$N$2:$N$8,MATCH(WEEKDAY(B801,2),Lists!$M$2:$M$8,0))</f>
        <v>الإثنين</v>
      </c>
      <c r="H801" s="30" t="s">
        <v>46</v>
      </c>
      <c r="I801" s="19" t="str">
        <f aca="false">INDEX(Lists!$B$2:$B$6,MATCH(H801,Lists!$A$2:$A$6,0))</f>
        <v>المنطقة الوسطى</v>
      </c>
      <c r="J801" s="30" t="s">
        <v>105</v>
      </c>
      <c r="K801" s="30" t="s">
        <v>179</v>
      </c>
      <c r="L801" s="31" t="n">
        <v>2619</v>
      </c>
      <c r="M801" s="19" t="n">
        <v>3</v>
      </c>
      <c r="N801" s="32" t="n">
        <v>0</v>
      </c>
      <c r="O801" s="30" t="s">
        <v>52</v>
      </c>
      <c r="P801" s="30" t="s">
        <v>47</v>
      </c>
      <c r="Q801" s="30" t="s">
        <v>94</v>
      </c>
      <c r="R801" s="25" t="n">
        <f aca="false">L801*M801*(1-N801)</f>
        <v>7857</v>
      </c>
    </row>
    <row r="802" customFormat="false" ht="15" hidden="false" customHeight="false" outlineLevel="0" collapsed="false">
      <c r="A802" s="30" t="s">
        <v>973</v>
      </c>
      <c r="B802" s="44" t="n">
        <v>45572</v>
      </c>
      <c r="C802" s="19" t="n">
        <f aca="false">YEAR(B802)</f>
        <v>2024</v>
      </c>
      <c r="D802" s="19" t="n">
        <f aca="false">MONTH(B802)</f>
        <v>10</v>
      </c>
      <c r="E802" s="30" t="str">
        <f aca="false">INDEX(Lists!$K$2:$K$13,MATCH(D802,Lists!$J$2:$J$13,0))</f>
        <v>أكتوبر</v>
      </c>
      <c r="F802" s="19" t="str">
        <f aca="false">"Q"&amp;ROUNDUP(D802/3,0)</f>
        <v>Q4</v>
      </c>
      <c r="G802" s="30" t="str">
        <f aca="false">INDEX(Lists!$N$2:$N$8,MATCH(WEEKDAY(B802,2),Lists!$M$2:$M$8,0))</f>
        <v>الإثنين</v>
      </c>
      <c r="H802" s="30" t="s">
        <v>60</v>
      </c>
      <c r="I802" s="19" t="str">
        <f aca="false">INDEX(Lists!$B$2:$B$6,MATCH(H802,Lists!$A$2:$A$6,0))</f>
        <v>المنطقة الغربية</v>
      </c>
      <c r="J802" s="30" t="s">
        <v>105</v>
      </c>
      <c r="K802" s="30" t="s">
        <v>90</v>
      </c>
      <c r="L802" s="31" t="n">
        <v>4159</v>
      </c>
      <c r="M802" s="19" t="n">
        <v>3</v>
      </c>
      <c r="N802" s="32" t="n">
        <v>0</v>
      </c>
      <c r="O802" s="30" t="s">
        <v>58</v>
      </c>
      <c r="P802" s="30" t="s">
        <v>47</v>
      </c>
      <c r="Q802" s="30" t="s">
        <v>86</v>
      </c>
      <c r="R802" s="25" t="n">
        <f aca="false">L802*M802*(1-N802)</f>
        <v>12477</v>
      </c>
    </row>
    <row r="803" customFormat="false" ht="15" hidden="false" customHeight="false" outlineLevel="0" collapsed="false">
      <c r="A803" s="30" t="s">
        <v>974</v>
      </c>
      <c r="B803" s="44" t="n">
        <v>45572</v>
      </c>
      <c r="C803" s="19" t="n">
        <f aca="false">YEAR(B803)</f>
        <v>2024</v>
      </c>
      <c r="D803" s="19" t="n">
        <f aca="false">MONTH(B803)</f>
        <v>10</v>
      </c>
      <c r="E803" s="30" t="str">
        <f aca="false">INDEX(Lists!$K$2:$K$13,MATCH(D803,Lists!$J$2:$J$13,0))</f>
        <v>أكتوبر</v>
      </c>
      <c r="F803" s="19" t="str">
        <f aca="false">"Q"&amp;ROUNDUP(D803/3,0)</f>
        <v>Q4</v>
      </c>
      <c r="G803" s="30" t="str">
        <f aca="false">INDEX(Lists!$N$2:$N$8,MATCH(WEEKDAY(B803,2),Lists!$M$2:$M$8,0))</f>
        <v>الإثنين</v>
      </c>
      <c r="H803" s="30" t="s">
        <v>46</v>
      </c>
      <c r="I803" s="19" t="str">
        <f aca="false">INDEX(Lists!$B$2:$B$6,MATCH(H803,Lists!$A$2:$A$6,0))</f>
        <v>المنطقة الوسطى</v>
      </c>
      <c r="J803" s="30" t="s">
        <v>109</v>
      </c>
      <c r="K803" s="30" t="s">
        <v>192</v>
      </c>
      <c r="L803" s="31" t="n">
        <v>119</v>
      </c>
      <c r="M803" s="19" t="n">
        <v>1</v>
      </c>
      <c r="N803" s="32" t="n">
        <v>0.1</v>
      </c>
      <c r="O803" s="30" t="s">
        <v>48</v>
      </c>
      <c r="P803" s="30" t="s">
        <v>47</v>
      </c>
      <c r="Q803" s="30" t="s">
        <v>92</v>
      </c>
      <c r="R803" s="25" t="n">
        <f aca="false">L803*M803*(1-N803)</f>
        <v>107.1</v>
      </c>
    </row>
    <row r="804" customFormat="false" ht="15" hidden="false" customHeight="false" outlineLevel="0" collapsed="false">
      <c r="A804" s="30" t="s">
        <v>975</v>
      </c>
      <c r="B804" s="44" t="n">
        <v>45573</v>
      </c>
      <c r="C804" s="19" t="n">
        <f aca="false">YEAR(B804)</f>
        <v>2024</v>
      </c>
      <c r="D804" s="19" t="n">
        <f aca="false">MONTH(B804)</f>
        <v>10</v>
      </c>
      <c r="E804" s="30" t="str">
        <f aca="false">INDEX(Lists!$K$2:$K$13,MATCH(D804,Lists!$J$2:$J$13,0))</f>
        <v>أكتوبر</v>
      </c>
      <c r="F804" s="19" t="str">
        <f aca="false">"Q"&amp;ROUNDUP(D804/3,0)</f>
        <v>Q4</v>
      </c>
      <c r="G804" s="30" t="str">
        <f aca="false">INDEX(Lists!$N$2:$N$8,MATCH(WEEKDAY(B804,2),Lists!$M$2:$M$8,0))</f>
        <v>الثلاثاء</v>
      </c>
      <c r="H804" s="30" t="s">
        <v>46</v>
      </c>
      <c r="I804" s="19" t="str">
        <f aca="false">INDEX(Lists!$B$2:$B$6,MATCH(H804,Lists!$A$2:$A$6,0))</f>
        <v>المنطقة الوسطى</v>
      </c>
      <c r="J804" s="30" t="s">
        <v>113</v>
      </c>
      <c r="K804" s="30" t="s">
        <v>121</v>
      </c>
      <c r="L804" s="31" t="n">
        <v>199</v>
      </c>
      <c r="M804" s="19" t="n">
        <v>1</v>
      </c>
      <c r="N804" s="32" t="n">
        <v>0</v>
      </c>
      <c r="O804" s="30" t="s">
        <v>48</v>
      </c>
      <c r="P804" s="30" t="s">
        <v>47</v>
      </c>
      <c r="Q804" s="30" t="s">
        <v>81</v>
      </c>
      <c r="R804" s="25" t="n">
        <f aca="false">L804*M804*(1-N804)</f>
        <v>199</v>
      </c>
    </row>
    <row r="805" customFormat="false" ht="15" hidden="false" customHeight="false" outlineLevel="0" collapsed="false">
      <c r="A805" s="30" t="s">
        <v>976</v>
      </c>
      <c r="B805" s="44" t="n">
        <v>45573</v>
      </c>
      <c r="C805" s="19" t="n">
        <f aca="false">YEAR(B805)</f>
        <v>2024</v>
      </c>
      <c r="D805" s="19" t="n">
        <f aca="false">MONTH(B805)</f>
        <v>10</v>
      </c>
      <c r="E805" s="30" t="str">
        <f aca="false">INDEX(Lists!$K$2:$K$13,MATCH(D805,Lists!$J$2:$J$13,0))</f>
        <v>أكتوبر</v>
      </c>
      <c r="F805" s="19" t="str">
        <f aca="false">"Q"&amp;ROUNDUP(D805/3,0)</f>
        <v>Q4</v>
      </c>
      <c r="G805" s="30" t="str">
        <f aca="false">INDEX(Lists!$N$2:$N$8,MATCH(WEEKDAY(B805,2),Lists!$M$2:$M$8,0))</f>
        <v>الثلاثاء</v>
      </c>
      <c r="H805" s="30" t="s">
        <v>46</v>
      </c>
      <c r="I805" s="19" t="str">
        <f aca="false">INDEX(Lists!$B$2:$B$6,MATCH(H805,Lists!$A$2:$A$6,0))</f>
        <v>المنطقة الوسطى</v>
      </c>
      <c r="J805" s="30" t="s">
        <v>111</v>
      </c>
      <c r="K805" s="30" t="s">
        <v>120</v>
      </c>
      <c r="L805" s="31" t="n">
        <v>229</v>
      </c>
      <c r="M805" s="19" t="n">
        <v>1</v>
      </c>
      <c r="N805" s="32" t="n">
        <v>0.1</v>
      </c>
      <c r="O805" s="30" t="s">
        <v>52</v>
      </c>
      <c r="P805" s="30" t="s">
        <v>51</v>
      </c>
      <c r="Q805" s="30" t="s">
        <v>86</v>
      </c>
      <c r="R805" s="25" t="n">
        <f aca="false">L805*M805*(1-N805)</f>
        <v>206.1</v>
      </c>
    </row>
    <row r="806" customFormat="false" ht="15" hidden="false" customHeight="false" outlineLevel="0" collapsed="false">
      <c r="A806" s="30" t="s">
        <v>977</v>
      </c>
      <c r="B806" s="44" t="n">
        <v>45574</v>
      </c>
      <c r="C806" s="19" t="n">
        <f aca="false">YEAR(B806)</f>
        <v>2024</v>
      </c>
      <c r="D806" s="19" t="n">
        <f aca="false">MONTH(B806)</f>
        <v>10</v>
      </c>
      <c r="E806" s="30" t="str">
        <f aca="false">INDEX(Lists!$K$2:$K$13,MATCH(D806,Lists!$J$2:$J$13,0))</f>
        <v>أكتوبر</v>
      </c>
      <c r="F806" s="19" t="str">
        <f aca="false">"Q"&amp;ROUNDUP(D806/3,0)</f>
        <v>Q4</v>
      </c>
      <c r="G806" s="30" t="str">
        <f aca="false">INDEX(Lists!$N$2:$N$8,MATCH(WEEKDAY(B806,2),Lists!$M$2:$M$8,0))</f>
        <v>الأربعاء</v>
      </c>
      <c r="H806" s="30" t="s">
        <v>46</v>
      </c>
      <c r="I806" s="19" t="str">
        <f aca="false">INDEX(Lists!$B$2:$B$6,MATCH(H806,Lists!$A$2:$A$6,0))</f>
        <v>المنطقة الوسطى</v>
      </c>
      <c r="J806" s="30" t="s">
        <v>107</v>
      </c>
      <c r="K806" s="30" t="s">
        <v>114</v>
      </c>
      <c r="L806" s="31" t="n">
        <v>1969</v>
      </c>
      <c r="M806" s="19" t="n">
        <v>1</v>
      </c>
      <c r="N806" s="32" t="n">
        <v>0</v>
      </c>
      <c r="O806" s="30" t="s">
        <v>48</v>
      </c>
      <c r="P806" s="30" t="s">
        <v>47</v>
      </c>
      <c r="Q806" s="30" t="s">
        <v>99</v>
      </c>
      <c r="R806" s="25" t="n">
        <f aca="false">L806*M806*(1-N806)</f>
        <v>1969</v>
      </c>
    </row>
    <row r="807" customFormat="false" ht="15" hidden="false" customHeight="false" outlineLevel="0" collapsed="false">
      <c r="A807" s="30" t="s">
        <v>978</v>
      </c>
      <c r="B807" s="44" t="n">
        <v>45574</v>
      </c>
      <c r="C807" s="19" t="n">
        <f aca="false">YEAR(B807)</f>
        <v>2024</v>
      </c>
      <c r="D807" s="19" t="n">
        <f aca="false">MONTH(B807)</f>
        <v>10</v>
      </c>
      <c r="E807" s="30" t="str">
        <f aca="false">INDEX(Lists!$K$2:$K$13,MATCH(D807,Lists!$J$2:$J$13,0))</f>
        <v>أكتوبر</v>
      </c>
      <c r="F807" s="19" t="str">
        <f aca="false">"Q"&amp;ROUNDUP(D807/3,0)</f>
        <v>Q4</v>
      </c>
      <c r="G807" s="30" t="str">
        <f aca="false">INDEX(Lists!$N$2:$N$8,MATCH(WEEKDAY(B807,2),Lists!$M$2:$M$8,0))</f>
        <v>الأربعاء</v>
      </c>
      <c r="H807" s="30" t="s">
        <v>54</v>
      </c>
      <c r="I807" s="19" t="str">
        <f aca="false">INDEX(Lists!$B$2:$B$6,MATCH(H807,Lists!$A$2:$A$6,0))</f>
        <v>المنطقة الشرقية</v>
      </c>
      <c r="J807" s="30" t="s">
        <v>111</v>
      </c>
      <c r="K807" s="30" t="s">
        <v>122</v>
      </c>
      <c r="L807" s="31" t="n">
        <v>479</v>
      </c>
      <c r="M807" s="19" t="n">
        <v>4</v>
      </c>
      <c r="N807" s="32" t="n">
        <v>0</v>
      </c>
      <c r="O807" s="30" t="s">
        <v>52</v>
      </c>
      <c r="P807" s="30" t="s">
        <v>51</v>
      </c>
      <c r="Q807" s="30" t="s">
        <v>86</v>
      </c>
      <c r="R807" s="25" t="n">
        <f aca="false">L807*M807*(1-N807)</f>
        <v>1916</v>
      </c>
    </row>
    <row r="808" customFormat="false" ht="15" hidden="false" customHeight="false" outlineLevel="0" collapsed="false">
      <c r="A808" s="30" t="s">
        <v>979</v>
      </c>
      <c r="B808" s="44" t="n">
        <v>45574</v>
      </c>
      <c r="C808" s="19" t="n">
        <f aca="false">YEAR(B808)</f>
        <v>2024</v>
      </c>
      <c r="D808" s="19" t="n">
        <f aca="false">MONTH(B808)</f>
        <v>10</v>
      </c>
      <c r="E808" s="30" t="str">
        <f aca="false">INDEX(Lists!$K$2:$K$13,MATCH(D808,Lists!$J$2:$J$13,0))</f>
        <v>أكتوبر</v>
      </c>
      <c r="F808" s="19" t="str">
        <f aca="false">"Q"&amp;ROUNDUP(D808/3,0)</f>
        <v>Q4</v>
      </c>
      <c r="G808" s="30" t="str">
        <f aca="false">INDEX(Lists!$N$2:$N$8,MATCH(WEEKDAY(B808,2),Lists!$M$2:$M$8,0))</f>
        <v>الأربعاء</v>
      </c>
      <c r="H808" s="30" t="s">
        <v>60</v>
      </c>
      <c r="I808" s="19" t="str">
        <f aca="false">INDEX(Lists!$B$2:$B$6,MATCH(H808,Lists!$A$2:$A$6,0))</f>
        <v>المنطقة الغربية</v>
      </c>
      <c r="J808" s="30" t="s">
        <v>105</v>
      </c>
      <c r="K808" s="30" t="s">
        <v>79</v>
      </c>
      <c r="L808" s="31" t="n">
        <v>4309</v>
      </c>
      <c r="M808" s="19" t="n">
        <v>1</v>
      </c>
      <c r="N808" s="32" t="n">
        <v>0</v>
      </c>
      <c r="O808" s="30" t="s">
        <v>55</v>
      </c>
      <c r="P808" s="30" t="s">
        <v>47</v>
      </c>
      <c r="Q808" s="30" t="s">
        <v>78</v>
      </c>
      <c r="R808" s="25" t="n">
        <f aca="false">L808*M808*(1-N808)</f>
        <v>4309</v>
      </c>
    </row>
    <row r="809" customFormat="false" ht="15" hidden="false" customHeight="false" outlineLevel="0" collapsed="false">
      <c r="A809" s="30" t="s">
        <v>980</v>
      </c>
      <c r="B809" s="44" t="n">
        <v>45574</v>
      </c>
      <c r="C809" s="19" t="n">
        <f aca="false">YEAR(B809)</f>
        <v>2024</v>
      </c>
      <c r="D809" s="19" t="n">
        <f aca="false">MONTH(B809)</f>
        <v>10</v>
      </c>
      <c r="E809" s="30" t="str">
        <f aca="false">INDEX(Lists!$K$2:$K$13,MATCH(D809,Lists!$J$2:$J$13,0))</f>
        <v>أكتوبر</v>
      </c>
      <c r="F809" s="19" t="str">
        <f aca="false">"Q"&amp;ROUNDUP(D809/3,0)</f>
        <v>Q4</v>
      </c>
      <c r="G809" s="30" t="str">
        <f aca="false">INDEX(Lists!$N$2:$N$8,MATCH(WEEKDAY(B809,2),Lists!$M$2:$M$8,0))</f>
        <v>الأربعاء</v>
      </c>
      <c r="H809" s="30" t="s">
        <v>57</v>
      </c>
      <c r="I809" s="19" t="str">
        <f aca="false">INDEX(Lists!$B$2:$B$6,MATCH(H809,Lists!$A$2:$A$6,0))</f>
        <v>المنطقة الغربية</v>
      </c>
      <c r="J809" s="30" t="s">
        <v>105</v>
      </c>
      <c r="K809" s="30" t="s">
        <v>90</v>
      </c>
      <c r="L809" s="31" t="n">
        <v>3059</v>
      </c>
      <c r="M809" s="19" t="n">
        <v>2</v>
      </c>
      <c r="N809" s="32" t="n">
        <v>0.05</v>
      </c>
      <c r="O809" s="30" t="s">
        <v>58</v>
      </c>
      <c r="P809" s="30" t="s">
        <v>47</v>
      </c>
      <c r="Q809" s="30" t="s">
        <v>86</v>
      </c>
      <c r="R809" s="25" t="n">
        <f aca="false">L809*M809*(1-N809)</f>
        <v>5812.1</v>
      </c>
    </row>
    <row r="810" customFormat="false" ht="15" hidden="false" customHeight="false" outlineLevel="0" collapsed="false">
      <c r="A810" s="30" t="s">
        <v>981</v>
      </c>
      <c r="B810" s="44" t="n">
        <v>45574</v>
      </c>
      <c r="C810" s="19" t="n">
        <f aca="false">YEAR(B810)</f>
        <v>2024</v>
      </c>
      <c r="D810" s="19" t="n">
        <f aca="false">MONTH(B810)</f>
        <v>10</v>
      </c>
      <c r="E810" s="30" t="str">
        <f aca="false">INDEX(Lists!$K$2:$K$13,MATCH(D810,Lists!$J$2:$J$13,0))</f>
        <v>أكتوبر</v>
      </c>
      <c r="F810" s="19" t="str">
        <f aca="false">"Q"&amp;ROUNDUP(D810/3,0)</f>
        <v>Q4</v>
      </c>
      <c r="G810" s="30" t="str">
        <f aca="false">INDEX(Lists!$N$2:$N$8,MATCH(WEEKDAY(B810,2),Lists!$M$2:$M$8,0))</f>
        <v>الأربعاء</v>
      </c>
      <c r="H810" s="30" t="s">
        <v>54</v>
      </c>
      <c r="I810" s="19" t="str">
        <f aca="false">INDEX(Lists!$B$2:$B$6,MATCH(H810,Lists!$A$2:$A$6,0))</f>
        <v>المنطقة الشرقية</v>
      </c>
      <c r="J810" s="30" t="s">
        <v>107</v>
      </c>
      <c r="K810" s="30" t="s">
        <v>272</v>
      </c>
      <c r="L810" s="31" t="n">
        <v>4009</v>
      </c>
      <c r="M810" s="19" t="n">
        <v>1</v>
      </c>
      <c r="N810" s="32" t="n">
        <v>0</v>
      </c>
      <c r="O810" s="30" t="s">
        <v>55</v>
      </c>
      <c r="P810" s="30" t="s">
        <v>47</v>
      </c>
      <c r="Q810" s="30" t="s">
        <v>76</v>
      </c>
      <c r="R810" s="25" t="n">
        <f aca="false">L810*M810*(1-N810)</f>
        <v>4009</v>
      </c>
    </row>
    <row r="811" customFormat="false" ht="15" hidden="false" customHeight="false" outlineLevel="0" collapsed="false">
      <c r="A811" s="30" t="s">
        <v>982</v>
      </c>
      <c r="B811" s="44" t="n">
        <v>45575</v>
      </c>
      <c r="C811" s="19" t="n">
        <f aca="false">YEAR(B811)</f>
        <v>2024</v>
      </c>
      <c r="D811" s="19" t="n">
        <f aca="false">MONTH(B811)</f>
        <v>10</v>
      </c>
      <c r="E811" s="30" t="str">
        <f aca="false">INDEX(Lists!$K$2:$K$13,MATCH(D811,Lists!$J$2:$J$13,0))</f>
        <v>أكتوبر</v>
      </c>
      <c r="F811" s="19" t="str">
        <f aca="false">"Q"&amp;ROUNDUP(D811/3,0)</f>
        <v>Q4</v>
      </c>
      <c r="G811" s="30" t="str">
        <f aca="false">INDEX(Lists!$N$2:$N$8,MATCH(WEEKDAY(B811,2),Lists!$M$2:$M$8,0))</f>
        <v>الخميس</v>
      </c>
      <c r="H811" s="30" t="s">
        <v>46</v>
      </c>
      <c r="I811" s="19" t="str">
        <f aca="false">INDEX(Lists!$B$2:$B$6,MATCH(H811,Lists!$A$2:$A$6,0))</f>
        <v>المنطقة الوسطى</v>
      </c>
      <c r="J811" s="30" t="s">
        <v>105</v>
      </c>
      <c r="K811" s="30" t="s">
        <v>79</v>
      </c>
      <c r="L811" s="31" t="n">
        <v>1769</v>
      </c>
      <c r="M811" s="19" t="n">
        <v>1</v>
      </c>
      <c r="N811" s="32" t="n">
        <v>0</v>
      </c>
      <c r="O811" s="30" t="s">
        <v>52</v>
      </c>
      <c r="P811" s="30" t="s">
        <v>47</v>
      </c>
      <c r="Q811" s="30" t="s">
        <v>94</v>
      </c>
      <c r="R811" s="25" t="n">
        <f aca="false">L811*M811*(1-N811)</f>
        <v>1769</v>
      </c>
    </row>
    <row r="812" customFormat="false" ht="15" hidden="false" customHeight="false" outlineLevel="0" collapsed="false">
      <c r="A812" s="30" t="s">
        <v>983</v>
      </c>
      <c r="B812" s="44" t="n">
        <v>45575</v>
      </c>
      <c r="C812" s="19" t="n">
        <f aca="false">YEAR(B812)</f>
        <v>2024</v>
      </c>
      <c r="D812" s="19" t="n">
        <f aca="false">MONTH(B812)</f>
        <v>10</v>
      </c>
      <c r="E812" s="30" t="str">
        <f aca="false">INDEX(Lists!$K$2:$K$13,MATCH(D812,Lists!$J$2:$J$13,0))</f>
        <v>أكتوبر</v>
      </c>
      <c r="F812" s="19" t="str">
        <f aca="false">"Q"&amp;ROUNDUP(D812/3,0)</f>
        <v>Q4</v>
      </c>
      <c r="G812" s="30" t="str">
        <f aca="false">INDEX(Lists!$N$2:$N$8,MATCH(WEEKDAY(B812,2),Lists!$M$2:$M$8,0))</f>
        <v>الخميس</v>
      </c>
      <c r="H812" s="30" t="s">
        <v>46</v>
      </c>
      <c r="I812" s="19" t="str">
        <f aca="false">INDEX(Lists!$B$2:$B$6,MATCH(H812,Lists!$A$2:$A$6,0))</f>
        <v>المنطقة الوسطى</v>
      </c>
      <c r="J812" s="30" t="s">
        <v>107</v>
      </c>
      <c r="K812" s="30" t="s">
        <v>272</v>
      </c>
      <c r="L812" s="31" t="n">
        <v>5429</v>
      </c>
      <c r="M812" s="19" t="n">
        <v>1</v>
      </c>
      <c r="N812" s="32" t="n">
        <v>0.05</v>
      </c>
      <c r="O812" s="30" t="s">
        <v>58</v>
      </c>
      <c r="P812" s="30" t="s">
        <v>47</v>
      </c>
      <c r="Q812" s="30" t="s">
        <v>78</v>
      </c>
      <c r="R812" s="25" t="n">
        <f aca="false">L812*M812*(1-N812)</f>
        <v>5157.55</v>
      </c>
    </row>
    <row r="813" customFormat="false" ht="15" hidden="false" customHeight="false" outlineLevel="0" collapsed="false">
      <c r="A813" s="30" t="s">
        <v>984</v>
      </c>
      <c r="B813" s="44" t="n">
        <v>45575</v>
      </c>
      <c r="C813" s="19" t="n">
        <f aca="false">YEAR(B813)</f>
        <v>2024</v>
      </c>
      <c r="D813" s="19" t="n">
        <f aca="false">MONTH(B813)</f>
        <v>10</v>
      </c>
      <c r="E813" s="30" t="str">
        <f aca="false">INDEX(Lists!$K$2:$K$13,MATCH(D813,Lists!$J$2:$J$13,0))</f>
        <v>أكتوبر</v>
      </c>
      <c r="F813" s="19" t="str">
        <f aca="false">"Q"&amp;ROUNDUP(D813/3,0)</f>
        <v>Q4</v>
      </c>
      <c r="G813" s="30" t="str">
        <f aca="false">INDEX(Lists!$N$2:$N$8,MATCH(WEEKDAY(B813,2),Lists!$M$2:$M$8,0))</f>
        <v>الخميس</v>
      </c>
      <c r="H813" s="30" t="s">
        <v>50</v>
      </c>
      <c r="I813" s="19" t="str">
        <f aca="false">INDEX(Lists!$B$2:$B$6,MATCH(H813,Lists!$A$2:$A$6,0))</f>
        <v>المنطقة الغربية</v>
      </c>
      <c r="J813" s="30" t="s">
        <v>105</v>
      </c>
      <c r="K813" s="30" t="s">
        <v>82</v>
      </c>
      <c r="L813" s="31" t="n">
        <v>1509</v>
      </c>
      <c r="M813" s="19" t="n">
        <v>5</v>
      </c>
      <c r="N813" s="32" t="n">
        <v>0.15</v>
      </c>
      <c r="O813" s="30" t="s">
        <v>48</v>
      </c>
      <c r="P813" s="30" t="s">
        <v>47</v>
      </c>
      <c r="Q813" s="30" t="s">
        <v>81</v>
      </c>
      <c r="R813" s="25" t="n">
        <f aca="false">L813*M813*(1-N813)</f>
        <v>6413.25</v>
      </c>
    </row>
    <row r="814" customFormat="false" ht="15" hidden="false" customHeight="false" outlineLevel="0" collapsed="false">
      <c r="A814" s="30" t="s">
        <v>985</v>
      </c>
      <c r="B814" s="44" t="n">
        <v>45575</v>
      </c>
      <c r="C814" s="19" t="n">
        <f aca="false">YEAR(B814)</f>
        <v>2024</v>
      </c>
      <c r="D814" s="19" t="n">
        <f aca="false">MONTH(B814)</f>
        <v>10</v>
      </c>
      <c r="E814" s="30" t="str">
        <f aca="false">INDEX(Lists!$K$2:$K$13,MATCH(D814,Lists!$J$2:$J$13,0))</f>
        <v>أكتوبر</v>
      </c>
      <c r="F814" s="19" t="str">
        <f aca="false">"Q"&amp;ROUNDUP(D814/3,0)</f>
        <v>Q4</v>
      </c>
      <c r="G814" s="30" t="str">
        <f aca="false">INDEX(Lists!$N$2:$N$8,MATCH(WEEKDAY(B814,2),Lists!$M$2:$M$8,0))</f>
        <v>الخميس</v>
      </c>
      <c r="H814" s="30" t="s">
        <v>57</v>
      </c>
      <c r="I814" s="19" t="str">
        <f aca="false">INDEX(Lists!$B$2:$B$6,MATCH(H814,Lists!$A$2:$A$6,0))</f>
        <v>المنطقة الغربية</v>
      </c>
      <c r="J814" s="30" t="s">
        <v>113</v>
      </c>
      <c r="K814" s="30" t="s">
        <v>97</v>
      </c>
      <c r="L814" s="31" t="n">
        <v>239</v>
      </c>
      <c r="M814" s="19" t="n">
        <v>1</v>
      </c>
      <c r="N814" s="32" t="n">
        <v>0.05</v>
      </c>
      <c r="O814" s="30" t="s">
        <v>55</v>
      </c>
      <c r="P814" s="30" t="s">
        <v>47</v>
      </c>
      <c r="Q814" s="30" t="s">
        <v>99</v>
      </c>
      <c r="R814" s="25" t="n">
        <f aca="false">L814*M814*(1-N814)</f>
        <v>227.05</v>
      </c>
    </row>
    <row r="815" customFormat="false" ht="15" hidden="false" customHeight="false" outlineLevel="0" collapsed="false">
      <c r="A815" s="30" t="s">
        <v>986</v>
      </c>
      <c r="B815" s="44" t="n">
        <v>45576</v>
      </c>
      <c r="C815" s="19" t="n">
        <f aca="false">YEAR(B815)</f>
        <v>2024</v>
      </c>
      <c r="D815" s="19" t="n">
        <f aca="false">MONTH(B815)</f>
        <v>10</v>
      </c>
      <c r="E815" s="30" t="str">
        <f aca="false">INDEX(Lists!$K$2:$K$13,MATCH(D815,Lists!$J$2:$J$13,0))</f>
        <v>أكتوبر</v>
      </c>
      <c r="F815" s="19" t="str">
        <f aca="false">"Q"&amp;ROUNDUP(D815/3,0)</f>
        <v>Q4</v>
      </c>
      <c r="G815" s="30" t="str">
        <f aca="false">INDEX(Lists!$N$2:$N$8,MATCH(WEEKDAY(B815,2),Lists!$M$2:$M$8,0))</f>
        <v>الجمعة</v>
      </c>
      <c r="H815" s="30" t="s">
        <v>50</v>
      </c>
      <c r="I815" s="19" t="str">
        <f aca="false">INDEX(Lists!$B$2:$B$6,MATCH(H815,Lists!$A$2:$A$6,0))</f>
        <v>المنطقة الغربية</v>
      </c>
      <c r="J815" s="30" t="s">
        <v>107</v>
      </c>
      <c r="K815" s="30" t="s">
        <v>115</v>
      </c>
      <c r="L815" s="31" t="n">
        <v>4119</v>
      </c>
      <c r="M815" s="19" t="n">
        <v>1</v>
      </c>
      <c r="N815" s="32" t="n">
        <v>0.05</v>
      </c>
      <c r="O815" s="30" t="s">
        <v>52</v>
      </c>
      <c r="P815" s="30" t="s">
        <v>47</v>
      </c>
      <c r="Q815" s="30" t="s">
        <v>86</v>
      </c>
      <c r="R815" s="25" t="n">
        <f aca="false">L815*M815*(1-N815)</f>
        <v>3913.05</v>
      </c>
    </row>
    <row r="816" customFormat="false" ht="15" hidden="false" customHeight="false" outlineLevel="0" collapsed="false">
      <c r="A816" s="30" t="s">
        <v>987</v>
      </c>
      <c r="B816" s="44" t="n">
        <v>45576</v>
      </c>
      <c r="C816" s="19" t="n">
        <f aca="false">YEAR(B816)</f>
        <v>2024</v>
      </c>
      <c r="D816" s="19" t="n">
        <f aca="false">MONTH(B816)</f>
        <v>10</v>
      </c>
      <c r="E816" s="30" t="str">
        <f aca="false">INDEX(Lists!$K$2:$K$13,MATCH(D816,Lists!$J$2:$J$13,0))</f>
        <v>أكتوبر</v>
      </c>
      <c r="F816" s="19" t="str">
        <f aca="false">"Q"&amp;ROUNDUP(D816/3,0)</f>
        <v>Q4</v>
      </c>
      <c r="G816" s="30" t="str">
        <f aca="false">INDEX(Lists!$N$2:$N$8,MATCH(WEEKDAY(B816,2),Lists!$M$2:$M$8,0))</f>
        <v>الجمعة</v>
      </c>
      <c r="H816" s="30" t="s">
        <v>50</v>
      </c>
      <c r="I816" s="19" t="str">
        <f aca="false">INDEX(Lists!$B$2:$B$6,MATCH(H816,Lists!$A$2:$A$6,0))</f>
        <v>المنطقة الغربية</v>
      </c>
      <c r="J816" s="30" t="s">
        <v>105</v>
      </c>
      <c r="K816" s="30" t="s">
        <v>85</v>
      </c>
      <c r="L816" s="31" t="n">
        <v>1169</v>
      </c>
      <c r="M816" s="19" t="n">
        <v>1</v>
      </c>
      <c r="N816" s="32" t="n">
        <v>0</v>
      </c>
      <c r="O816" s="30" t="s">
        <v>52</v>
      </c>
      <c r="P816" s="30" t="s">
        <v>47</v>
      </c>
      <c r="Q816" s="30" t="s">
        <v>89</v>
      </c>
      <c r="R816" s="25" t="n">
        <f aca="false">L816*M816*(1-N816)</f>
        <v>1169</v>
      </c>
    </row>
    <row r="817" customFormat="false" ht="15" hidden="false" customHeight="false" outlineLevel="0" collapsed="false">
      <c r="A817" s="30" t="s">
        <v>988</v>
      </c>
      <c r="B817" s="44" t="n">
        <v>45576</v>
      </c>
      <c r="C817" s="19" t="n">
        <f aca="false">YEAR(B817)</f>
        <v>2024</v>
      </c>
      <c r="D817" s="19" t="n">
        <f aca="false">MONTH(B817)</f>
        <v>10</v>
      </c>
      <c r="E817" s="30" t="str">
        <f aca="false">INDEX(Lists!$K$2:$K$13,MATCH(D817,Lists!$J$2:$J$13,0))</f>
        <v>أكتوبر</v>
      </c>
      <c r="F817" s="19" t="str">
        <f aca="false">"Q"&amp;ROUNDUP(D817/3,0)</f>
        <v>Q4</v>
      </c>
      <c r="G817" s="30" t="str">
        <f aca="false">INDEX(Lists!$N$2:$N$8,MATCH(WEEKDAY(B817,2),Lists!$M$2:$M$8,0))</f>
        <v>الجمعة</v>
      </c>
      <c r="H817" s="30" t="s">
        <v>46</v>
      </c>
      <c r="I817" s="19" t="str">
        <f aca="false">INDEX(Lists!$B$2:$B$6,MATCH(H817,Lists!$A$2:$A$6,0))</f>
        <v>المنطقة الوسطى</v>
      </c>
      <c r="J817" s="30" t="s">
        <v>109</v>
      </c>
      <c r="K817" s="30" t="s">
        <v>110</v>
      </c>
      <c r="L817" s="31" t="n">
        <v>319</v>
      </c>
      <c r="M817" s="19" t="n">
        <v>1</v>
      </c>
      <c r="N817" s="32" t="n">
        <v>0.05</v>
      </c>
      <c r="O817" s="30" t="s">
        <v>55</v>
      </c>
      <c r="P817" s="30" t="s">
        <v>47</v>
      </c>
      <c r="Q817" s="30" t="s">
        <v>89</v>
      </c>
      <c r="R817" s="25" t="n">
        <f aca="false">L817*M817*(1-N817)</f>
        <v>303.05</v>
      </c>
    </row>
    <row r="818" customFormat="false" ht="15" hidden="false" customHeight="false" outlineLevel="0" collapsed="false">
      <c r="A818" s="30" t="s">
        <v>989</v>
      </c>
      <c r="B818" s="44" t="n">
        <v>45577</v>
      </c>
      <c r="C818" s="19" t="n">
        <f aca="false">YEAR(B818)</f>
        <v>2024</v>
      </c>
      <c r="D818" s="19" t="n">
        <f aca="false">MONTH(B818)</f>
        <v>10</v>
      </c>
      <c r="E818" s="30" t="str">
        <f aca="false">INDEX(Lists!$K$2:$K$13,MATCH(D818,Lists!$J$2:$J$13,0))</f>
        <v>أكتوبر</v>
      </c>
      <c r="F818" s="19" t="str">
        <f aca="false">"Q"&amp;ROUNDUP(D818/3,0)</f>
        <v>Q4</v>
      </c>
      <c r="G818" s="30" t="str">
        <f aca="false">INDEX(Lists!$N$2:$N$8,MATCH(WEEKDAY(B818,2),Lists!$M$2:$M$8,0))</f>
        <v>السبت</v>
      </c>
      <c r="H818" s="30" t="s">
        <v>60</v>
      </c>
      <c r="I818" s="19" t="str">
        <f aca="false">INDEX(Lists!$B$2:$B$6,MATCH(H818,Lists!$A$2:$A$6,0))</f>
        <v>المنطقة الغربية</v>
      </c>
      <c r="J818" s="30" t="s">
        <v>113</v>
      </c>
      <c r="K818" s="30" t="s">
        <v>100</v>
      </c>
      <c r="L818" s="31" t="n">
        <v>599</v>
      </c>
      <c r="M818" s="19" t="n">
        <v>1</v>
      </c>
      <c r="N818" s="32" t="n">
        <v>0</v>
      </c>
      <c r="O818" s="30" t="s">
        <v>48</v>
      </c>
      <c r="P818" s="30" t="s">
        <v>47</v>
      </c>
      <c r="Q818" s="30" t="s">
        <v>99</v>
      </c>
      <c r="R818" s="25" t="n">
        <f aca="false">L818*M818*(1-N818)</f>
        <v>599</v>
      </c>
    </row>
    <row r="819" customFormat="false" ht="15" hidden="false" customHeight="false" outlineLevel="0" collapsed="false">
      <c r="A819" s="30" t="s">
        <v>990</v>
      </c>
      <c r="B819" s="44" t="n">
        <v>45577</v>
      </c>
      <c r="C819" s="19" t="n">
        <f aca="false">YEAR(B819)</f>
        <v>2024</v>
      </c>
      <c r="D819" s="19" t="n">
        <f aca="false">MONTH(B819)</f>
        <v>10</v>
      </c>
      <c r="E819" s="30" t="str">
        <f aca="false">INDEX(Lists!$K$2:$K$13,MATCH(D819,Lists!$J$2:$J$13,0))</f>
        <v>أكتوبر</v>
      </c>
      <c r="F819" s="19" t="str">
        <f aca="false">"Q"&amp;ROUNDUP(D819/3,0)</f>
        <v>Q4</v>
      </c>
      <c r="G819" s="30" t="str">
        <f aca="false">INDEX(Lists!$N$2:$N$8,MATCH(WEEKDAY(B819,2),Lists!$M$2:$M$8,0))</f>
        <v>السبت</v>
      </c>
      <c r="H819" s="30" t="s">
        <v>50</v>
      </c>
      <c r="I819" s="19" t="str">
        <f aca="false">INDEX(Lists!$B$2:$B$6,MATCH(H819,Lists!$A$2:$A$6,0))</f>
        <v>المنطقة الغربية</v>
      </c>
      <c r="J819" s="30" t="s">
        <v>109</v>
      </c>
      <c r="K819" s="30" t="s">
        <v>171</v>
      </c>
      <c r="L819" s="31" t="n">
        <v>39</v>
      </c>
      <c r="M819" s="19" t="n">
        <v>2</v>
      </c>
      <c r="N819" s="32" t="n">
        <v>0</v>
      </c>
      <c r="O819" s="30" t="s">
        <v>48</v>
      </c>
      <c r="P819" s="30" t="s">
        <v>47</v>
      </c>
      <c r="Q819" s="30" t="s">
        <v>86</v>
      </c>
      <c r="R819" s="25" t="n">
        <f aca="false">L819*M819*(1-N819)</f>
        <v>78</v>
      </c>
    </row>
    <row r="820" customFormat="false" ht="15" hidden="false" customHeight="false" outlineLevel="0" collapsed="false">
      <c r="A820" s="30" t="s">
        <v>991</v>
      </c>
      <c r="B820" s="44" t="n">
        <v>45577</v>
      </c>
      <c r="C820" s="19" t="n">
        <f aca="false">YEAR(B820)</f>
        <v>2024</v>
      </c>
      <c r="D820" s="19" t="n">
        <f aca="false">MONTH(B820)</f>
        <v>10</v>
      </c>
      <c r="E820" s="30" t="str">
        <f aca="false">INDEX(Lists!$K$2:$K$13,MATCH(D820,Lists!$J$2:$J$13,0))</f>
        <v>أكتوبر</v>
      </c>
      <c r="F820" s="19" t="str">
        <f aca="false">"Q"&amp;ROUNDUP(D820/3,0)</f>
        <v>Q4</v>
      </c>
      <c r="G820" s="30" t="str">
        <f aca="false">INDEX(Lists!$N$2:$N$8,MATCH(WEEKDAY(B820,2),Lists!$M$2:$M$8,0))</f>
        <v>السبت</v>
      </c>
      <c r="H820" s="30" t="s">
        <v>54</v>
      </c>
      <c r="I820" s="19" t="str">
        <f aca="false">INDEX(Lists!$B$2:$B$6,MATCH(H820,Lists!$A$2:$A$6,0))</f>
        <v>المنطقة الشرقية</v>
      </c>
      <c r="J820" s="30" t="s">
        <v>105</v>
      </c>
      <c r="K820" s="30" t="s">
        <v>82</v>
      </c>
      <c r="L820" s="31" t="n">
        <v>3469</v>
      </c>
      <c r="M820" s="19" t="n">
        <v>2</v>
      </c>
      <c r="N820" s="32" t="n">
        <v>0.15</v>
      </c>
      <c r="O820" s="30" t="s">
        <v>48</v>
      </c>
      <c r="P820" s="30" t="s">
        <v>47</v>
      </c>
      <c r="Q820" s="30" t="s">
        <v>92</v>
      </c>
      <c r="R820" s="25" t="n">
        <f aca="false">L820*M820*(1-N820)</f>
        <v>5897.3</v>
      </c>
    </row>
    <row r="821" customFormat="false" ht="15" hidden="false" customHeight="false" outlineLevel="0" collapsed="false">
      <c r="A821" s="30" t="s">
        <v>992</v>
      </c>
      <c r="B821" s="44" t="n">
        <v>45577</v>
      </c>
      <c r="C821" s="19" t="n">
        <f aca="false">YEAR(B821)</f>
        <v>2024</v>
      </c>
      <c r="D821" s="19" t="n">
        <f aca="false">MONTH(B821)</f>
        <v>10</v>
      </c>
      <c r="E821" s="30" t="str">
        <f aca="false">INDEX(Lists!$K$2:$K$13,MATCH(D821,Lists!$J$2:$J$13,0))</f>
        <v>أكتوبر</v>
      </c>
      <c r="F821" s="19" t="str">
        <f aca="false">"Q"&amp;ROUNDUP(D821/3,0)</f>
        <v>Q4</v>
      </c>
      <c r="G821" s="30" t="str">
        <f aca="false">INDEX(Lists!$N$2:$N$8,MATCH(WEEKDAY(B821,2),Lists!$M$2:$M$8,0))</f>
        <v>السبت</v>
      </c>
      <c r="H821" s="30" t="s">
        <v>50</v>
      </c>
      <c r="I821" s="19" t="str">
        <f aca="false">INDEX(Lists!$B$2:$B$6,MATCH(H821,Lists!$A$2:$A$6,0))</f>
        <v>المنطقة الغربية</v>
      </c>
      <c r="J821" s="30" t="s">
        <v>105</v>
      </c>
      <c r="K821" s="30" t="s">
        <v>90</v>
      </c>
      <c r="L821" s="31" t="n">
        <v>2469</v>
      </c>
      <c r="M821" s="19" t="n">
        <v>1</v>
      </c>
      <c r="N821" s="32" t="n">
        <v>0</v>
      </c>
      <c r="O821" s="30" t="s">
        <v>48</v>
      </c>
      <c r="P821" s="30" t="s">
        <v>47</v>
      </c>
      <c r="Q821" s="30" t="s">
        <v>76</v>
      </c>
      <c r="R821" s="25" t="n">
        <f aca="false">L821*M821*(1-N821)</f>
        <v>2469</v>
      </c>
    </row>
    <row r="822" customFormat="false" ht="15" hidden="false" customHeight="false" outlineLevel="0" collapsed="false">
      <c r="A822" s="30" t="s">
        <v>993</v>
      </c>
      <c r="B822" s="44" t="n">
        <v>45579</v>
      </c>
      <c r="C822" s="19" t="n">
        <f aca="false">YEAR(B822)</f>
        <v>2024</v>
      </c>
      <c r="D822" s="19" t="n">
        <f aca="false">MONTH(B822)</f>
        <v>10</v>
      </c>
      <c r="E822" s="30" t="str">
        <f aca="false">INDEX(Lists!$K$2:$K$13,MATCH(D822,Lists!$J$2:$J$13,0))</f>
        <v>أكتوبر</v>
      </c>
      <c r="F822" s="19" t="str">
        <f aca="false">"Q"&amp;ROUNDUP(D822/3,0)</f>
        <v>Q4</v>
      </c>
      <c r="G822" s="30" t="str">
        <f aca="false">INDEX(Lists!$N$2:$N$8,MATCH(WEEKDAY(B822,2),Lists!$M$2:$M$8,0))</f>
        <v>الإثنين</v>
      </c>
      <c r="H822" s="30" t="s">
        <v>57</v>
      </c>
      <c r="I822" s="19" t="str">
        <f aca="false">INDEX(Lists!$B$2:$B$6,MATCH(H822,Lists!$A$2:$A$6,0))</f>
        <v>المنطقة الغربية</v>
      </c>
      <c r="J822" s="30" t="s">
        <v>107</v>
      </c>
      <c r="K822" s="30" t="s">
        <v>184</v>
      </c>
      <c r="L822" s="31" t="n">
        <v>3529</v>
      </c>
      <c r="M822" s="19" t="n">
        <v>2</v>
      </c>
      <c r="N822" s="32" t="n">
        <v>0.1</v>
      </c>
      <c r="O822" s="30" t="s">
        <v>48</v>
      </c>
      <c r="P822" s="30" t="s">
        <v>47</v>
      </c>
      <c r="Q822" s="30" t="s">
        <v>99</v>
      </c>
      <c r="R822" s="25" t="n">
        <f aca="false">L822*M822*(1-N822)</f>
        <v>6352.2</v>
      </c>
    </row>
    <row r="823" customFormat="false" ht="15" hidden="false" customHeight="false" outlineLevel="0" collapsed="false">
      <c r="A823" s="30" t="s">
        <v>994</v>
      </c>
      <c r="B823" s="44" t="n">
        <v>45580</v>
      </c>
      <c r="C823" s="19" t="n">
        <f aca="false">YEAR(B823)</f>
        <v>2024</v>
      </c>
      <c r="D823" s="19" t="n">
        <f aca="false">MONTH(B823)</f>
        <v>10</v>
      </c>
      <c r="E823" s="30" t="str">
        <f aca="false">INDEX(Lists!$K$2:$K$13,MATCH(D823,Lists!$J$2:$J$13,0))</f>
        <v>أكتوبر</v>
      </c>
      <c r="F823" s="19" t="str">
        <f aca="false">"Q"&amp;ROUNDUP(D823/3,0)</f>
        <v>Q4</v>
      </c>
      <c r="G823" s="30" t="str">
        <f aca="false">INDEX(Lists!$N$2:$N$8,MATCH(WEEKDAY(B823,2),Lists!$M$2:$M$8,0))</f>
        <v>الثلاثاء</v>
      </c>
      <c r="H823" s="30" t="s">
        <v>54</v>
      </c>
      <c r="I823" s="19" t="str">
        <f aca="false">INDEX(Lists!$B$2:$B$6,MATCH(H823,Lists!$A$2:$A$6,0))</f>
        <v>المنطقة الشرقية</v>
      </c>
      <c r="J823" s="30" t="s">
        <v>105</v>
      </c>
      <c r="K823" s="30" t="s">
        <v>79</v>
      </c>
      <c r="L823" s="31" t="n">
        <v>3889</v>
      </c>
      <c r="M823" s="19" t="n">
        <v>1</v>
      </c>
      <c r="N823" s="32" t="n">
        <v>0</v>
      </c>
      <c r="O823" s="30" t="s">
        <v>48</v>
      </c>
      <c r="P823" s="30" t="s">
        <v>47</v>
      </c>
      <c r="Q823" s="30" t="s">
        <v>84</v>
      </c>
      <c r="R823" s="25" t="n">
        <f aca="false">L823*M823*(1-N823)</f>
        <v>3889</v>
      </c>
    </row>
    <row r="824" customFormat="false" ht="15" hidden="false" customHeight="false" outlineLevel="0" collapsed="false">
      <c r="A824" s="30" t="s">
        <v>995</v>
      </c>
      <c r="B824" s="44" t="n">
        <v>45581</v>
      </c>
      <c r="C824" s="19" t="n">
        <f aca="false">YEAR(B824)</f>
        <v>2024</v>
      </c>
      <c r="D824" s="19" t="n">
        <f aca="false">MONTH(B824)</f>
        <v>10</v>
      </c>
      <c r="E824" s="30" t="str">
        <f aca="false">INDEX(Lists!$K$2:$K$13,MATCH(D824,Lists!$J$2:$J$13,0))</f>
        <v>أكتوبر</v>
      </c>
      <c r="F824" s="19" t="str">
        <f aca="false">"Q"&amp;ROUNDUP(D824/3,0)</f>
        <v>Q4</v>
      </c>
      <c r="G824" s="30" t="str">
        <f aca="false">INDEX(Lists!$N$2:$N$8,MATCH(WEEKDAY(B824,2),Lists!$M$2:$M$8,0))</f>
        <v>الأربعاء</v>
      </c>
      <c r="H824" s="30" t="s">
        <v>46</v>
      </c>
      <c r="I824" s="19" t="str">
        <f aca="false">INDEX(Lists!$B$2:$B$6,MATCH(H824,Lists!$A$2:$A$6,0))</f>
        <v>المنطقة الوسطى</v>
      </c>
      <c r="J824" s="30" t="s">
        <v>107</v>
      </c>
      <c r="K824" s="30" t="s">
        <v>272</v>
      </c>
      <c r="L824" s="31" t="n">
        <v>6569</v>
      </c>
      <c r="M824" s="19" t="n">
        <v>2</v>
      </c>
      <c r="N824" s="32" t="n">
        <v>0</v>
      </c>
      <c r="O824" s="30" t="s">
        <v>52</v>
      </c>
      <c r="P824" s="30" t="s">
        <v>47</v>
      </c>
      <c r="Q824" s="30" t="s">
        <v>81</v>
      </c>
      <c r="R824" s="25" t="n">
        <f aca="false">L824*M824*(1-N824)</f>
        <v>13138</v>
      </c>
    </row>
    <row r="825" customFormat="false" ht="15" hidden="false" customHeight="false" outlineLevel="0" collapsed="false">
      <c r="A825" s="30" t="s">
        <v>996</v>
      </c>
      <c r="B825" s="44" t="n">
        <v>45582</v>
      </c>
      <c r="C825" s="19" t="n">
        <f aca="false">YEAR(B825)</f>
        <v>2024</v>
      </c>
      <c r="D825" s="19" t="n">
        <f aca="false">MONTH(B825)</f>
        <v>10</v>
      </c>
      <c r="E825" s="30" t="str">
        <f aca="false">INDEX(Lists!$K$2:$K$13,MATCH(D825,Lists!$J$2:$J$13,0))</f>
        <v>أكتوبر</v>
      </c>
      <c r="F825" s="19" t="str">
        <f aca="false">"Q"&amp;ROUNDUP(D825/3,0)</f>
        <v>Q4</v>
      </c>
      <c r="G825" s="30" t="str">
        <f aca="false">INDEX(Lists!$N$2:$N$8,MATCH(WEEKDAY(B825,2),Lists!$M$2:$M$8,0))</f>
        <v>الخميس</v>
      </c>
      <c r="H825" s="30" t="s">
        <v>46</v>
      </c>
      <c r="I825" s="19" t="str">
        <f aca="false">INDEX(Lists!$B$2:$B$6,MATCH(H825,Lists!$A$2:$A$6,0))</f>
        <v>المنطقة الوسطى</v>
      </c>
      <c r="J825" s="30" t="s">
        <v>107</v>
      </c>
      <c r="K825" s="30" t="s">
        <v>114</v>
      </c>
      <c r="L825" s="31" t="n">
        <v>7449</v>
      </c>
      <c r="M825" s="19" t="n">
        <v>1</v>
      </c>
      <c r="N825" s="32" t="n">
        <v>0.05</v>
      </c>
      <c r="O825" s="30" t="s">
        <v>48</v>
      </c>
      <c r="P825" s="30" t="s">
        <v>47</v>
      </c>
      <c r="Q825" s="30" t="s">
        <v>99</v>
      </c>
      <c r="R825" s="25" t="n">
        <f aca="false">L825*M825*(1-N825)</f>
        <v>7076.55</v>
      </c>
    </row>
    <row r="826" customFormat="false" ht="15" hidden="false" customHeight="false" outlineLevel="0" collapsed="false">
      <c r="A826" s="30" t="s">
        <v>997</v>
      </c>
      <c r="B826" s="44" t="n">
        <v>45582</v>
      </c>
      <c r="C826" s="19" t="n">
        <f aca="false">YEAR(B826)</f>
        <v>2024</v>
      </c>
      <c r="D826" s="19" t="n">
        <f aca="false">MONTH(B826)</f>
        <v>10</v>
      </c>
      <c r="E826" s="30" t="str">
        <f aca="false">INDEX(Lists!$K$2:$K$13,MATCH(D826,Lists!$J$2:$J$13,0))</f>
        <v>أكتوبر</v>
      </c>
      <c r="F826" s="19" t="str">
        <f aca="false">"Q"&amp;ROUNDUP(D826/3,0)</f>
        <v>Q4</v>
      </c>
      <c r="G826" s="30" t="str">
        <f aca="false">INDEX(Lists!$N$2:$N$8,MATCH(WEEKDAY(B826,2),Lists!$M$2:$M$8,0))</f>
        <v>الخميس</v>
      </c>
      <c r="H826" s="30" t="s">
        <v>50</v>
      </c>
      <c r="I826" s="19" t="str">
        <f aca="false">INDEX(Lists!$B$2:$B$6,MATCH(H826,Lists!$A$2:$A$6,0))</f>
        <v>المنطقة الغربية</v>
      </c>
      <c r="J826" s="30" t="s">
        <v>105</v>
      </c>
      <c r="K826" s="30" t="s">
        <v>179</v>
      </c>
      <c r="L826" s="31" t="n">
        <v>1879</v>
      </c>
      <c r="M826" s="19" t="n">
        <v>1</v>
      </c>
      <c r="N826" s="32" t="n">
        <v>0</v>
      </c>
      <c r="O826" s="30" t="s">
        <v>58</v>
      </c>
      <c r="P826" s="30" t="s">
        <v>47</v>
      </c>
      <c r="Q826" s="30" t="s">
        <v>89</v>
      </c>
      <c r="R826" s="25" t="n">
        <f aca="false">L826*M826*(1-N826)</f>
        <v>1879</v>
      </c>
    </row>
    <row r="827" customFormat="false" ht="15" hidden="false" customHeight="false" outlineLevel="0" collapsed="false">
      <c r="A827" s="30" t="s">
        <v>998</v>
      </c>
      <c r="B827" s="44" t="n">
        <v>45583</v>
      </c>
      <c r="C827" s="19" t="n">
        <f aca="false">YEAR(B827)</f>
        <v>2024</v>
      </c>
      <c r="D827" s="19" t="n">
        <f aca="false">MONTH(B827)</f>
        <v>10</v>
      </c>
      <c r="E827" s="30" t="str">
        <f aca="false">INDEX(Lists!$K$2:$K$13,MATCH(D827,Lists!$J$2:$J$13,0))</f>
        <v>أكتوبر</v>
      </c>
      <c r="F827" s="19" t="str">
        <f aca="false">"Q"&amp;ROUNDUP(D827/3,0)</f>
        <v>Q4</v>
      </c>
      <c r="G827" s="30" t="str">
        <f aca="false">INDEX(Lists!$N$2:$N$8,MATCH(WEEKDAY(B827,2),Lists!$M$2:$M$8,0))</f>
        <v>الجمعة</v>
      </c>
      <c r="H827" s="30" t="s">
        <v>46</v>
      </c>
      <c r="I827" s="19" t="str">
        <f aca="false">INDEX(Lists!$B$2:$B$6,MATCH(H827,Lists!$A$2:$A$6,0))</f>
        <v>المنطقة الوسطى</v>
      </c>
      <c r="J827" s="30" t="s">
        <v>105</v>
      </c>
      <c r="K827" s="30" t="s">
        <v>85</v>
      </c>
      <c r="L827" s="31" t="n">
        <v>2109</v>
      </c>
      <c r="M827" s="19" t="n">
        <v>5</v>
      </c>
      <c r="N827" s="32" t="n">
        <v>0.05</v>
      </c>
      <c r="O827" s="30" t="s">
        <v>48</v>
      </c>
      <c r="P827" s="30" t="s">
        <v>51</v>
      </c>
      <c r="Q827" s="30" t="s">
        <v>96</v>
      </c>
      <c r="R827" s="25" t="n">
        <f aca="false">L827*M827*(1-N827)</f>
        <v>10017.75</v>
      </c>
    </row>
    <row r="828" customFormat="false" ht="15" hidden="false" customHeight="false" outlineLevel="0" collapsed="false">
      <c r="A828" s="30" t="s">
        <v>999</v>
      </c>
      <c r="B828" s="44" t="n">
        <v>45583</v>
      </c>
      <c r="C828" s="19" t="n">
        <f aca="false">YEAR(B828)</f>
        <v>2024</v>
      </c>
      <c r="D828" s="19" t="n">
        <f aca="false">MONTH(B828)</f>
        <v>10</v>
      </c>
      <c r="E828" s="30" t="str">
        <f aca="false">INDEX(Lists!$K$2:$K$13,MATCH(D828,Lists!$J$2:$J$13,0))</f>
        <v>أكتوبر</v>
      </c>
      <c r="F828" s="19" t="str">
        <f aca="false">"Q"&amp;ROUNDUP(D828/3,0)</f>
        <v>Q4</v>
      </c>
      <c r="G828" s="30" t="str">
        <f aca="false">INDEX(Lists!$N$2:$N$8,MATCH(WEEKDAY(B828,2),Lists!$M$2:$M$8,0))</f>
        <v>الجمعة</v>
      </c>
      <c r="H828" s="30" t="s">
        <v>60</v>
      </c>
      <c r="I828" s="19" t="str">
        <f aca="false">INDEX(Lists!$B$2:$B$6,MATCH(H828,Lists!$A$2:$A$6,0))</f>
        <v>المنطقة الغربية</v>
      </c>
      <c r="J828" s="30" t="s">
        <v>109</v>
      </c>
      <c r="K828" s="30" t="s">
        <v>192</v>
      </c>
      <c r="L828" s="31" t="n">
        <v>149</v>
      </c>
      <c r="M828" s="19" t="n">
        <v>2</v>
      </c>
      <c r="N828" s="32" t="n">
        <v>0</v>
      </c>
      <c r="O828" s="30" t="s">
        <v>55</v>
      </c>
      <c r="P828" s="30" t="s">
        <v>51</v>
      </c>
      <c r="Q828" s="30" t="s">
        <v>92</v>
      </c>
      <c r="R828" s="25" t="n">
        <f aca="false">L828*M828*(1-N828)</f>
        <v>298</v>
      </c>
    </row>
    <row r="829" customFormat="false" ht="15" hidden="false" customHeight="false" outlineLevel="0" collapsed="false">
      <c r="A829" s="30" t="s">
        <v>1000</v>
      </c>
      <c r="B829" s="44" t="n">
        <v>45584</v>
      </c>
      <c r="C829" s="19" t="n">
        <f aca="false">YEAR(B829)</f>
        <v>2024</v>
      </c>
      <c r="D829" s="19" t="n">
        <f aca="false">MONTH(B829)</f>
        <v>10</v>
      </c>
      <c r="E829" s="30" t="str">
        <f aca="false">INDEX(Lists!$K$2:$K$13,MATCH(D829,Lists!$J$2:$J$13,0))</f>
        <v>أكتوبر</v>
      </c>
      <c r="F829" s="19" t="str">
        <f aca="false">"Q"&amp;ROUNDUP(D829/3,0)</f>
        <v>Q4</v>
      </c>
      <c r="G829" s="30" t="str">
        <f aca="false">INDEX(Lists!$N$2:$N$8,MATCH(WEEKDAY(B829,2),Lists!$M$2:$M$8,0))</f>
        <v>السبت</v>
      </c>
      <c r="H829" s="30" t="s">
        <v>54</v>
      </c>
      <c r="I829" s="19" t="str">
        <f aca="false">INDEX(Lists!$B$2:$B$6,MATCH(H829,Lists!$A$2:$A$6,0))</f>
        <v>المنطقة الشرقية</v>
      </c>
      <c r="J829" s="30" t="s">
        <v>111</v>
      </c>
      <c r="K829" s="30" t="s">
        <v>122</v>
      </c>
      <c r="L829" s="31" t="n">
        <v>129</v>
      </c>
      <c r="M829" s="19" t="n">
        <v>1</v>
      </c>
      <c r="N829" s="32" t="n">
        <v>0.1</v>
      </c>
      <c r="O829" s="30" t="s">
        <v>55</v>
      </c>
      <c r="P829" s="30" t="s">
        <v>47</v>
      </c>
      <c r="Q829" s="30" t="s">
        <v>94</v>
      </c>
      <c r="R829" s="25" t="n">
        <f aca="false">L829*M829*(1-N829)</f>
        <v>116.1</v>
      </c>
    </row>
    <row r="830" customFormat="false" ht="15" hidden="false" customHeight="false" outlineLevel="0" collapsed="false">
      <c r="A830" s="30" t="s">
        <v>1001</v>
      </c>
      <c r="B830" s="44" t="n">
        <v>45584</v>
      </c>
      <c r="C830" s="19" t="n">
        <f aca="false">YEAR(B830)</f>
        <v>2024</v>
      </c>
      <c r="D830" s="19" t="n">
        <f aca="false">MONTH(B830)</f>
        <v>10</v>
      </c>
      <c r="E830" s="30" t="str">
        <f aca="false">INDEX(Lists!$K$2:$K$13,MATCH(D830,Lists!$J$2:$J$13,0))</f>
        <v>أكتوبر</v>
      </c>
      <c r="F830" s="19" t="str">
        <f aca="false">"Q"&amp;ROUNDUP(D830/3,0)</f>
        <v>Q4</v>
      </c>
      <c r="G830" s="30" t="str">
        <f aca="false">INDEX(Lists!$N$2:$N$8,MATCH(WEEKDAY(B830,2),Lists!$M$2:$M$8,0))</f>
        <v>السبت</v>
      </c>
      <c r="H830" s="30" t="s">
        <v>46</v>
      </c>
      <c r="I830" s="19" t="str">
        <f aca="false">INDEX(Lists!$B$2:$B$6,MATCH(H830,Lists!$A$2:$A$6,0))</f>
        <v>المنطقة الوسطى</v>
      </c>
      <c r="J830" s="30" t="s">
        <v>107</v>
      </c>
      <c r="K830" s="30" t="s">
        <v>272</v>
      </c>
      <c r="L830" s="31" t="n">
        <v>5319</v>
      </c>
      <c r="M830" s="19" t="n">
        <v>1</v>
      </c>
      <c r="N830" s="32" t="n">
        <v>0.2</v>
      </c>
      <c r="O830" s="30" t="s">
        <v>55</v>
      </c>
      <c r="P830" s="30" t="s">
        <v>47</v>
      </c>
      <c r="Q830" s="30" t="s">
        <v>94</v>
      </c>
      <c r="R830" s="25" t="n">
        <f aca="false">L830*M830*(1-N830)</f>
        <v>4255.2</v>
      </c>
    </row>
    <row r="831" customFormat="false" ht="15" hidden="false" customHeight="false" outlineLevel="0" collapsed="false">
      <c r="A831" s="30" t="s">
        <v>1002</v>
      </c>
      <c r="B831" s="44" t="n">
        <v>45584</v>
      </c>
      <c r="C831" s="19" t="n">
        <f aca="false">YEAR(B831)</f>
        <v>2024</v>
      </c>
      <c r="D831" s="19" t="n">
        <f aca="false">MONTH(B831)</f>
        <v>10</v>
      </c>
      <c r="E831" s="30" t="str">
        <f aca="false">INDEX(Lists!$K$2:$K$13,MATCH(D831,Lists!$J$2:$J$13,0))</f>
        <v>أكتوبر</v>
      </c>
      <c r="F831" s="19" t="str">
        <f aca="false">"Q"&amp;ROUNDUP(D831/3,0)</f>
        <v>Q4</v>
      </c>
      <c r="G831" s="30" t="str">
        <f aca="false">INDEX(Lists!$N$2:$N$8,MATCH(WEEKDAY(B831,2),Lists!$M$2:$M$8,0))</f>
        <v>السبت</v>
      </c>
      <c r="H831" s="30" t="s">
        <v>54</v>
      </c>
      <c r="I831" s="19" t="str">
        <f aca="false">INDEX(Lists!$B$2:$B$6,MATCH(H831,Lists!$A$2:$A$6,0))</f>
        <v>المنطقة الشرقية</v>
      </c>
      <c r="J831" s="30" t="s">
        <v>109</v>
      </c>
      <c r="K831" s="30" t="s">
        <v>110</v>
      </c>
      <c r="L831" s="31" t="n">
        <v>99</v>
      </c>
      <c r="M831" s="19" t="n">
        <v>1</v>
      </c>
      <c r="N831" s="32" t="n">
        <v>0</v>
      </c>
      <c r="O831" s="30" t="s">
        <v>52</v>
      </c>
      <c r="P831" s="30" t="s">
        <v>47</v>
      </c>
      <c r="Q831" s="30" t="s">
        <v>99</v>
      </c>
      <c r="R831" s="25" t="n">
        <f aca="false">L831*M831*(1-N831)</f>
        <v>99</v>
      </c>
    </row>
    <row r="832" customFormat="false" ht="15" hidden="false" customHeight="false" outlineLevel="0" collapsed="false">
      <c r="A832" s="30" t="s">
        <v>1003</v>
      </c>
      <c r="B832" s="44" t="n">
        <v>45584</v>
      </c>
      <c r="C832" s="19" t="n">
        <f aca="false">YEAR(B832)</f>
        <v>2024</v>
      </c>
      <c r="D832" s="19" t="n">
        <f aca="false">MONTH(B832)</f>
        <v>10</v>
      </c>
      <c r="E832" s="30" t="str">
        <f aca="false">INDEX(Lists!$K$2:$K$13,MATCH(D832,Lists!$J$2:$J$13,0))</f>
        <v>أكتوبر</v>
      </c>
      <c r="F832" s="19" t="str">
        <f aca="false">"Q"&amp;ROUNDUP(D832/3,0)</f>
        <v>Q4</v>
      </c>
      <c r="G832" s="30" t="str">
        <f aca="false">INDEX(Lists!$N$2:$N$8,MATCH(WEEKDAY(B832,2),Lists!$M$2:$M$8,0))</f>
        <v>السبت</v>
      </c>
      <c r="H832" s="30" t="s">
        <v>46</v>
      </c>
      <c r="I832" s="19" t="str">
        <f aca="false">INDEX(Lists!$B$2:$B$6,MATCH(H832,Lists!$A$2:$A$6,0))</f>
        <v>المنطقة الوسطى</v>
      </c>
      <c r="J832" s="30" t="s">
        <v>107</v>
      </c>
      <c r="K832" s="30" t="s">
        <v>115</v>
      </c>
      <c r="L832" s="31" t="n">
        <v>6729</v>
      </c>
      <c r="M832" s="19" t="n">
        <v>1</v>
      </c>
      <c r="N832" s="32" t="n">
        <v>0</v>
      </c>
      <c r="O832" s="30" t="s">
        <v>48</v>
      </c>
      <c r="P832" s="30" t="s">
        <v>47</v>
      </c>
      <c r="Q832" s="30" t="s">
        <v>94</v>
      </c>
      <c r="R832" s="25" t="n">
        <f aca="false">L832*M832*(1-N832)</f>
        <v>6729</v>
      </c>
    </row>
    <row r="833" customFormat="false" ht="15" hidden="false" customHeight="false" outlineLevel="0" collapsed="false">
      <c r="A833" s="30" t="s">
        <v>1004</v>
      </c>
      <c r="B833" s="44" t="n">
        <v>45584</v>
      </c>
      <c r="C833" s="19" t="n">
        <f aca="false">YEAR(B833)</f>
        <v>2024</v>
      </c>
      <c r="D833" s="19" t="n">
        <f aca="false">MONTH(B833)</f>
        <v>10</v>
      </c>
      <c r="E833" s="30" t="str">
        <f aca="false">INDEX(Lists!$K$2:$K$13,MATCH(D833,Lists!$J$2:$J$13,0))</f>
        <v>أكتوبر</v>
      </c>
      <c r="F833" s="19" t="str">
        <f aca="false">"Q"&amp;ROUNDUP(D833/3,0)</f>
        <v>Q4</v>
      </c>
      <c r="G833" s="30" t="str">
        <f aca="false">INDEX(Lists!$N$2:$N$8,MATCH(WEEKDAY(B833,2),Lists!$M$2:$M$8,0))</f>
        <v>السبت</v>
      </c>
      <c r="H833" s="30" t="s">
        <v>57</v>
      </c>
      <c r="I833" s="19" t="str">
        <f aca="false">INDEX(Lists!$B$2:$B$6,MATCH(H833,Lists!$A$2:$A$6,0))</f>
        <v>المنطقة الغربية</v>
      </c>
      <c r="J833" s="30" t="s">
        <v>109</v>
      </c>
      <c r="K833" s="30" t="s">
        <v>192</v>
      </c>
      <c r="L833" s="31" t="n">
        <v>269</v>
      </c>
      <c r="M833" s="19" t="n">
        <v>4</v>
      </c>
      <c r="N833" s="32" t="n">
        <v>0</v>
      </c>
      <c r="O833" s="30" t="s">
        <v>52</v>
      </c>
      <c r="P833" s="30" t="s">
        <v>51</v>
      </c>
      <c r="Q833" s="30" t="s">
        <v>86</v>
      </c>
      <c r="R833" s="25" t="n">
        <f aca="false">L833*M833*(1-N833)</f>
        <v>1076</v>
      </c>
    </row>
    <row r="834" customFormat="false" ht="15" hidden="false" customHeight="false" outlineLevel="0" collapsed="false">
      <c r="A834" s="30" t="s">
        <v>1005</v>
      </c>
      <c r="B834" s="44" t="n">
        <v>45585</v>
      </c>
      <c r="C834" s="19" t="n">
        <f aca="false">YEAR(B834)</f>
        <v>2024</v>
      </c>
      <c r="D834" s="19" t="n">
        <f aca="false">MONTH(B834)</f>
        <v>10</v>
      </c>
      <c r="E834" s="30" t="str">
        <f aca="false">INDEX(Lists!$K$2:$K$13,MATCH(D834,Lists!$J$2:$J$13,0))</f>
        <v>أكتوبر</v>
      </c>
      <c r="F834" s="19" t="str">
        <f aca="false">"Q"&amp;ROUNDUP(D834/3,0)</f>
        <v>Q4</v>
      </c>
      <c r="G834" s="30" t="str">
        <f aca="false">INDEX(Lists!$N$2:$N$8,MATCH(WEEKDAY(B834,2),Lists!$M$2:$M$8,0))</f>
        <v>الأحد</v>
      </c>
      <c r="H834" s="30" t="s">
        <v>50</v>
      </c>
      <c r="I834" s="19" t="str">
        <f aca="false">INDEX(Lists!$B$2:$B$6,MATCH(H834,Lists!$A$2:$A$6,0))</f>
        <v>المنطقة الغربية</v>
      </c>
      <c r="J834" s="30" t="s">
        <v>105</v>
      </c>
      <c r="K834" s="30" t="s">
        <v>82</v>
      </c>
      <c r="L834" s="31" t="n">
        <v>3079</v>
      </c>
      <c r="M834" s="19" t="n">
        <v>1</v>
      </c>
      <c r="N834" s="32" t="n">
        <v>0</v>
      </c>
      <c r="O834" s="30" t="s">
        <v>48</v>
      </c>
      <c r="P834" s="30" t="s">
        <v>47</v>
      </c>
      <c r="Q834" s="30" t="s">
        <v>81</v>
      </c>
      <c r="R834" s="25" t="n">
        <f aca="false">L834*M834*(1-N834)</f>
        <v>3079</v>
      </c>
    </row>
    <row r="835" customFormat="false" ht="15" hidden="false" customHeight="false" outlineLevel="0" collapsed="false">
      <c r="A835" s="30" t="s">
        <v>1006</v>
      </c>
      <c r="B835" s="44" t="n">
        <v>45585</v>
      </c>
      <c r="C835" s="19" t="n">
        <f aca="false">YEAR(B835)</f>
        <v>2024</v>
      </c>
      <c r="D835" s="19" t="n">
        <f aca="false">MONTH(B835)</f>
        <v>10</v>
      </c>
      <c r="E835" s="30" t="str">
        <f aca="false">INDEX(Lists!$K$2:$K$13,MATCH(D835,Lists!$J$2:$J$13,0))</f>
        <v>أكتوبر</v>
      </c>
      <c r="F835" s="19" t="str">
        <f aca="false">"Q"&amp;ROUNDUP(D835/3,0)</f>
        <v>Q4</v>
      </c>
      <c r="G835" s="30" t="str">
        <f aca="false">INDEX(Lists!$N$2:$N$8,MATCH(WEEKDAY(B835,2),Lists!$M$2:$M$8,0))</f>
        <v>الأحد</v>
      </c>
      <c r="H835" s="30" t="s">
        <v>54</v>
      </c>
      <c r="I835" s="19" t="str">
        <f aca="false">INDEX(Lists!$B$2:$B$6,MATCH(H835,Lists!$A$2:$A$6,0))</f>
        <v>المنطقة الشرقية</v>
      </c>
      <c r="J835" s="30" t="s">
        <v>105</v>
      </c>
      <c r="K835" s="30" t="s">
        <v>82</v>
      </c>
      <c r="L835" s="31" t="n">
        <v>3819</v>
      </c>
      <c r="M835" s="19" t="n">
        <v>1</v>
      </c>
      <c r="N835" s="32" t="n">
        <v>0.05</v>
      </c>
      <c r="O835" s="30" t="s">
        <v>52</v>
      </c>
      <c r="P835" s="30" t="s">
        <v>47</v>
      </c>
      <c r="Q835" s="30" t="s">
        <v>96</v>
      </c>
      <c r="R835" s="25" t="n">
        <f aca="false">L835*M835*(1-N835)</f>
        <v>3628.05</v>
      </c>
    </row>
    <row r="836" customFormat="false" ht="15" hidden="false" customHeight="false" outlineLevel="0" collapsed="false">
      <c r="A836" s="30" t="s">
        <v>1007</v>
      </c>
      <c r="B836" s="44" t="n">
        <v>45585</v>
      </c>
      <c r="C836" s="19" t="n">
        <f aca="false">YEAR(B836)</f>
        <v>2024</v>
      </c>
      <c r="D836" s="19" t="n">
        <f aca="false">MONTH(B836)</f>
        <v>10</v>
      </c>
      <c r="E836" s="30" t="str">
        <f aca="false">INDEX(Lists!$K$2:$K$13,MATCH(D836,Lists!$J$2:$J$13,0))</f>
        <v>أكتوبر</v>
      </c>
      <c r="F836" s="19" t="str">
        <f aca="false">"Q"&amp;ROUNDUP(D836/3,0)</f>
        <v>Q4</v>
      </c>
      <c r="G836" s="30" t="str">
        <f aca="false">INDEX(Lists!$N$2:$N$8,MATCH(WEEKDAY(B836,2),Lists!$M$2:$M$8,0))</f>
        <v>الأحد</v>
      </c>
      <c r="H836" s="30" t="s">
        <v>50</v>
      </c>
      <c r="I836" s="19" t="str">
        <f aca="false">INDEX(Lists!$B$2:$B$6,MATCH(H836,Lists!$A$2:$A$6,0))</f>
        <v>المنطقة الغربية</v>
      </c>
      <c r="J836" s="30" t="s">
        <v>105</v>
      </c>
      <c r="K836" s="30" t="s">
        <v>90</v>
      </c>
      <c r="L836" s="31" t="n">
        <v>4049</v>
      </c>
      <c r="M836" s="19" t="n">
        <v>6</v>
      </c>
      <c r="N836" s="32" t="n">
        <v>0</v>
      </c>
      <c r="O836" s="30" t="s">
        <v>52</v>
      </c>
      <c r="P836" s="30" t="s">
        <v>51</v>
      </c>
      <c r="Q836" s="30" t="s">
        <v>81</v>
      </c>
      <c r="R836" s="25" t="n">
        <f aca="false">L836*M836*(1-N836)</f>
        <v>24294</v>
      </c>
    </row>
    <row r="837" customFormat="false" ht="15" hidden="false" customHeight="false" outlineLevel="0" collapsed="false">
      <c r="A837" s="30" t="s">
        <v>1008</v>
      </c>
      <c r="B837" s="44" t="n">
        <v>45585</v>
      </c>
      <c r="C837" s="19" t="n">
        <f aca="false">YEAR(B837)</f>
        <v>2024</v>
      </c>
      <c r="D837" s="19" t="n">
        <f aca="false">MONTH(B837)</f>
        <v>10</v>
      </c>
      <c r="E837" s="30" t="str">
        <f aca="false">INDEX(Lists!$K$2:$K$13,MATCH(D837,Lists!$J$2:$J$13,0))</f>
        <v>أكتوبر</v>
      </c>
      <c r="F837" s="19" t="str">
        <f aca="false">"Q"&amp;ROUNDUP(D837/3,0)</f>
        <v>Q4</v>
      </c>
      <c r="G837" s="30" t="str">
        <f aca="false">INDEX(Lists!$N$2:$N$8,MATCH(WEEKDAY(B837,2),Lists!$M$2:$M$8,0))</f>
        <v>الأحد</v>
      </c>
      <c r="H837" s="30" t="s">
        <v>46</v>
      </c>
      <c r="I837" s="19" t="str">
        <f aca="false">INDEX(Lists!$B$2:$B$6,MATCH(H837,Lists!$A$2:$A$6,0))</f>
        <v>المنطقة الوسطى</v>
      </c>
      <c r="J837" s="30" t="s">
        <v>111</v>
      </c>
      <c r="K837" s="30" t="s">
        <v>122</v>
      </c>
      <c r="L837" s="31" t="n">
        <v>99</v>
      </c>
      <c r="M837" s="19" t="n">
        <v>1</v>
      </c>
      <c r="N837" s="32" t="n">
        <v>0.05</v>
      </c>
      <c r="O837" s="30" t="s">
        <v>52</v>
      </c>
      <c r="P837" s="30" t="s">
        <v>47</v>
      </c>
      <c r="Q837" s="30" t="s">
        <v>94</v>
      </c>
      <c r="R837" s="25" t="n">
        <f aca="false">L837*M837*(1-N837)</f>
        <v>94.05</v>
      </c>
    </row>
    <row r="838" customFormat="false" ht="15" hidden="false" customHeight="false" outlineLevel="0" collapsed="false">
      <c r="A838" s="30" t="s">
        <v>1009</v>
      </c>
      <c r="B838" s="44" t="n">
        <v>45586</v>
      </c>
      <c r="C838" s="19" t="n">
        <f aca="false">YEAR(B838)</f>
        <v>2024</v>
      </c>
      <c r="D838" s="19" t="n">
        <f aca="false">MONTH(B838)</f>
        <v>10</v>
      </c>
      <c r="E838" s="30" t="str">
        <f aca="false">INDEX(Lists!$K$2:$K$13,MATCH(D838,Lists!$J$2:$J$13,0))</f>
        <v>أكتوبر</v>
      </c>
      <c r="F838" s="19" t="str">
        <f aca="false">"Q"&amp;ROUNDUP(D838/3,0)</f>
        <v>Q4</v>
      </c>
      <c r="G838" s="30" t="str">
        <f aca="false">INDEX(Lists!$N$2:$N$8,MATCH(WEEKDAY(B838,2),Lists!$M$2:$M$8,0))</f>
        <v>الإثنين</v>
      </c>
      <c r="H838" s="30" t="s">
        <v>60</v>
      </c>
      <c r="I838" s="19" t="str">
        <f aca="false">INDEX(Lists!$B$2:$B$6,MATCH(H838,Lists!$A$2:$A$6,0))</f>
        <v>المنطقة الغربية</v>
      </c>
      <c r="J838" s="30" t="s">
        <v>109</v>
      </c>
      <c r="K838" s="30" t="s">
        <v>93</v>
      </c>
      <c r="L838" s="31" t="n">
        <v>119</v>
      </c>
      <c r="M838" s="19" t="n">
        <v>2</v>
      </c>
      <c r="N838" s="32" t="n">
        <v>0.05</v>
      </c>
      <c r="O838" s="30" t="s">
        <v>48</v>
      </c>
      <c r="P838" s="30" t="s">
        <v>47</v>
      </c>
      <c r="Q838" s="30" t="s">
        <v>94</v>
      </c>
      <c r="R838" s="25" t="n">
        <f aca="false">L838*M838*(1-N838)</f>
        <v>226.1</v>
      </c>
    </row>
    <row r="839" customFormat="false" ht="15" hidden="false" customHeight="false" outlineLevel="0" collapsed="false">
      <c r="A839" s="30" t="s">
        <v>1010</v>
      </c>
      <c r="B839" s="44" t="n">
        <v>45587</v>
      </c>
      <c r="C839" s="19" t="n">
        <f aca="false">YEAR(B839)</f>
        <v>2024</v>
      </c>
      <c r="D839" s="19" t="n">
        <f aca="false">MONTH(B839)</f>
        <v>10</v>
      </c>
      <c r="E839" s="30" t="str">
        <f aca="false">INDEX(Lists!$K$2:$K$13,MATCH(D839,Lists!$J$2:$J$13,0))</f>
        <v>أكتوبر</v>
      </c>
      <c r="F839" s="19" t="str">
        <f aca="false">"Q"&amp;ROUNDUP(D839/3,0)</f>
        <v>Q4</v>
      </c>
      <c r="G839" s="30" t="str">
        <f aca="false">INDEX(Lists!$N$2:$N$8,MATCH(WEEKDAY(B839,2),Lists!$M$2:$M$8,0))</f>
        <v>الثلاثاء</v>
      </c>
      <c r="H839" s="30" t="s">
        <v>46</v>
      </c>
      <c r="I839" s="19" t="str">
        <f aca="false">INDEX(Lists!$B$2:$B$6,MATCH(H839,Lists!$A$2:$A$6,0))</f>
        <v>المنطقة الوسطى</v>
      </c>
      <c r="J839" s="30" t="s">
        <v>105</v>
      </c>
      <c r="K839" s="30" t="s">
        <v>85</v>
      </c>
      <c r="L839" s="31" t="n">
        <v>2729</v>
      </c>
      <c r="M839" s="19" t="n">
        <v>1</v>
      </c>
      <c r="N839" s="32" t="n">
        <v>0</v>
      </c>
      <c r="O839" s="30" t="s">
        <v>48</v>
      </c>
      <c r="P839" s="30" t="s">
        <v>47</v>
      </c>
      <c r="Q839" s="30" t="s">
        <v>84</v>
      </c>
      <c r="R839" s="25" t="n">
        <f aca="false">L839*M839*(1-N839)</f>
        <v>2729</v>
      </c>
    </row>
    <row r="840" customFormat="false" ht="15" hidden="false" customHeight="false" outlineLevel="0" collapsed="false">
      <c r="A840" s="30" t="s">
        <v>1011</v>
      </c>
      <c r="B840" s="44" t="n">
        <v>45587</v>
      </c>
      <c r="C840" s="19" t="n">
        <f aca="false">YEAR(B840)</f>
        <v>2024</v>
      </c>
      <c r="D840" s="19" t="n">
        <f aca="false">MONTH(B840)</f>
        <v>10</v>
      </c>
      <c r="E840" s="30" t="str">
        <f aca="false">INDEX(Lists!$K$2:$K$13,MATCH(D840,Lists!$J$2:$J$13,0))</f>
        <v>أكتوبر</v>
      </c>
      <c r="F840" s="19" t="str">
        <f aca="false">"Q"&amp;ROUNDUP(D840/3,0)</f>
        <v>Q4</v>
      </c>
      <c r="G840" s="30" t="str">
        <f aca="false">INDEX(Lists!$N$2:$N$8,MATCH(WEEKDAY(B840,2),Lists!$M$2:$M$8,0))</f>
        <v>الثلاثاء</v>
      </c>
      <c r="H840" s="30" t="s">
        <v>54</v>
      </c>
      <c r="I840" s="19" t="str">
        <f aca="false">INDEX(Lists!$B$2:$B$6,MATCH(H840,Lists!$A$2:$A$6,0))</f>
        <v>المنطقة الشرقية</v>
      </c>
      <c r="J840" s="30" t="s">
        <v>105</v>
      </c>
      <c r="K840" s="30" t="s">
        <v>85</v>
      </c>
      <c r="L840" s="31" t="n">
        <v>3269</v>
      </c>
      <c r="M840" s="19" t="n">
        <v>1</v>
      </c>
      <c r="N840" s="32" t="n">
        <v>0</v>
      </c>
      <c r="O840" s="30" t="s">
        <v>52</v>
      </c>
      <c r="P840" s="30" t="s">
        <v>47</v>
      </c>
      <c r="Q840" s="30" t="s">
        <v>94</v>
      </c>
      <c r="R840" s="25" t="n">
        <f aca="false">L840*M840*(1-N840)</f>
        <v>3269</v>
      </c>
    </row>
    <row r="841" customFormat="false" ht="15" hidden="false" customHeight="false" outlineLevel="0" collapsed="false">
      <c r="A841" s="30" t="s">
        <v>1012</v>
      </c>
      <c r="B841" s="44" t="n">
        <v>45587</v>
      </c>
      <c r="C841" s="19" t="n">
        <f aca="false">YEAR(B841)</f>
        <v>2024</v>
      </c>
      <c r="D841" s="19" t="n">
        <f aca="false">MONTH(B841)</f>
        <v>10</v>
      </c>
      <c r="E841" s="30" t="str">
        <f aca="false">INDEX(Lists!$K$2:$K$13,MATCH(D841,Lists!$J$2:$J$13,0))</f>
        <v>أكتوبر</v>
      </c>
      <c r="F841" s="19" t="str">
        <f aca="false">"Q"&amp;ROUNDUP(D841/3,0)</f>
        <v>Q4</v>
      </c>
      <c r="G841" s="30" t="str">
        <f aca="false">INDEX(Lists!$N$2:$N$8,MATCH(WEEKDAY(B841,2),Lists!$M$2:$M$8,0))</f>
        <v>الثلاثاء</v>
      </c>
      <c r="H841" s="30" t="s">
        <v>57</v>
      </c>
      <c r="I841" s="19" t="str">
        <f aca="false">INDEX(Lists!$B$2:$B$6,MATCH(H841,Lists!$A$2:$A$6,0))</f>
        <v>المنطقة الغربية</v>
      </c>
      <c r="J841" s="30" t="s">
        <v>113</v>
      </c>
      <c r="K841" s="30" t="s">
        <v>100</v>
      </c>
      <c r="L841" s="31" t="n">
        <v>669</v>
      </c>
      <c r="M841" s="19" t="n">
        <v>2</v>
      </c>
      <c r="N841" s="32" t="n">
        <v>0.05</v>
      </c>
      <c r="O841" s="30" t="s">
        <v>48</v>
      </c>
      <c r="P841" s="30" t="s">
        <v>51</v>
      </c>
      <c r="Q841" s="30" t="s">
        <v>86</v>
      </c>
      <c r="R841" s="25" t="n">
        <f aca="false">L841*M841*(1-N841)</f>
        <v>1271.1</v>
      </c>
    </row>
    <row r="842" customFormat="false" ht="15" hidden="false" customHeight="false" outlineLevel="0" collapsed="false">
      <c r="A842" s="30" t="s">
        <v>1013</v>
      </c>
      <c r="B842" s="44" t="n">
        <v>45587</v>
      </c>
      <c r="C842" s="19" t="n">
        <f aca="false">YEAR(B842)</f>
        <v>2024</v>
      </c>
      <c r="D842" s="19" t="n">
        <f aca="false">MONTH(B842)</f>
        <v>10</v>
      </c>
      <c r="E842" s="30" t="str">
        <f aca="false">INDEX(Lists!$K$2:$K$13,MATCH(D842,Lists!$J$2:$J$13,0))</f>
        <v>أكتوبر</v>
      </c>
      <c r="F842" s="19" t="str">
        <f aca="false">"Q"&amp;ROUNDUP(D842/3,0)</f>
        <v>Q4</v>
      </c>
      <c r="G842" s="30" t="str">
        <f aca="false">INDEX(Lists!$N$2:$N$8,MATCH(WEEKDAY(B842,2),Lists!$M$2:$M$8,0))</f>
        <v>الثلاثاء</v>
      </c>
      <c r="H842" s="30" t="s">
        <v>54</v>
      </c>
      <c r="I842" s="19" t="str">
        <f aca="false">INDEX(Lists!$B$2:$B$6,MATCH(H842,Lists!$A$2:$A$6,0))</f>
        <v>المنطقة الشرقية</v>
      </c>
      <c r="J842" s="30" t="s">
        <v>105</v>
      </c>
      <c r="K842" s="30" t="s">
        <v>82</v>
      </c>
      <c r="L842" s="31" t="n">
        <v>2899</v>
      </c>
      <c r="M842" s="19" t="n">
        <v>3</v>
      </c>
      <c r="N842" s="32" t="n">
        <v>0.2</v>
      </c>
      <c r="O842" s="30" t="s">
        <v>52</v>
      </c>
      <c r="P842" s="30" t="s">
        <v>47</v>
      </c>
      <c r="Q842" s="30" t="s">
        <v>84</v>
      </c>
      <c r="R842" s="25" t="n">
        <f aca="false">L842*M842*(1-N842)</f>
        <v>6957.6</v>
      </c>
    </row>
    <row r="843" customFormat="false" ht="15" hidden="false" customHeight="false" outlineLevel="0" collapsed="false">
      <c r="A843" s="30" t="s">
        <v>1014</v>
      </c>
      <c r="B843" s="44" t="n">
        <v>45587</v>
      </c>
      <c r="C843" s="19" t="n">
        <f aca="false">YEAR(B843)</f>
        <v>2024</v>
      </c>
      <c r="D843" s="19" t="n">
        <f aca="false">MONTH(B843)</f>
        <v>10</v>
      </c>
      <c r="E843" s="30" t="str">
        <f aca="false">INDEX(Lists!$K$2:$K$13,MATCH(D843,Lists!$J$2:$J$13,0))</f>
        <v>أكتوبر</v>
      </c>
      <c r="F843" s="19" t="str">
        <f aca="false">"Q"&amp;ROUNDUP(D843/3,0)</f>
        <v>Q4</v>
      </c>
      <c r="G843" s="30" t="str">
        <f aca="false">INDEX(Lists!$N$2:$N$8,MATCH(WEEKDAY(B843,2),Lists!$M$2:$M$8,0))</f>
        <v>الثلاثاء</v>
      </c>
      <c r="H843" s="30" t="s">
        <v>60</v>
      </c>
      <c r="I843" s="19" t="str">
        <f aca="false">INDEX(Lists!$B$2:$B$6,MATCH(H843,Lists!$A$2:$A$6,0))</f>
        <v>المنطقة الغربية</v>
      </c>
      <c r="J843" s="30" t="s">
        <v>113</v>
      </c>
      <c r="K843" s="30" t="s">
        <v>121</v>
      </c>
      <c r="L843" s="31" t="n">
        <v>209</v>
      </c>
      <c r="M843" s="19" t="n">
        <v>5</v>
      </c>
      <c r="N843" s="32" t="n">
        <v>0</v>
      </c>
      <c r="O843" s="30" t="s">
        <v>48</v>
      </c>
      <c r="P843" s="30" t="s">
        <v>51</v>
      </c>
      <c r="Q843" s="30" t="s">
        <v>94</v>
      </c>
      <c r="R843" s="25" t="n">
        <f aca="false">L843*M843*(1-N843)</f>
        <v>1045</v>
      </c>
    </row>
    <row r="844" customFormat="false" ht="15" hidden="false" customHeight="false" outlineLevel="0" collapsed="false">
      <c r="A844" s="30" t="s">
        <v>1015</v>
      </c>
      <c r="B844" s="44" t="n">
        <v>45587</v>
      </c>
      <c r="C844" s="19" t="n">
        <f aca="false">YEAR(B844)</f>
        <v>2024</v>
      </c>
      <c r="D844" s="19" t="n">
        <f aca="false">MONTH(B844)</f>
        <v>10</v>
      </c>
      <c r="E844" s="30" t="str">
        <f aca="false">INDEX(Lists!$K$2:$K$13,MATCH(D844,Lists!$J$2:$J$13,0))</f>
        <v>أكتوبر</v>
      </c>
      <c r="F844" s="19" t="str">
        <f aca="false">"Q"&amp;ROUNDUP(D844/3,0)</f>
        <v>Q4</v>
      </c>
      <c r="G844" s="30" t="str">
        <f aca="false">INDEX(Lists!$N$2:$N$8,MATCH(WEEKDAY(B844,2),Lists!$M$2:$M$8,0))</f>
        <v>الثلاثاء</v>
      </c>
      <c r="H844" s="30" t="s">
        <v>46</v>
      </c>
      <c r="I844" s="19" t="str">
        <f aca="false">INDEX(Lists!$B$2:$B$6,MATCH(H844,Lists!$A$2:$A$6,0))</f>
        <v>المنطقة الوسطى</v>
      </c>
      <c r="J844" s="30" t="s">
        <v>113</v>
      </c>
      <c r="K844" s="30" t="s">
        <v>100</v>
      </c>
      <c r="L844" s="31" t="n">
        <v>469</v>
      </c>
      <c r="M844" s="19" t="n">
        <v>6</v>
      </c>
      <c r="N844" s="32" t="n">
        <v>0</v>
      </c>
      <c r="O844" s="30" t="s">
        <v>48</v>
      </c>
      <c r="P844" s="30" t="s">
        <v>51</v>
      </c>
      <c r="Q844" s="30" t="s">
        <v>94</v>
      </c>
      <c r="R844" s="25" t="n">
        <f aca="false">L844*M844*(1-N844)</f>
        <v>2814</v>
      </c>
    </row>
    <row r="845" customFormat="false" ht="15" hidden="false" customHeight="false" outlineLevel="0" collapsed="false">
      <c r="A845" s="30" t="s">
        <v>1016</v>
      </c>
      <c r="B845" s="44" t="n">
        <v>45588</v>
      </c>
      <c r="C845" s="19" t="n">
        <f aca="false">YEAR(B845)</f>
        <v>2024</v>
      </c>
      <c r="D845" s="19" t="n">
        <f aca="false">MONTH(B845)</f>
        <v>10</v>
      </c>
      <c r="E845" s="30" t="str">
        <f aca="false">INDEX(Lists!$K$2:$K$13,MATCH(D845,Lists!$J$2:$J$13,0))</f>
        <v>أكتوبر</v>
      </c>
      <c r="F845" s="19" t="str">
        <f aca="false">"Q"&amp;ROUNDUP(D845/3,0)</f>
        <v>Q4</v>
      </c>
      <c r="G845" s="30" t="str">
        <f aca="false">INDEX(Lists!$N$2:$N$8,MATCH(WEEKDAY(B845,2),Lists!$M$2:$M$8,0))</f>
        <v>الأربعاء</v>
      </c>
      <c r="H845" s="30" t="s">
        <v>57</v>
      </c>
      <c r="I845" s="19" t="str">
        <f aca="false">INDEX(Lists!$B$2:$B$6,MATCH(H845,Lists!$A$2:$A$6,0))</f>
        <v>المنطقة الغربية</v>
      </c>
      <c r="J845" s="30" t="s">
        <v>109</v>
      </c>
      <c r="K845" s="30" t="s">
        <v>192</v>
      </c>
      <c r="L845" s="31" t="n">
        <v>109</v>
      </c>
      <c r="M845" s="19" t="n">
        <v>5</v>
      </c>
      <c r="N845" s="32" t="n">
        <v>0.05</v>
      </c>
      <c r="O845" s="30" t="s">
        <v>48</v>
      </c>
      <c r="P845" s="30" t="s">
        <v>51</v>
      </c>
      <c r="Q845" s="30" t="s">
        <v>99</v>
      </c>
      <c r="R845" s="25" t="n">
        <f aca="false">L845*M845*(1-N845)</f>
        <v>517.75</v>
      </c>
    </row>
    <row r="846" customFormat="false" ht="15" hidden="false" customHeight="false" outlineLevel="0" collapsed="false">
      <c r="A846" s="30" t="s">
        <v>1017</v>
      </c>
      <c r="B846" s="44" t="n">
        <v>45588</v>
      </c>
      <c r="C846" s="19" t="n">
        <f aca="false">YEAR(B846)</f>
        <v>2024</v>
      </c>
      <c r="D846" s="19" t="n">
        <f aca="false">MONTH(B846)</f>
        <v>10</v>
      </c>
      <c r="E846" s="30" t="str">
        <f aca="false">INDEX(Lists!$K$2:$K$13,MATCH(D846,Lists!$J$2:$J$13,0))</f>
        <v>أكتوبر</v>
      </c>
      <c r="F846" s="19" t="str">
        <f aca="false">"Q"&amp;ROUNDUP(D846/3,0)</f>
        <v>Q4</v>
      </c>
      <c r="G846" s="30" t="str">
        <f aca="false">INDEX(Lists!$N$2:$N$8,MATCH(WEEKDAY(B846,2),Lists!$M$2:$M$8,0))</f>
        <v>الأربعاء</v>
      </c>
      <c r="H846" s="30" t="s">
        <v>50</v>
      </c>
      <c r="I846" s="19" t="str">
        <f aca="false">INDEX(Lists!$B$2:$B$6,MATCH(H846,Lists!$A$2:$A$6,0))</f>
        <v>المنطقة الغربية</v>
      </c>
      <c r="J846" s="30" t="s">
        <v>109</v>
      </c>
      <c r="K846" s="30" t="s">
        <v>110</v>
      </c>
      <c r="L846" s="31" t="n">
        <v>109</v>
      </c>
      <c r="M846" s="19" t="n">
        <v>1</v>
      </c>
      <c r="N846" s="32" t="n">
        <v>0</v>
      </c>
      <c r="O846" s="30" t="s">
        <v>48</v>
      </c>
      <c r="P846" s="30" t="s">
        <v>47</v>
      </c>
      <c r="Q846" s="30" t="s">
        <v>89</v>
      </c>
      <c r="R846" s="25" t="n">
        <f aca="false">L846*M846*(1-N846)</f>
        <v>109</v>
      </c>
    </row>
    <row r="847" customFormat="false" ht="15" hidden="false" customHeight="false" outlineLevel="0" collapsed="false">
      <c r="A847" s="30" t="s">
        <v>1018</v>
      </c>
      <c r="B847" s="44" t="n">
        <v>45588</v>
      </c>
      <c r="C847" s="19" t="n">
        <f aca="false">YEAR(B847)</f>
        <v>2024</v>
      </c>
      <c r="D847" s="19" t="n">
        <f aca="false">MONTH(B847)</f>
        <v>10</v>
      </c>
      <c r="E847" s="30" t="str">
        <f aca="false">INDEX(Lists!$K$2:$K$13,MATCH(D847,Lists!$J$2:$J$13,0))</f>
        <v>أكتوبر</v>
      </c>
      <c r="F847" s="19" t="str">
        <f aca="false">"Q"&amp;ROUNDUP(D847/3,0)</f>
        <v>Q4</v>
      </c>
      <c r="G847" s="30" t="str">
        <f aca="false">INDEX(Lists!$N$2:$N$8,MATCH(WEEKDAY(B847,2),Lists!$M$2:$M$8,0))</f>
        <v>الأربعاء</v>
      </c>
      <c r="H847" s="30" t="s">
        <v>54</v>
      </c>
      <c r="I847" s="19" t="str">
        <f aca="false">INDEX(Lists!$B$2:$B$6,MATCH(H847,Lists!$A$2:$A$6,0))</f>
        <v>المنطقة الشرقية</v>
      </c>
      <c r="J847" s="30" t="s">
        <v>105</v>
      </c>
      <c r="K847" s="30" t="s">
        <v>90</v>
      </c>
      <c r="L847" s="31" t="n">
        <v>799</v>
      </c>
      <c r="M847" s="19" t="n">
        <v>3</v>
      </c>
      <c r="N847" s="32" t="n">
        <v>0.1</v>
      </c>
      <c r="O847" s="30" t="s">
        <v>52</v>
      </c>
      <c r="P847" s="30" t="s">
        <v>47</v>
      </c>
      <c r="Q847" s="30" t="s">
        <v>76</v>
      </c>
      <c r="R847" s="25" t="n">
        <f aca="false">L847*M847*(1-N847)</f>
        <v>2157.3</v>
      </c>
    </row>
    <row r="848" customFormat="false" ht="15" hidden="false" customHeight="false" outlineLevel="0" collapsed="false">
      <c r="A848" s="30" t="s">
        <v>1019</v>
      </c>
      <c r="B848" s="44" t="n">
        <v>45588</v>
      </c>
      <c r="C848" s="19" t="n">
        <f aca="false">YEAR(B848)</f>
        <v>2024</v>
      </c>
      <c r="D848" s="19" t="n">
        <f aca="false">MONTH(B848)</f>
        <v>10</v>
      </c>
      <c r="E848" s="30" t="str">
        <f aca="false">INDEX(Lists!$K$2:$K$13,MATCH(D848,Lists!$J$2:$J$13,0))</f>
        <v>أكتوبر</v>
      </c>
      <c r="F848" s="19" t="str">
        <f aca="false">"Q"&amp;ROUNDUP(D848/3,0)</f>
        <v>Q4</v>
      </c>
      <c r="G848" s="30" t="str">
        <f aca="false">INDEX(Lists!$N$2:$N$8,MATCH(WEEKDAY(B848,2),Lists!$M$2:$M$8,0))</f>
        <v>الأربعاء</v>
      </c>
      <c r="H848" s="30" t="s">
        <v>54</v>
      </c>
      <c r="I848" s="19" t="str">
        <f aca="false">INDEX(Lists!$B$2:$B$6,MATCH(H848,Lists!$A$2:$A$6,0))</f>
        <v>المنطقة الشرقية</v>
      </c>
      <c r="J848" s="30" t="s">
        <v>111</v>
      </c>
      <c r="K848" s="30" t="s">
        <v>120</v>
      </c>
      <c r="L848" s="31" t="n">
        <v>109</v>
      </c>
      <c r="M848" s="19" t="n">
        <v>4</v>
      </c>
      <c r="N848" s="32" t="n">
        <v>0.05</v>
      </c>
      <c r="O848" s="30" t="s">
        <v>52</v>
      </c>
      <c r="P848" s="30" t="s">
        <v>51</v>
      </c>
      <c r="Q848" s="30" t="s">
        <v>76</v>
      </c>
      <c r="R848" s="25" t="n">
        <f aca="false">L848*M848*(1-N848)</f>
        <v>414.2</v>
      </c>
    </row>
    <row r="849" customFormat="false" ht="15" hidden="false" customHeight="false" outlineLevel="0" collapsed="false">
      <c r="A849" s="30" t="s">
        <v>1020</v>
      </c>
      <c r="B849" s="44" t="n">
        <v>45589</v>
      </c>
      <c r="C849" s="19" t="n">
        <f aca="false">YEAR(B849)</f>
        <v>2024</v>
      </c>
      <c r="D849" s="19" t="n">
        <f aca="false">MONTH(B849)</f>
        <v>10</v>
      </c>
      <c r="E849" s="30" t="str">
        <f aca="false">INDEX(Lists!$K$2:$K$13,MATCH(D849,Lists!$J$2:$J$13,0))</f>
        <v>أكتوبر</v>
      </c>
      <c r="F849" s="19" t="str">
        <f aca="false">"Q"&amp;ROUNDUP(D849/3,0)</f>
        <v>Q4</v>
      </c>
      <c r="G849" s="30" t="str">
        <f aca="false">INDEX(Lists!$N$2:$N$8,MATCH(WEEKDAY(B849,2),Lists!$M$2:$M$8,0))</f>
        <v>الخميس</v>
      </c>
      <c r="H849" s="30" t="s">
        <v>50</v>
      </c>
      <c r="I849" s="19" t="str">
        <f aca="false">INDEX(Lists!$B$2:$B$6,MATCH(H849,Lists!$A$2:$A$6,0))</f>
        <v>المنطقة الغربية</v>
      </c>
      <c r="J849" s="30" t="s">
        <v>107</v>
      </c>
      <c r="K849" s="30" t="s">
        <v>272</v>
      </c>
      <c r="L849" s="31" t="n">
        <v>5999</v>
      </c>
      <c r="M849" s="19" t="n">
        <v>1</v>
      </c>
      <c r="N849" s="32" t="n">
        <v>0</v>
      </c>
      <c r="O849" s="30" t="s">
        <v>48</v>
      </c>
      <c r="P849" s="30" t="s">
        <v>47</v>
      </c>
      <c r="Q849" s="30" t="s">
        <v>94</v>
      </c>
      <c r="R849" s="25" t="n">
        <f aca="false">L849*M849*(1-N849)</f>
        <v>5999</v>
      </c>
    </row>
    <row r="850" customFormat="false" ht="15" hidden="false" customHeight="false" outlineLevel="0" collapsed="false">
      <c r="A850" s="30" t="s">
        <v>1021</v>
      </c>
      <c r="B850" s="44" t="n">
        <v>45589</v>
      </c>
      <c r="C850" s="19" t="n">
        <f aca="false">YEAR(B850)</f>
        <v>2024</v>
      </c>
      <c r="D850" s="19" t="n">
        <f aca="false">MONTH(B850)</f>
        <v>10</v>
      </c>
      <c r="E850" s="30" t="str">
        <f aca="false">INDEX(Lists!$K$2:$K$13,MATCH(D850,Lists!$J$2:$J$13,0))</f>
        <v>أكتوبر</v>
      </c>
      <c r="F850" s="19" t="str">
        <f aca="false">"Q"&amp;ROUNDUP(D850/3,0)</f>
        <v>Q4</v>
      </c>
      <c r="G850" s="30" t="str">
        <f aca="false">INDEX(Lists!$N$2:$N$8,MATCH(WEEKDAY(B850,2),Lists!$M$2:$M$8,0))</f>
        <v>الخميس</v>
      </c>
      <c r="H850" s="30" t="s">
        <v>46</v>
      </c>
      <c r="I850" s="19" t="str">
        <f aca="false">INDEX(Lists!$B$2:$B$6,MATCH(H850,Lists!$A$2:$A$6,0))</f>
        <v>المنطقة الوسطى</v>
      </c>
      <c r="J850" s="30" t="s">
        <v>109</v>
      </c>
      <c r="K850" s="30" t="s">
        <v>175</v>
      </c>
      <c r="L850" s="31" t="n">
        <v>299</v>
      </c>
      <c r="M850" s="19" t="n">
        <v>1</v>
      </c>
      <c r="N850" s="32" t="n">
        <v>0</v>
      </c>
      <c r="O850" s="30" t="s">
        <v>52</v>
      </c>
      <c r="P850" s="30" t="s">
        <v>47</v>
      </c>
      <c r="Q850" s="30" t="s">
        <v>86</v>
      </c>
      <c r="R850" s="25" t="n">
        <f aca="false">L850*M850*(1-N850)</f>
        <v>299</v>
      </c>
    </row>
    <row r="851" customFormat="false" ht="15" hidden="false" customHeight="false" outlineLevel="0" collapsed="false">
      <c r="A851" s="30" t="s">
        <v>1022</v>
      </c>
      <c r="B851" s="44" t="n">
        <v>45590</v>
      </c>
      <c r="C851" s="19" t="n">
        <f aca="false">YEAR(B851)</f>
        <v>2024</v>
      </c>
      <c r="D851" s="19" t="n">
        <f aca="false">MONTH(B851)</f>
        <v>10</v>
      </c>
      <c r="E851" s="30" t="str">
        <f aca="false">INDEX(Lists!$K$2:$K$13,MATCH(D851,Lists!$J$2:$J$13,0))</f>
        <v>أكتوبر</v>
      </c>
      <c r="F851" s="19" t="str">
        <f aca="false">"Q"&amp;ROUNDUP(D851/3,0)</f>
        <v>Q4</v>
      </c>
      <c r="G851" s="30" t="str">
        <f aca="false">INDEX(Lists!$N$2:$N$8,MATCH(WEEKDAY(B851,2),Lists!$M$2:$M$8,0))</f>
        <v>الجمعة</v>
      </c>
      <c r="H851" s="30" t="s">
        <v>54</v>
      </c>
      <c r="I851" s="19" t="str">
        <f aca="false">INDEX(Lists!$B$2:$B$6,MATCH(H851,Lists!$A$2:$A$6,0))</f>
        <v>المنطقة الشرقية</v>
      </c>
      <c r="J851" s="30" t="s">
        <v>107</v>
      </c>
      <c r="K851" s="30" t="s">
        <v>272</v>
      </c>
      <c r="L851" s="31" t="n">
        <v>6899</v>
      </c>
      <c r="M851" s="19" t="n">
        <v>3</v>
      </c>
      <c r="N851" s="32" t="n">
        <v>0</v>
      </c>
      <c r="O851" s="30" t="s">
        <v>48</v>
      </c>
      <c r="P851" s="30" t="s">
        <v>47</v>
      </c>
      <c r="Q851" s="30" t="s">
        <v>76</v>
      </c>
      <c r="R851" s="25" t="n">
        <f aca="false">L851*M851*(1-N851)</f>
        <v>20697</v>
      </c>
    </row>
    <row r="852" customFormat="false" ht="15" hidden="false" customHeight="false" outlineLevel="0" collapsed="false">
      <c r="A852" s="30" t="s">
        <v>1023</v>
      </c>
      <c r="B852" s="44" t="n">
        <v>45590</v>
      </c>
      <c r="C852" s="19" t="n">
        <f aca="false">YEAR(B852)</f>
        <v>2024</v>
      </c>
      <c r="D852" s="19" t="n">
        <f aca="false">MONTH(B852)</f>
        <v>10</v>
      </c>
      <c r="E852" s="30" t="str">
        <f aca="false">INDEX(Lists!$K$2:$K$13,MATCH(D852,Lists!$J$2:$J$13,0))</f>
        <v>أكتوبر</v>
      </c>
      <c r="F852" s="19" t="str">
        <f aca="false">"Q"&amp;ROUNDUP(D852/3,0)</f>
        <v>Q4</v>
      </c>
      <c r="G852" s="30" t="str">
        <f aca="false">INDEX(Lists!$N$2:$N$8,MATCH(WEEKDAY(B852,2),Lists!$M$2:$M$8,0))</f>
        <v>الجمعة</v>
      </c>
      <c r="H852" s="30" t="s">
        <v>57</v>
      </c>
      <c r="I852" s="19" t="str">
        <f aca="false">INDEX(Lists!$B$2:$B$6,MATCH(H852,Lists!$A$2:$A$6,0))</f>
        <v>المنطقة الغربية</v>
      </c>
      <c r="J852" s="30" t="s">
        <v>107</v>
      </c>
      <c r="K852" s="30" t="s">
        <v>114</v>
      </c>
      <c r="L852" s="31" t="n">
        <v>7199</v>
      </c>
      <c r="M852" s="19" t="n">
        <v>2</v>
      </c>
      <c r="N852" s="32" t="n">
        <v>0</v>
      </c>
      <c r="O852" s="30" t="s">
        <v>55</v>
      </c>
      <c r="P852" s="30" t="s">
        <v>47</v>
      </c>
      <c r="Q852" s="30" t="s">
        <v>76</v>
      </c>
      <c r="R852" s="25" t="n">
        <f aca="false">L852*M852*(1-N852)</f>
        <v>14398</v>
      </c>
    </row>
    <row r="853" customFormat="false" ht="15" hidden="false" customHeight="false" outlineLevel="0" collapsed="false">
      <c r="A853" s="30" t="s">
        <v>1024</v>
      </c>
      <c r="B853" s="44" t="n">
        <v>45590</v>
      </c>
      <c r="C853" s="19" t="n">
        <f aca="false">YEAR(B853)</f>
        <v>2024</v>
      </c>
      <c r="D853" s="19" t="n">
        <f aca="false">MONTH(B853)</f>
        <v>10</v>
      </c>
      <c r="E853" s="30" t="str">
        <f aca="false">INDEX(Lists!$K$2:$K$13,MATCH(D853,Lists!$J$2:$J$13,0))</f>
        <v>أكتوبر</v>
      </c>
      <c r="F853" s="19" t="str">
        <f aca="false">"Q"&amp;ROUNDUP(D853/3,0)</f>
        <v>Q4</v>
      </c>
      <c r="G853" s="30" t="str">
        <f aca="false">INDEX(Lists!$N$2:$N$8,MATCH(WEEKDAY(B853,2),Lists!$M$2:$M$8,0))</f>
        <v>الجمعة</v>
      </c>
      <c r="H853" s="30" t="s">
        <v>50</v>
      </c>
      <c r="I853" s="19" t="str">
        <f aca="false">INDEX(Lists!$B$2:$B$6,MATCH(H853,Lists!$A$2:$A$6,0))</f>
        <v>المنطقة الغربية</v>
      </c>
      <c r="J853" s="30" t="s">
        <v>107</v>
      </c>
      <c r="K853" s="30" t="s">
        <v>114</v>
      </c>
      <c r="L853" s="31" t="n">
        <v>7349</v>
      </c>
      <c r="M853" s="19" t="n">
        <v>1</v>
      </c>
      <c r="N853" s="32" t="n">
        <v>0</v>
      </c>
      <c r="O853" s="30" t="s">
        <v>55</v>
      </c>
      <c r="P853" s="30" t="s">
        <v>47</v>
      </c>
      <c r="Q853" s="30" t="s">
        <v>84</v>
      </c>
      <c r="R853" s="25" t="n">
        <f aca="false">L853*M853*(1-N853)</f>
        <v>7349</v>
      </c>
    </row>
    <row r="854" customFormat="false" ht="15" hidden="false" customHeight="false" outlineLevel="0" collapsed="false">
      <c r="A854" s="30" t="s">
        <v>1025</v>
      </c>
      <c r="B854" s="44" t="n">
        <v>45590</v>
      </c>
      <c r="C854" s="19" t="n">
        <f aca="false">YEAR(B854)</f>
        <v>2024</v>
      </c>
      <c r="D854" s="19" t="n">
        <f aca="false">MONTH(B854)</f>
        <v>10</v>
      </c>
      <c r="E854" s="30" t="str">
        <f aca="false">INDEX(Lists!$K$2:$K$13,MATCH(D854,Lists!$J$2:$J$13,0))</f>
        <v>أكتوبر</v>
      </c>
      <c r="F854" s="19" t="str">
        <f aca="false">"Q"&amp;ROUNDUP(D854/3,0)</f>
        <v>Q4</v>
      </c>
      <c r="G854" s="30" t="str">
        <f aca="false">INDEX(Lists!$N$2:$N$8,MATCH(WEEKDAY(B854,2),Lists!$M$2:$M$8,0))</f>
        <v>الجمعة</v>
      </c>
      <c r="H854" s="30" t="s">
        <v>46</v>
      </c>
      <c r="I854" s="19" t="str">
        <f aca="false">INDEX(Lists!$B$2:$B$6,MATCH(H854,Lists!$A$2:$A$6,0))</f>
        <v>المنطقة الوسطى</v>
      </c>
      <c r="J854" s="30" t="s">
        <v>105</v>
      </c>
      <c r="K854" s="30" t="s">
        <v>85</v>
      </c>
      <c r="L854" s="31" t="n">
        <v>3489</v>
      </c>
      <c r="M854" s="19" t="n">
        <v>1</v>
      </c>
      <c r="N854" s="32" t="n">
        <v>0</v>
      </c>
      <c r="O854" s="30" t="s">
        <v>48</v>
      </c>
      <c r="P854" s="30" t="s">
        <v>47</v>
      </c>
      <c r="Q854" s="30" t="s">
        <v>92</v>
      </c>
      <c r="R854" s="25" t="n">
        <f aca="false">L854*M854*(1-N854)</f>
        <v>3489</v>
      </c>
    </row>
    <row r="855" customFormat="false" ht="15" hidden="false" customHeight="false" outlineLevel="0" collapsed="false">
      <c r="A855" s="30" t="s">
        <v>1026</v>
      </c>
      <c r="B855" s="44" t="n">
        <v>45590</v>
      </c>
      <c r="C855" s="19" t="n">
        <f aca="false">YEAR(B855)</f>
        <v>2024</v>
      </c>
      <c r="D855" s="19" t="n">
        <f aca="false">MONTH(B855)</f>
        <v>10</v>
      </c>
      <c r="E855" s="30" t="str">
        <f aca="false">INDEX(Lists!$K$2:$K$13,MATCH(D855,Lists!$J$2:$J$13,0))</f>
        <v>أكتوبر</v>
      </c>
      <c r="F855" s="19" t="str">
        <f aca="false">"Q"&amp;ROUNDUP(D855/3,0)</f>
        <v>Q4</v>
      </c>
      <c r="G855" s="30" t="str">
        <f aca="false">INDEX(Lists!$N$2:$N$8,MATCH(WEEKDAY(B855,2),Lists!$M$2:$M$8,0))</f>
        <v>الجمعة</v>
      </c>
      <c r="H855" s="30" t="s">
        <v>50</v>
      </c>
      <c r="I855" s="19" t="str">
        <f aca="false">INDEX(Lists!$B$2:$B$6,MATCH(H855,Lists!$A$2:$A$6,0))</f>
        <v>المنطقة الغربية</v>
      </c>
      <c r="J855" s="30" t="s">
        <v>109</v>
      </c>
      <c r="K855" s="30" t="s">
        <v>171</v>
      </c>
      <c r="L855" s="31" t="n">
        <v>259</v>
      </c>
      <c r="M855" s="19" t="n">
        <v>3</v>
      </c>
      <c r="N855" s="32" t="n">
        <v>0.1</v>
      </c>
      <c r="O855" s="30" t="s">
        <v>48</v>
      </c>
      <c r="P855" s="30" t="s">
        <v>47</v>
      </c>
      <c r="Q855" s="30" t="s">
        <v>84</v>
      </c>
      <c r="R855" s="25" t="n">
        <f aca="false">L855*M855*(1-N855)</f>
        <v>699.3</v>
      </c>
    </row>
    <row r="856" customFormat="false" ht="15" hidden="false" customHeight="false" outlineLevel="0" collapsed="false">
      <c r="A856" s="30" t="s">
        <v>1027</v>
      </c>
      <c r="B856" s="44" t="n">
        <v>45590</v>
      </c>
      <c r="C856" s="19" t="n">
        <f aca="false">YEAR(B856)</f>
        <v>2024</v>
      </c>
      <c r="D856" s="19" t="n">
        <f aca="false">MONTH(B856)</f>
        <v>10</v>
      </c>
      <c r="E856" s="30" t="str">
        <f aca="false">INDEX(Lists!$K$2:$K$13,MATCH(D856,Lists!$J$2:$J$13,0))</f>
        <v>أكتوبر</v>
      </c>
      <c r="F856" s="19" t="str">
        <f aca="false">"Q"&amp;ROUNDUP(D856/3,0)</f>
        <v>Q4</v>
      </c>
      <c r="G856" s="30" t="str">
        <f aca="false">INDEX(Lists!$N$2:$N$8,MATCH(WEEKDAY(B856,2),Lists!$M$2:$M$8,0))</f>
        <v>الجمعة</v>
      </c>
      <c r="H856" s="30" t="s">
        <v>57</v>
      </c>
      <c r="I856" s="19" t="str">
        <f aca="false">INDEX(Lists!$B$2:$B$6,MATCH(H856,Lists!$A$2:$A$6,0))</f>
        <v>المنطقة الغربية</v>
      </c>
      <c r="J856" s="30" t="s">
        <v>111</v>
      </c>
      <c r="K856" s="30" t="s">
        <v>120</v>
      </c>
      <c r="L856" s="31" t="n">
        <v>409</v>
      </c>
      <c r="M856" s="19" t="n">
        <v>1</v>
      </c>
      <c r="N856" s="32" t="n">
        <v>0.15</v>
      </c>
      <c r="O856" s="30" t="s">
        <v>52</v>
      </c>
      <c r="P856" s="30" t="s">
        <v>47</v>
      </c>
      <c r="Q856" s="30" t="s">
        <v>92</v>
      </c>
      <c r="R856" s="25" t="n">
        <f aca="false">L856*M856*(1-N856)</f>
        <v>347.65</v>
      </c>
    </row>
    <row r="857" customFormat="false" ht="15" hidden="false" customHeight="false" outlineLevel="0" collapsed="false">
      <c r="A857" s="30" t="s">
        <v>1028</v>
      </c>
      <c r="B857" s="44" t="n">
        <v>45590</v>
      </c>
      <c r="C857" s="19" t="n">
        <f aca="false">YEAR(B857)</f>
        <v>2024</v>
      </c>
      <c r="D857" s="19" t="n">
        <f aca="false">MONTH(B857)</f>
        <v>10</v>
      </c>
      <c r="E857" s="30" t="str">
        <f aca="false">INDEX(Lists!$K$2:$K$13,MATCH(D857,Lists!$J$2:$J$13,0))</f>
        <v>أكتوبر</v>
      </c>
      <c r="F857" s="19" t="str">
        <f aca="false">"Q"&amp;ROUNDUP(D857/3,0)</f>
        <v>Q4</v>
      </c>
      <c r="G857" s="30" t="str">
        <f aca="false">INDEX(Lists!$N$2:$N$8,MATCH(WEEKDAY(B857,2),Lists!$M$2:$M$8,0))</f>
        <v>الجمعة</v>
      </c>
      <c r="H857" s="30" t="s">
        <v>50</v>
      </c>
      <c r="I857" s="19" t="str">
        <f aca="false">INDEX(Lists!$B$2:$B$6,MATCH(H857,Lists!$A$2:$A$6,0))</f>
        <v>المنطقة الغربية</v>
      </c>
      <c r="J857" s="30" t="s">
        <v>113</v>
      </c>
      <c r="K857" s="30" t="s">
        <v>121</v>
      </c>
      <c r="L857" s="31" t="n">
        <v>749</v>
      </c>
      <c r="M857" s="19" t="n">
        <v>1</v>
      </c>
      <c r="N857" s="32" t="n">
        <v>0</v>
      </c>
      <c r="O857" s="30" t="s">
        <v>48</v>
      </c>
      <c r="P857" s="30" t="s">
        <v>51</v>
      </c>
      <c r="Q857" s="30" t="s">
        <v>94</v>
      </c>
      <c r="R857" s="25" t="n">
        <f aca="false">L857*M857*(1-N857)</f>
        <v>749</v>
      </c>
    </row>
    <row r="858" customFormat="false" ht="15" hidden="false" customHeight="false" outlineLevel="0" collapsed="false">
      <c r="A858" s="30" t="s">
        <v>1029</v>
      </c>
      <c r="B858" s="44" t="n">
        <v>45591</v>
      </c>
      <c r="C858" s="19" t="n">
        <f aca="false">YEAR(B858)</f>
        <v>2024</v>
      </c>
      <c r="D858" s="19" t="n">
        <f aca="false">MONTH(B858)</f>
        <v>10</v>
      </c>
      <c r="E858" s="30" t="str">
        <f aca="false">INDEX(Lists!$K$2:$K$13,MATCH(D858,Lists!$J$2:$J$13,0))</f>
        <v>أكتوبر</v>
      </c>
      <c r="F858" s="19" t="str">
        <f aca="false">"Q"&amp;ROUNDUP(D858/3,0)</f>
        <v>Q4</v>
      </c>
      <c r="G858" s="30" t="str">
        <f aca="false">INDEX(Lists!$N$2:$N$8,MATCH(WEEKDAY(B858,2),Lists!$M$2:$M$8,0))</f>
        <v>السبت</v>
      </c>
      <c r="H858" s="30" t="s">
        <v>46</v>
      </c>
      <c r="I858" s="19" t="str">
        <f aca="false">INDEX(Lists!$B$2:$B$6,MATCH(H858,Lists!$A$2:$A$6,0))</f>
        <v>المنطقة الوسطى</v>
      </c>
      <c r="J858" s="30" t="s">
        <v>113</v>
      </c>
      <c r="K858" s="30" t="s">
        <v>97</v>
      </c>
      <c r="L858" s="31" t="n">
        <v>439</v>
      </c>
      <c r="M858" s="19" t="n">
        <v>1</v>
      </c>
      <c r="N858" s="32" t="n">
        <v>0</v>
      </c>
      <c r="O858" s="30" t="s">
        <v>52</v>
      </c>
      <c r="P858" s="30" t="s">
        <v>47</v>
      </c>
      <c r="Q858" s="30" t="s">
        <v>94</v>
      </c>
      <c r="R858" s="25" t="n">
        <f aca="false">L858*M858*(1-N858)</f>
        <v>439</v>
      </c>
    </row>
    <row r="859" customFormat="false" ht="15" hidden="false" customHeight="false" outlineLevel="0" collapsed="false">
      <c r="A859" s="30" t="s">
        <v>1030</v>
      </c>
      <c r="B859" s="44" t="n">
        <v>45591</v>
      </c>
      <c r="C859" s="19" t="n">
        <f aca="false">YEAR(B859)</f>
        <v>2024</v>
      </c>
      <c r="D859" s="19" t="n">
        <f aca="false">MONTH(B859)</f>
        <v>10</v>
      </c>
      <c r="E859" s="30" t="str">
        <f aca="false">INDEX(Lists!$K$2:$K$13,MATCH(D859,Lists!$J$2:$J$13,0))</f>
        <v>أكتوبر</v>
      </c>
      <c r="F859" s="19" t="str">
        <f aca="false">"Q"&amp;ROUNDUP(D859/3,0)</f>
        <v>Q4</v>
      </c>
      <c r="G859" s="30" t="str">
        <f aca="false">INDEX(Lists!$N$2:$N$8,MATCH(WEEKDAY(B859,2),Lists!$M$2:$M$8,0))</f>
        <v>السبت</v>
      </c>
      <c r="H859" s="30" t="s">
        <v>50</v>
      </c>
      <c r="I859" s="19" t="str">
        <f aca="false">INDEX(Lists!$B$2:$B$6,MATCH(H859,Lists!$A$2:$A$6,0))</f>
        <v>المنطقة الغربية</v>
      </c>
      <c r="J859" s="30" t="s">
        <v>113</v>
      </c>
      <c r="K859" s="30" t="s">
        <v>121</v>
      </c>
      <c r="L859" s="31" t="n">
        <v>519</v>
      </c>
      <c r="M859" s="19" t="n">
        <v>2</v>
      </c>
      <c r="N859" s="32" t="n">
        <v>0</v>
      </c>
      <c r="O859" s="30" t="s">
        <v>48</v>
      </c>
      <c r="P859" s="30" t="s">
        <v>47</v>
      </c>
      <c r="Q859" s="30" t="s">
        <v>86</v>
      </c>
      <c r="R859" s="25" t="n">
        <f aca="false">L859*M859*(1-N859)</f>
        <v>1038</v>
      </c>
    </row>
    <row r="860" customFormat="false" ht="15" hidden="false" customHeight="false" outlineLevel="0" collapsed="false">
      <c r="A860" s="30" t="s">
        <v>1031</v>
      </c>
      <c r="B860" s="44" t="n">
        <v>45591</v>
      </c>
      <c r="C860" s="19" t="n">
        <f aca="false">YEAR(B860)</f>
        <v>2024</v>
      </c>
      <c r="D860" s="19" t="n">
        <f aca="false">MONTH(B860)</f>
        <v>10</v>
      </c>
      <c r="E860" s="30" t="str">
        <f aca="false">INDEX(Lists!$K$2:$K$13,MATCH(D860,Lists!$J$2:$J$13,0))</f>
        <v>أكتوبر</v>
      </c>
      <c r="F860" s="19" t="str">
        <f aca="false">"Q"&amp;ROUNDUP(D860/3,0)</f>
        <v>Q4</v>
      </c>
      <c r="G860" s="30" t="str">
        <f aca="false">INDEX(Lists!$N$2:$N$8,MATCH(WEEKDAY(B860,2),Lists!$M$2:$M$8,0))</f>
        <v>السبت</v>
      </c>
      <c r="H860" s="30" t="s">
        <v>46</v>
      </c>
      <c r="I860" s="19" t="str">
        <f aca="false">INDEX(Lists!$B$2:$B$6,MATCH(H860,Lists!$A$2:$A$6,0))</f>
        <v>المنطقة الوسطى</v>
      </c>
      <c r="J860" s="30" t="s">
        <v>105</v>
      </c>
      <c r="K860" s="30" t="s">
        <v>79</v>
      </c>
      <c r="L860" s="31" t="n">
        <v>2519</v>
      </c>
      <c r="M860" s="19" t="n">
        <v>4</v>
      </c>
      <c r="N860" s="32" t="n">
        <v>0</v>
      </c>
      <c r="O860" s="30" t="s">
        <v>48</v>
      </c>
      <c r="P860" s="30" t="s">
        <v>51</v>
      </c>
      <c r="Q860" s="30" t="s">
        <v>96</v>
      </c>
      <c r="R860" s="25" t="n">
        <f aca="false">L860*M860*(1-N860)</f>
        <v>10076</v>
      </c>
    </row>
    <row r="861" customFormat="false" ht="15" hidden="false" customHeight="false" outlineLevel="0" collapsed="false">
      <c r="A861" s="30" t="s">
        <v>1032</v>
      </c>
      <c r="B861" s="44" t="n">
        <v>45593</v>
      </c>
      <c r="C861" s="19" t="n">
        <f aca="false">YEAR(B861)</f>
        <v>2024</v>
      </c>
      <c r="D861" s="19" t="n">
        <f aca="false">MONTH(B861)</f>
        <v>10</v>
      </c>
      <c r="E861" s="30" t="str">
        <f aca="false">INDEX(Lists!$K$2:$K$13,MATCH(D861,Lists!$J$2:$J$13,0))</f>
        <v>أكتوبر</v>
      </c>
      <c r="F861" s="19" t="str">
        <f aca="false">"Q"&amp;ROUNDUP(D861/3,0)</f>
        <v>Q4</v>
      </c>
      <c r="G861" s="30" t="str">
        <f aca="false">INDEX(Lists!$N$2:$N$8,MATCH(WEEKDAY(B861,2),Lists!$M$2:$M$8,0))</f>
        <v>الإثنين</v>
      </c>
      <c r="H861" s="30" t="s">
        <v>57</v>
      </c>
      <c r="I861" s="19" t="str">
        <f aca="false">INDEX(Lists!$B$2:$B$6,MATCH(H861,Lists!$A$2:$A$6,0))</f>
        <v>المنطقة الغربية</v>
      </c>
      <c r="J861" s="30" t="s">
        <v>105</v>
      </c>
      <c r="K861" s="30" t="s">
        <v>90</v>
      </c>
      <c r="L861" s="31" t="n">
        <v>1129</v>
      </c>
      <c r="M861" s="19" t="n">
        <v>1</v>
      </c>
      <c r="N861" s="32" t="n">
        <v>0</v>
      </c>
      <c r="O861" s="30" t="s">
        <v>48</v>
      </c>
      <c r="P861" s="30" t="s">
        <v>47</v>
      </c>
      <c r="Q861" s="30" t="s">
        <v>84</v>
      </c>
      <c r="R861" s="25" t="n">
        <f aca="false">L861*M861*(1-N861)</f>
        <v>1129</v>
      </c>
    </row>
    <row r="862" customFormat="false" ht="15" hidden="false" customHeight="false" outlineLevel="0" collapsed="false">
      <c r="A862" s="30" t="s">
        <v>1033</v>
      </c>
      <c r="B862" s="44" t="n">
        <v>45593</v>
      </c>
      <c r="C862" s="19" t="n">
        <f aca="false">YEAR(B862)</f>
        <v>2024</v>
      </c>
      <c r="D862" s="19" t="n">
        <f aca="false">MONTH(B862)</f>
        <v>10</v>
      </c>
      <c r="E862" s="30" t="str">
        <f aca="false">INDEX(Lists!$K$2:$K$13,MATCH(D862,Lists!$J$2:$J$13,0))</f>
        <v>أكتوبر</v>
      </c>
      <c r="F862" s="19" t="str">
        <f aca="false">"Q"&amp;ROUNDUP(D862/3,0)</f>
        <v>Q4</v>
      </c>
      <c r="G862" s="30" t="str">
        <f aca="false">INDEX(Lists!$N$2:$N$8,MATCH(WEEKDAY(B862,2),Lists!$M$2:$M$8,0))</f>
        <v>الإثنين</v>
      </c>
      <c r="H862" s="30" t="s">
        <v>46</v>
      </c>
      <c r="I862" s="19" t="str">
        <f aca="false">INDEX(Lists!$B$2:$B$6,MATCH(H862,Lists!$A$2:$A$6,0))</f>
        <v>المنطقة الوسطى</v>
      </c>
      <c r="J862" s="30" t="s">
        <v>109</v>
      </c>
      <c r="K862" s="30" t="s">
        <v>175</v>
      </c>
      <c r="L862" s="31" t="n">
        <v>39</v>
      </c>
      <c r="M862" s="19" t="n">
        <v>2</v>
      </c>
      <c r="N862" s="32" t="n">
        <v>0</v>
      </c>
      <c r="O862" s="30" t="s">
        <v>52</v>
      </c>
      <c r="P862" s="30" t="s">
        <v>47</v>
      </c>
      <c r="Q862" s="30" t="s">
        <v>99</v>
      </c>
      <c r="R862" s="25" t="n">
        <f aca="false">L862*M862*(1-N862)</f>
        <v>78</v>
      </c>
    </row>
    <row r="863" customFormat="false" ht="15" hidden="false" customHeight="false" outlineLevel="0" collapsed="false">
      <c r="A863" s="30" t="s">
        <v>1034</v>
      </c>
      <c r="B863" s="44" t="n">
        <v>45593</v>
      </c>
      <c r="C863" s="19" t="n">
        <f aca="false">YEAR(B863)</f>
        <v>2024</v>
      </c>
      <c r="D863" s="19" t="n">
        <f aca="false">MONTH(B863)</f>
        <v>10</v>
      </c>
      <c r="E863" s="30" t="str">
        <f aca="false">INDEX(Lists!$K$2:$K$13,MATCH(D863,Lists!$J$2:$J$13,0))</f>
        <v>أكتوبر</v>
      </c>
      <c r="F863" s="19" t="str">
        <f aca="false">"Q"&amp;ROUNDUP(D863/3,0)</f>
        <v>Q4</v>
      </c>
      <c r="G863" s="30" t="str">
        <f aca="false">INDEX(Lists!$N$2:$N$8,MATCH(WEEKDAY(B863,2),Lists!$M$2:$M$8,0))</f>
        <v>الإثنين</v>
      </c>
      <c r="H863" s="30" t="s">
        <v>50</v>
      </c>
      <c r="I863" s="19" t="str">
        <f aca="false">INDEX(Lists!$B$2:$B$6,MATCH(H863,Lists!$A$2:$A$6,0))</f>
        <v>المنطقة الغربية</v>
      </c>
      <c r="J863" s="30" t="s">
        <v>107</v>
      </c>
      <c r="K863" s="30" t="s">
        <v>184</v>
      </c>
      <c r="L863" s="31" t="n">
        <v>6969</v>
      </c>
      <c r="M863" s="19" t="n">
        <v>1</v>
      </c>
      <c r="N863" s="32" t="n">
        <v>0</v>
      </c>
      <c r="O863" s="30" t="s">
        <v>52</v>
      </c>
      <c r="P863" s="30" t="s">
        <v>47</v>
      </c>
      <c r="Q863" s="30" t="s">
        <v>86</v>
      </c>
      <c r="R863" s="25" t="n">
        <f aca="false">L863*M863*(1-N863)</f>
        <v>6969</v>
      </c>
    </row>
    <row r="864" customFormat="false" ht="15" hidden="false" customHeight="false" outlineLevel="0" collapsed="false">
      <c r="A864" s="30" t="s">
        <v>1035</v>
      </c>
      <c r="B864" s="44" t="n">
        <v>45594</v>
      </c>
      <c r="C864" s="19" t="n">
        <f aca="false">YEAR(B864)</f>
        <v>2024</v>
      </c>
      <c r="D864" s="19" t="n">
        <f aca="false">MONTH(B864)</f>
        <v>10</v>
      </c>
      <c r="E864" s="30" t="str">
        <f aca="false">INDEX(Lists!$K$2:$K$13,MATCH(D864,Lists!$J$2:$J$13,0))</f>
        <v>أكتوبر</v>
      </c>
      <c r="F864" s="19" t="str">
        <f aca="false">"Q"&amp;ROUNDUP(D864/3,0)</f>
        <v>Q4</v>
      </c>
      <c r="G864" s="30" t="str">
        <f aca="false">INDEX(Lists!$N$2:$N$8,MATCH(WEEKDAY(B864,2),Lists!$M$2:$M$8,0))</f>
        <v>الثلاثاء</v>
      </c>
      <c r="H864" s="30" t="s">
        <v>50</v>
      </c>
      <c r="I864" s="19" t="str">
        <f aca="false">INDEX(Lists!$B$2:$B$6,MATCH(H864,Lists!$A$2:$A$6,0))</f>
        <v>المنطقة الغربية</v>
      </c>
      <c r="J864" s="30" t="s">
        <v>105</v>
      </c>
      <c r="K864" s="30" t="s">
        <v>179</v>
      </c>
      <c r="L864" s="31" t="n">
        <v>4379</v>
      </c>
      <c r="M864" s="19" t="n">
        <v>8</v>
      </c>
      <c r="N864" s="32" t="n">
        <v>0.2</v>
      </c>
      <c r="O864" s="30" t="s">
        <v>48</v>
      </c>
      <c r="P864" s="30" t="s">
        <v>51</v>
      </c>
      <c r="Q864" s="30" t="s">
        <v>99</v>
      </c>
      <c r="R864" s="25" t="n">
        <f aca="false">L864*M864*(1-N864)</f>
        <v>28025.6</v>
      </c>
    </row>
    <row r="865" customFormat="false" ht="15" hidden="false" customHeight="false" outlineLevel="0" collapsed="false">
      <c r="A865" s="30" t="s">
        <v>1036</v>
      </c>
      <c r="B865" s="44" t="n">
        <v>45594</v>
      </c>
      <c r="C865" s="19" t="n">
        <f aca="false">YEAR(B865)</f>
        <v>2024</v>
      </c>
      <c r="D865" s="19" t="n">
        <f aca="false">MONTH(B865)</f>
        <v>10</v>
      </c>
      <c r="E865" s="30" t="str">
        <f aca="false">INDEX(Lists!$K$2:$K$13,MATCH(D865,Lists!$J$2:$J$13,0))</f>
        <v>أكتوبر</v>
      </c>
      <c r="F865" s="19" t="str">
        <f aca="false">"Q"&amp;ROUNDUP(D865/3,0)</f>
        <v>Q4</v>
      </c>
      <c r="G865" s="30" t="str">
        <f aca="false">INDEX(Lists!$N$2:$N$8,MATCH(WEEKDAY(B865,2),Lists!$M$2:$M$8,0))</f>
        <v>الثلاثاء</v>
      </c>
      <c r="H865" s="30" t="s">
        <v>50</v>
      </c>
      <c r="I865" s="19" t="str">
        <f aca="false">INDEX(Lists!$B$2:$B$6,MATCH(H865,Lists!$A$2:$A$6,0))</f>
        <v>المنطقة الغربية</v>
      </c>
      <c r="J865" s="30" t="s">
        <v>105</v>
      </c>
      <c r="K865" s="30" t="s">
        <v>90</v>
      </c>
      <c r="L865" s="31" t="n">
        <v>3799</v>
      </c>
      <c r="M865" s="19" t="n">
        <v>1</v>
      </c>
      <c r="N865" s="32" t="n">
        <v>0.05</v>
      </c>
      <c r="O865" s="30" t="s">
        <v>48</v>
      </c>
      <c r="P865" s="30" t="s">
        <v>47</v>
      </c>
      <c r="Q865" s="30" t="s">
        <v>94</v>
      </c>
      <c r="R865" s="25" t="n">
        <f aca="false">L865*M865*(1-N865)</f>
        <v>3609.05</v>
      </c>
    </row>
    <row r="866" customFormat="false" ht="15" hidden="false" customHeight="false" outlineLevel="0" collapsed="false">
      <c r="A866" s="30" t="s">
        <v>1037</v>
      </c>
      <c r="B866" s="44" t="n">
        <v>45594</v>
      </c>
      <c r="C866" s="19" t="n">
        <f aca="false">YEAR(B866)</f>
        <v>2024</v>
      </c>
      <c r="D866" s="19" t="n">
        <f aca="false">MONTH(B866)</f>
        <v>10</v>
      </c>
      <c r="E866" s="30" t="str">
        <f aca="false">INDEX(Lists!$K$2:$K$13,MATCH(D866,Lists!$J$2:$J$13,0))</f>
        <v>أكتوبر</v>
      </c>
      <c r="F866" s="19" t="str">
        <f aca="false">"Q"&amp;ROUNDUP(D866/3,0)</f>
        <v>Q4</v>
      </c>
      <c r="G866" s="30" t="str">
        <f aca="false">INDEX(Lists!$N$2:$N$8,MATCH(WEEKDAY(B866,2),Lists!$M$2:$M$8,0))</f>
        <v>الثلاثاء</v>
      </c>
      <c r="H866" s="30" t="s">
        <v>60</v>
      </c>
      <c r="I866" s="19" t="str">
        <f aca="false">INDEX(Lists!$B$2:$B$6,MATCH(H866,Lists!$A$2:$A$6,0))</f>
        <v>المنطقة الغربية</v>
      </c>
      <c r="J866" s="30" t="s">
        <v>105</v>
      </c>
      <c r="K866" s="30" t="s">
        <v>79</v>
      </c>
      <c r="L866" s="31" t="n">
        <v>2929</v>
      </c>
      <c r="M866" s="19" t="n">
        <v>2</v>
      </c>
      <c r="N866" s="32" t="n">
        <v>0</v>
      </c>
      <c r="O866" s="30" t="s">
        <v>52</v>
      </c>
      <c r="P866" s="30" t="s">
        <v>47</v>
      </c>
      <c r="Q866" s="30" t="s">
        <v>94</v>
      </c>
      <c r="R866" s="25" t="n">
        <f aca="false">L866*M866*(1-N866)</f>
        <v>5858</v>
      </c>
    </row>
    <row r="867" customFormat="false" ht="15" hidden="false" customHeight="false" outlineLevel="0" collapsed="false">
      <c r="A867" s="30" t="s">
        <v>1038</v>
      </c>
      <c r="B867" s="44" t="n">
        <v>45594</v>
      </c>
      <c r="C867" s="19" t="n">
        <f aca="false">YEAR(B867)</f>
        <v>2024</v>
      </c>
      <c r="D867" s="19" t="n">
        <f aca="false">MONTH(B867)</f>
        <v>10</v>
      </c>
      <c r="E867" s="30" t="str">
        <f aca="false">INDEX(Lists!$K$2:$K$13,MATCH(D867,Lists!$J$2:$J$13,0))</f>
        <v>أكتوبر</v>
      </c>
      <c r="F867" s="19" t="str">
        <f aca="false">"Q"&amp;ROUNDUP(D867/3,0)</f>
        <v>Q4</v>
      </c>
      <c r="G867" s="30" t="str">
        <f aca="false">INDEX(Lists!$N$2:$N$8,MATCH(WEEKDAY(B867,2),Lists!$M$2:$M$8,0))</f>
        <v>الثلاثاء</v>
      </c>
      <c r="H867" s="30" t="s">
        <v>46</v>
      </c>
      <c r="I867" s="19" t="str">
        <f aca="false">INDEX(Lists!$B$2:$B$6,MATCH(H867,Lists!$A$2:$A$6,0))</f>
        <v>المنطقة الوسطى</v>
      </c>
      <c r="J867" s="30" t="s">
        <v>105</v>
      </c>
      <c r="K867" s="30" t="s">
        <v>90</v>
      </c>
      <c r="L867" s="31" t="n">
        <v>3429</v>
      </c>
      <c r="M867" s="19" t="n">
        <v>1</v>
      </c>
      <c r="N867" s="32" t="n">
        <v>0</v>
      </c>
      <c r="O867" s="30" t="s">
        <v>52</v>
      </c>
      <c r="P867" s="30" t="s">
        <v>47</v>
      </c>
      <c r="Q867" s="30" t="s">
        <v>76</v>
      </c>
      <c r="R867" s="25" t="n">
        <f aca="false">L867*M867*(1-N867)</f>
        <v>3429</v>
      </c>
    </row>
    <row r="868" customFormat="false" ht="15" hidden="false" customHeight="false" outlineLevel="0" collapsed="false">
      <c r="A868" s="30" t="s">
        <v>1039</v>
      </c>
      <c r="B868" s="44" t="n">
        <v>45594</v>
      </c>
      <c r="C868" s="19" t="n">
        <f aca="false">YEAR(B868)</f>
        <v>2024</v>
      </c>
      <c r="D868" s="19" t="n">
        <f aca="false">MONTH(B868)</f>
        <v>10</v>
      </c>
      <c r="E868" s="30" t="str">
        <f aca="false">INDEX(Lists!$K$2:$K$13,MATCH(D868,Lists!$J$2:$J$13,0))</f>
        <v>أكتوبر</v>
      </c>
      <c r="F868" s="19" t="str">
        <f aca="false">"Q"&amp;ROUNDUP(D868/3,0)</f>
        <v>Q4</v>
      </c>
      <c r="G868" s="30" t="str">
        <f aca="false">INDEX(Lists!$N$2:$N$8,MATCH(WEEKDAY(B868,2),Lists!$M$2:$M$8,0))</f>
        <v>الثلاثاء</v>
      </c>
      <c r="H868" s="30" t="s">
        <v>57</v>
      </c>
      <c r="I868" s="19" t="str">
        <f aca="false">INDEX(Lists!$B$2:$B$6,MATCH(H868,Lists!$A$2:$A$6,0))</f>
        <v>المنطقة الغربية</v>
      </c>
      <c r="J868" s="30" t="s">
        <v>105</v>
      </c>
      <c r="K868" s="30" t="s">
        <v>85</v>
      </c>
      <c r="L868" s="31" t="n">
        <v>4209</v>
      </c>
      <c r="M868" s="19" t="n">
        <v>1</v>
      </c>
      <c r="N868" s="32" t="n">
        <v>0.05</v>
      </c>
      <c r="O868" s="30" t="s">
        <v>52</v>
      </c>
      <c r="P868" s="30" t="s">
        <v>47</v>
      </c>
      <c r="Q868" s="30" t="s">
        <v>78</v>
      </c>
      <c r="R868" s="25" t="n">
        <f aca="false">L868*M868*(1-N868)</f>
        <v>3998.55</v>
      </c>
    </row>
    <row r="869" customFormat="false" ht="15" hidden="false" customHeight="false" outlineLevel="0" collapsed="false">
      <c r="A869" s="30" t="s">
        <v>1040</v>
      </c>
      <c r="B869" s="44" t="n">
        <v>45594</v>
      </c>
      <c r="C869" s="19" t="n">
        <f aca="false">YEAR(B869)</f>
        <v>2024</v>
      </c>
      <c r="D869" s="19" t="n">
        <f aca="false">MONTH(B869)</f>
        <v>10</v>
      </c>
      <c r="E869" s="30" t="str">
        <f aca="false">INDEX(Lists!$K$2:$K$13,MATCH(D869,Lists!$J$2:$J$13,0))</f>
        <v>أكتوبر</v>
      </c>
      <c r="F869" s="19" t="str">
        <f aca="false">"Q"&amp;ROUNDUP(D869/3,0)</f>
        <v>Q4</v>
      </c>
      <c r="G869" s="30" t="str">
        <f aca="false">INDEX(Lists!$N$2:$N$8,MATCH(WEEKDAY(B869,2),Lists!$M$2:$M$8,0))</f>
        <v>الثلاثاء</v>
      </c>
      <c r="H869" s="30" t="s">
        <v>50</v>
      </c>
      <c r="I869" s="19" t="str">
        <f aca="false">INDEX(Lists!$B$2:$B$6,MATCH(H869,Lists!$A$2:$A$6,0))</f>
        <v>المنطقة الغربية</v>
      </c>
      <c r="J869" s="30" t="s">
        <v>109</v>
      </c>
      <c r="K869" s="30" t="s">
        <v>93</v>
      </c>
      <c r="L869" s="31" t="n">
        <v>319</v>
      </c>
      <c r="M869" s="19" t="n">
        <v>1</v>
      </c>
      <c r="N869" s="32" t="n">
        <v>0</v>
      </c>
      <c r="O869" s="30" t="s">
        <v>55</v>
      </c>
      <c r="P869" s="30" t="s">
        <v>47</v>
      </c>
      <c r="Q869" s="30" t="s">
        <v>96</v>
      </c>
      <c r="R869" s="25" t="n">
        <f aca="false">L869*M869*(1-N869)</f>
        <v>319</v>
      </c>
    </row>
    <row r="870" customFormat="false" ht="15" hidden="false" customHeight="false" outlineLevel="0" collapsed="false">
      <c r="A870" s="30" t="s">
        <v>1041</v>
      </c>
      <c r="B870" s="44" t="n">
        <v>45594</v>
      </c>
      <c r="C870" s="19" t="n">
        <f aca="false">YEAR(B870)</f>
        <v>2024</v>
      </c>
      <c r="D870" s="19" t="n">
        <f aca="false">MONTH(B870)</f>
        <v>10</v>
      </c>
      <c r="E870" s="30" t="str">
        <f aca="false">INDEX(Lists!$K$2:$K$13,MATCH(D870,Lists!$J$2:$J$13,0))</f>
        <v>أكتوبر</v>
      </c>
      <c r="F870" s="19" t="str">
        <f aca="false">"Q"&amp;ROUNDUP(D870/3,0)</f>
        <v>Q4</v>
      </c>
      <c r="G870" s="30" t="str">
        <f aca="false">INDEX(Lists!$N$2:$N$8,MATCH(WEEKDAY(B870,2),Lists!$M$2:$M$8,0))</f>
        <v>الثلاثاء</v>
      </c>
      <c r="H870" s="30" t="s">
        <v>50</v>
      </c>
      <c r="I870" s="19" t="str">
        <f aca="false">INDEX(Lists!$B$2:$B$6,MATCH(H870,Lists!$A$2:$A$6,0))</f>
        <v>المنطقة الغربية</v>
      </c>
      <c r="J870" s="30" t="s">
        <v>111</v>
      </c>
      <c r="K870" s="30" t="s">
        <v>120</v>
      </c>
      <c r="L870" s="31" t="n">
        <v>379</v>
      </c>
      <c r="M870" s="19" t="n">
        <v>2</v>
      </c>
      <c r="N870" s="32" t="n">
        <v>0</v>
      </c>
      <c r="O870" s="30" t="s">
        <v>48</v>
      </c>
      <c r="P870" s="30" t="s">
        <v>47</v>
      </c>
      <c r="Q870" s="30" t="s">
        <v>78</v>
      </c>
      <c r="R870" s="25" t="n">
        <f aca="false">L870*M870*(1-N870)</f>
        <v>758</v>
      </c>
    </row>
    <row r="871" customFormat="false" ht="15" hidden="false" customHeight="false" outlineLevel="0" collapsed="false">
      <c r="A871" s="30" t="s">
        <v>1042</v>
      </c>
      <c r="B871" s="44" t="n">
        <v>45595</v>
      </c>
      <c r="C871" s="19" t="n">
        <f aca="false">YEAR(B871)</f>
        <v>2024</v>
      </c>
      <c r="D871" s="19" t="n">
        <f aca="false">MONTH(B871)</f>
        <v>10</v>
      </c>
      <c r="E871" s="30" t="str">
        <f aca="false">INDEX(Lists!$K$2:$K$13,MATCH(D871,Lists!$J$2:$J$13,0))</f>
        <v>أكتوبر</v>
      </c>
      <c r="F871" s="19" t="str">
        <f aca="false">"Q"&amp;ROUNDUP(D871/3,0)</f>
        <v>Q4</v>
      </c>
      <c r="G871" s="30" t="str">
        <f aca="false">INDEX(Lists!$N$2:$N$8,MATCH(WEEKDAY(B871,2),Lists!$M$2:$M$8,0))</f>
        <v>الأربعاء</v>
      </c>
      <c r="H871" s="30" t="s">
        <v>60</v>
      </c>
      <c r="I871" s="19" t="str">
        <f aca="false">INDEX(Lists!$B$2:$B$6,MATCH(H871,Lists!$A$2:$A$6,0))</f>
        <v>المنطقة الغربية</v>
      </c>
      <c r="J871" s="30" t="s">
        <v>109</v>
      </c>
      <c r="K871" s="30" t="s">
        <v>175</v>
      </c>
      <c r="L871" s="31" t="n">
        <v>79</v>
      </c>
      <c r="M871" s="19" t="n">
        <v>2</v>
      </c>
      <c r="N871" s="32" t="n">
        <v>0</v>
      </c>
      <c r="O871" s="30" t="s">
        <v>48</v>
      </c>
      <c r="P871" s="30" t="s">
        <v>47</v>
      </c>
      <c r="Q871" s="30" t="s">
        <v>89</v>
      </c>
      <c r="R871" s="25" t="n">
        <f aca="false">L871*M871*(1-N871)</f>
        <v>158</v>
      </c>
    </row>
    <row r="872" customFormat="false" ht="15" hidden="false" customHeight="false" outlineLevel="0" collapsed="false">
      <c r="A872" s="30" t="s">
        <v>1043</v>
      </c>
      <c r="B872" s="44" t="n">
        <v>45595</v>
      </c>
      <c r="C872" s="19" t="n">
        <f aca="false">YEAR(B872)</f>
        <v>2024</v>
      </c>
      <c r="D872" s="19" t="n">
        <f aca="false">MONTH(B872)</f>
        <v>10</v>
      </c>
      <c r="E872" s="30" t="str">
        <f aca="false">INDEX(Lists!$K$2:$K$13,MATCH(D872,Lists!$J$2:$J$13,0))</f>
        <v>أكتوبر</v>
      </c>
      <c r="F872" s="19" t="str">
        <f aca="false">"Q"&amp;ROUNDUP(D872/3,0)</f>
        <v>Q4</v>
      </c>
      <c r="G872" s="30" t="str">
        <f aca="false">INDEX(Lists!$N$2:$N$8,MATCH(WEEKDAY(B872,2),Lists!$M$2:$M$8,0))</f>
        <v>الأربعاء</v>
      </c>
      <c r="H872" s="30" t="s">
        <v>46</v>
      </c>
      <c r="I872" s="19" t="str">
        <f aca="false">INDEX(Lists!$B$2:$B$6,MATCH(H872,Lists!$A$2:$A$6,0))</f>
        <v>المنطقة الوسطى</v>
      </c>
      <c r="J872" s="30" t="s">
        <v>109</v>
      </c>
      <c r="K872" s="30" t="s">
        <v>93</v>
      </c>
      <c r="L872" s="31" t="n">
        <v>69</v>
      </c>
      <c r="M872" s="19" t="n">
        <v>2</v>
      </c>
      <c r="N872" s="32" t="n">
        <v>0</v>
      </c>
      <c r="O872" s="30" t="s">
        <v>55</v>
      </c>
      <c r="P872" s="30" t="s">
        <v>47</v>
      </c>
      <c r="Q872" s="30" t="s">
        <v>78</v>
      </c>
      <c r="R872" s="25" t="n">
        <f aca="false">L872*M872*(1-N872)</f>
        <v>138</v>
      </c>
    </row>
    <row r="873" customFormat="false" ht="15" hidden="false" customHeight="false" outlineLevel="0" collapsed="false">
      <c r="A873" s="30" t="s">
        <v>1044</v>
      </c>
      <c r="B873" s="44" t="n">
        <v>45595</v>
      </c>
      <c r="C873" s="19" t="n">
        <f aca="false">YEAR(B873)</f>
        <v>2024</v>
      </c>
      <c r="D873" s="19" t="n">
        <f aca="false">MONTH(B873)</f>
        <v>10</v>
      </c>
      <c r="E873" s="30" t="str">
        <f aca="false">INDEX(Lists!$K$2:$K$13,MATCH(D873,Lists!$J$2:$J$13,0))</f>
        <v>أكتوبر</v>
      </c>
      <c r="F873" s="19" t="str">
        <f aca="false">"Q"&amp;ROUNDUP(D873/3,0)</f>
        <v>Q4</v>
      </c>
      <c r="G873" s="30" t="str">
        <f aca="false">INDEX(Lists!$N$2:$N$8,MATCH(WEEKDAY(B873,2),Lists!$M$2:$M$8,0))</f>
        <v>الأربعاء</v>
      </c>
      <c r="H873" s="30" t="s">
        <v>50</v>
      </c>
      <c r="I873" s="19" t="str">
        <f aca="false">INDEX(Lists!$B$2:$B$6,MATCH(H873,Lists!$A$2:$A$6,0))</f>
        <v>المنطقة الغربية</v>
      </c>
      <c r="J873" s="30" t="s">
        <v>105</v>
      </c>
      <c r="K873" s="30" t="s">
        <v>90</v>
      </c>
      <c r="L873" s="31" t="n">
        <v>3609</v>
      </c>
      <c r="M873" s="19" t="n">
        <v>2</v>
      </c>
      <c r="N873" s="32" t="n">
        <v>0</v>
      </c>
      <c r="O873" s="30" t="s">
        <v>58</v>
      </c>
      <c r="P873" s="30" t="s">
        <v>47</v>
      </c>
      <c r="Q873" s="30" t="s">
        <v>94</v>
      </c>
      <c r="R873" s="25" t="n">
        <f aca="false">L873*M873*(1-N873)</f>
        <v>7218</v>
      </c>
    </row>
    <row r="874" customFormat="false" ht="15" hidden="false" customHeight="false" outlineLevel="0" collapsed="false">
      <c r="A874" s="30" t="s">
        <v>1045</v>
      </c>
      <c r="B874" s="44" t="n">
        <v>45595</v>
      </c>
      <c r="C874" s="19" t="n">
        <f aca="false">YEAR(B874)</f>
        <v>2024</v>
      </c>
      <c r="D874" s="19" t="n">
        <f aca="false">MONTH(B874)</f>
        <v>10</v>
      </c>
      <c r="E874" s="30" t="str">
        <f aca="false">INDEX(Lists!$K$2:$K$13,MATCH(D874,Lists!$J$2:$J$13,0))</f>
        <v>أكتوبر</v>
      </c>
      <c r="F874" s="19" t="str">
        <f aca="false">"Q"&amp;ROUNDUP(D874/3,0)</f>
        <v>Q4</v>
      </c>
      <c r="G874" s="30" t="str">
        <f aca="false">INDEX(Lists!$N$2:$N$8,MATCH(WEEKDAY(B874,2),Lists!$M$2:$M$8,0))</f>
        <v>الأربعاء</v>
      </c>
      <c r="H874" s="30" t="s">
        <v>54</v>
      </c>
      <c r="I874" s="19" t="str">
        <f aca="false">INDEX(Lists!$B$2:$B$6,MATCH(H874,Lists!$A$2:$A$6,0))</f>
        <v>المنطقة الشرقية</v>
      </c>
      <c r="J874" s="30" t="s">
        <v>107</v>
      </c>
      <c r="K874" s="30" t="s">
        <v>272</v>
      </c>
      <c r="L874" s="31" t="n">
        <v>4889</v>
      </c>
      <c r="M874" s="19" t="n">
        <v>1</v>
      </c>
      <c r="N874" s="32" t="n">
        <v>0.1</v>
      </c>
      <c r="O874" s="30" t="s">
        <v>58</v>
      </c>
      <c r="P874" s="30" t="s">
        <v>47</v>
      </c>
      <c r="Q874" s="30" t="s">
        <v>94</v>
      </c>
      <c r="R874" s="25" t="n">
        <f aca="false">L874*M874*(1-N874)</f>
        <v>4400.1</v>
      </c>
    </row>
    <row r="875" customFormat="false" ht="15" hidden="false" customHeight="false" outlineLevel="0" collapsed="false">
      <c r="A875" s="30" t="s">
        <v>1046</v>
      </c>
      <c r="B875" s="44" t="n">
        <v>45595</v>
      </c>
      <c r="C875" s="19" t="n">
        <f aca="false">YEAR(B875)</f>
        <v>2024</v>
      </c>
      <c r="D875" s="19" t="n">
        <f aca="false">MONTH(B875)</f>
        <v>10</v>
      </c>
      <c r="E875" s="30" t="str">
        <f aca="false">INDEX(Lists!$K$2:$K$13,MATCH(D875,Lists!$J$2:$J$13,0))</f>
        <v>أكتوبر</v>
      </c>
      <c r="F875" s="19" t="str">
        <f aca="false">"Q"&amp;ROUNDUP(D875/3,0)</f>
        <v>Q4</v>
      </c>
      <c r="G875" s="30" t="str">
        <f aca="false">INDEX(Lists!$N$2:$N$8,MATCH(WEEKDAY(B875,2),Lists!$M$2:$M$8,0))</f>
        <v>الأربعاء</v>
      </c>
      <c r="H875" s="30" t="s">
        <v>60</v>
      </c>
      <c r="I875" s="19" t="str">
        <f aca="false">INDEX(Lists!$B$2:$B$6,MATCH(H875,Lists!$A$2:$A$6,0))</f>
        <v>المنطقة الغربية</v>
      </c>
      <c r="J875" s="30" t="s">
        <v>105</v>
      </c>
      <c r="K875" s="30" t="s">
        <v>85</v>
      </c>
      <c r="L875" s="31" t="n">
        <v>4029</v>
      </c>
      <c r="M875" s="19" t="n">
        <v>2</v>
      </c>
      <c r="N875" s="32" t="n">
        <v>0</v>
      </c>
      <c r="O875" s="30" t="s">
        <v>48</v>
      </c>
      <c r="P875" s="30" t="s">
        <v>51</v>
      </c>
      <c r="Q875" s="30" t="s">
        <v>81</v>
      </c>
      <c r="R875" s="25" t="n">
        <f aca="false">L875*M875*(1-N875)</f>
        <v>8058</v>
      </c>
    </row>
    <row r="876" customFormat="false" ht="15" hidden="false" customHeight="false" outlineLevel="0" collapsed="false">
      <c r="A876" s="30" t="s">
        <v>1047</v>
      </c>
      <c r="B876" s="44" t="n">
        <v>45596</v>
      </c>
      <c r="C876" s="19" t="n">
        <f aca="false">YEAR(B876)</f>
        <v>2024</v>
      </c>
      <c r="D876" s="19" t="n">
        <f aca="false">MONTH(B876)</f>
        <v>10</v>
      </c>
      <c r="E876" s="30" t="str">
        <f aca="false">INDEX(Lists!$K$2:$K$13,MATCH(D876,Lists!$J$2:$J$13,0))</f>
        <v>أكتوبر</v>
      </c>
      <c r="F876" s="19" t="str">
        <f aca="false">"Q"&amp;ROUNDUP(D876/3,0)</f>
        <v>Q4</v>
      </c>
      <c r="G876" s="30" t="str">
        <f aca="false">INDEX(Lists!$N$2:$N$8,MATCH(WEEKDAY(B876,2),Lists!$M$2:$M$8,0))</f>
        <v>الخميس</v>
      </c>
      <c r="H876" s="30" t="s">
        <v>50</v>
      </c>
      <c r="I876" s="19" t="str">
        <f aca="false">INDEX(Lists!$B$2:$B$6,MATCH(H876,Lists!$A$2:$A$6,0))</f>
        <v>المنطقة الغربية</v>
      </c>
      <c r="J876" s="30" t="s">
        <v>113</v>
      </c>
      <c r="K876" s="30" t="s">
        <v>121</v>
      </c>
      <c r="L876" s="31" t="n">
        <v>469</v>
      </c>
      <c r="M876" s="19" t="n">
        <v>2</v>
      </c>
      <c r="N876" s="32" t="n">
        <v>0.1</v>
      </c>
      <c r="O876" s="30" t="s">
        <v>52</v>
      </c>
      <c r="P876" s="30" t="s">
        <v>47</v>
      </c>
      <c r="Q876" s="30" t="s">
        <v>84</v>
      </c>
      <c r="R876" s="25" t="n">
        <f aca="false">L876*M876*(1-N876)</f>
        <v>844.2</v>
      </c>
    </row>
    <row r="877" customFormat="false" ht="15" hidden="false" customHeight="false" outlineLevel="0" collapsed="false">
      <c r="A877" s="30" t="s">
        <v>1048</v>
      </c>
      <c r="B877" s="44" t="n">
        <v>45596</v>
      </c>
      <c r="C877" s="19" t="n">
        <f aca="false">YEAR(B877)</f>
        <v>2024</v>
      </c>
      <c r="D877" s="19" t="n">
        <f aca="false">MONTH(B877)</f>
        <v>10</v>
      </c>
      <c r="E877" s="30" t="str">
        <f aca="false">INDEX(Lists!$K$2:$K$13,MATCH(D877,Lists!$J$2:$J$13,0))</f>
        <v>أكتوبر</v>
      </c>
      <c r="F877" s="19" t="str">
        <f aca="false">"Q"&amp;ROUNDUP(D877/3,0)</f>
        <v>Q4</v>
      </c>
      <c r="G877" s="30" t="str">
        <f aca="false">INDEX(Lists!$N$2:$N$8,MATCH(WEEKDAY(B877,2),Lists!$M$2:$M$8,0))</f>
        <v>الخميس</v>
      </c>
      <c r="H877" s="30" t="s">
        <v>46</v>
      </c>
      <c r="I877" s="19" t="str">
        <f aca="false">INDEX(Lists!$B$2:$B$6,MATCH(H877,Lists!$A$2:$A$6,0))</f>
        <v>المنطقة الوسطى</v>
      </c>
      <c r="J877" s="30" t="s">
        <v>107</v>
      </c>
      <c r="K877" s="30" t="s">
        <v>114</v>
      </c>
      <c r="L877" s="31" t="n">
        <v>6809</v>
      </c>
      <c r="M877" s="19" t="n">
        <v>3</v>
      </c>
      <c r="N877" s="32" t="n">
        <v>0.05</v>
      </c>
      <c r="O877" s="30" t="s">
        <v>48</v>
      </c>
      <c r="P877" s="30" t="s">
        <v>51</v>
      </c>
      <c r="Q877" s="30" t="s">
        <v>81</v>
      </c>
      <c r="R877" s="25" t="n">
        <f aca="false">L877*M877*(1-N877)</f>
        <v>19405.65</v>
      </c>
    </row>
    <row r="878" customFormat="false" ht="15" hidden="false" customHeight="false" outlineLevel="0" collapsed="false">
      <c r="A878" s="30" t="s">
        <v>1049</v>
      </c>
      <c r="B878" s="44" t="n">
        <v>45597</v>
      </c>
      <c r="C878" s="19" t="n">
        <f aca="false">YEAR(B878)</f>
        <v>2024</v>
      </c>
      <c r="D878" s="19" t="n">
        <f aca="false">MONTH(B878)</f>
        <v>11</v>
      </c>
      <c r="E878" s="30" t="str">
        <f aca="false">INDEX(Lists!$K$2:$K$13,MATCH(D878,Lists!$J$2:$J$13,0))</f>
        <v>نوفمبر</v>
      </c>
      <c r="F878" s="19" t="str">
        <f aca="false">"Q"&amp;ROUNDUP(D878/3,0)</f>
        <v>Q4</v>
      </c>
      <c r="G878" s="30" t="str">
        <f aca="false">INDEX(Lists!$N$2:$N$8,MATCH(WEEKDAY(B878,2),Lists!$M$2:$M$8,0))</f>
        <v>الجمعة</v>
      </c>
      <c r="H878" s="30" t="s">
        <v>50</v>
      </c>
      <c r="I878" s="19" t="str">
        <f aca="false">INDEX(Lists!$B$2:$B$6,MATCH(H878,Lists!$A$2:$A$6,0))</f>
        <v>المنطقة الغربية</v>
      </c>
      <c r="J878" s="30" t="s">
        <v>105</v>
      </c>
      <c r="K878" s="30" t="s">
        <v>79</v>
      </c>
      <c r="L878" s="31" t="n">
        <v>2789</v>
      </c>
      <c r="M878" s="19" t="n">
        <v>2</v>
      </c>
      <c r="N878" s="32" t="n">
        <v>0</v>
      </c>
      <c r="O878" s="30" t="s">
        <v>48</v>
      </c>
      <c r="P878" s="30" t="s">
        <v>47</v>
      </c>
      <c r="Q878" s="30" t="s">
        <v>94</v>
      </c>
      <c r="R878" s="25" t="n">
        <f aca="false">L878*M878*(1-N878)</f>
        <v>5578</v>
      </c>
    </row>
    <row r="879" customFormat="false" ht="15" hidden="false" customHeight="false" outlineLevel="0" collapsed="false">
      <c r="A879" s="30" t="s">
        <v>1050</v>
      </c>
      <c r="B879" s="44" t="n">
        <v>45597</v>
      </c>
      <c r="C879" s="19" t="n">
        <f aca="false">YEAR(B879)</f>
        <v>2024</v>
      </c>
      <c r="D879" s="19" t="n">
        <f aca="false">MONTH(B879)</f>
        <v>11</v>
      </c>
      <c r="E879" s="30" t="str">
        <f aca="false">INDEX(Lists!$K$2:$K$13,MATCH(D879,Lists!$J$2:$J$13,0))</f>
        <v>نوفمبر</v>
      </c>
      <c r="F879" s="19" t="str">
        <f aca="false">"Q"&amp;ROUNDUP(D879/3,0)</f>
        <v>Q4</v>
      </c>
      <c r="G879" s="30" t="str">
        <f aca="false">INDEX(Lists!$N$2:$N$8,MATCH(WEEKDAY(B879,2),Lists!$M$2:$M$8,0))</f>
        <v>الجمعة</v>
      </c>
      <c r="H879" s="30" t="s">
        <v>46</v>
      </c>
      <c r="I879" s="19" t="str">
        <f aca="false">INDEX(Lists!$B$2:$B$6,MATCH(H879,Lists!$A$2:$A$6,0))</f>
        <v>المنطقة الوسطى</v>
      </c>
      <c r="J879" s="30" t="s">
        <v>105</v>
      </c>
      <c r="K879" s="30" t="s">
        <v>82</v>
      </c>
      <c r="L879" s="31" t="n">
        <v>2289</v>
      </c>
      <c r="M879" s="19" t="n">
        <v>1</v>
      </c>
      <c r="N879" s="32" t="n">
        <v>0</v>
      </c>
      <c r="O879" s="30" t="s">
        <v>58</v>
      </c>
      <c r="P879" s="30" t="s">
        <v>47</v>
      </c>
      <c r="Q879" s="30" t="s">
        <v>96</v>
      </c>
      <c r="R879" s="25" t="n">
        <f aca="false">L879*M879*(1-N879)</f>
        <v>2289</v>
      </c>
    </row>
    <row r="880" customFormat="false" ht="15" hidden="false" customHeight="false" outlineLevel="0" collapsed="false">
      <c r="A880" s="30" t="s">
        <v>1051</v>
      </c>
      <c r="B880" s="44" t="n">
        <v>45597</v>
      </c>
      <c r="C880" s="19" t="n">
        <f aca="false">YEAR(B880)</f>
        <v>2024</v>
      </c>
      <c r="D880" s="19" t="n">
        <f aca="false">MONTH(B880)</f>
        <v>11</v>
      </c>
      <c r="E880" s="30" t="str">
        <f aca="false">INDEX(Lists!$K$2:$K$13,MATCH(D880,Lists!$J$2:$J$13,0))</f>
        <v>نوفمبر</v>
      </c>
      <c r="F880" s="19" t="str">
        <f aca="false">"Q"&amp;ROUNDUP(D880/3,0)</f>
        <v>Q4</v>
      </c>
      <c r="G880" s="30" t="str">
        <f aca="false">INDEX(Lists!$N$2:$N$8,MATCH(WEEKDAY(B880,2),Lists!$M$2:$M$8,0))</f>
        <v>الجمعة</v>
      </c>
      <c r="H880" s="30" t="s">
        <v>46</v>
      </c>
      <c r="I880" s="19" t="str">
        <f aca="false">INDEX(Lists!$B$2:$B$6,MATCH(H880,Lists!$A$2:$A$6,0))</f>
        <v>المنطقة الوسطى</v>
      </c>
      <c r="J880" s="30" t="s">
        <v>113</v>
      </c>
      <c r="K880" s="30" t="s">
        <v>100</v>
      </c>
      <c r="L880" s="31" t="n">
        <v>499</v>
      </c>
      <c r="M880" s="19" t="n">
        <v>1</v>
      </c>
      <c r="N880" s="32" t="n">
        <v>0</v>
      </c>
      <c r="O880" s="30" t="s">
        <v>58</v>
      </c>
      <c r="P880" s="30" t="s">
        <v>47</v>
      </c>
      <c r="Q880" s="30" t="s">
        <v>86</v>
      </c>
      <c r="R880" s="25" t="n">
        <f aca="false">L880*M880*(1-N880)</f>
        <v>499</v>
      </c>
    </row>
    <row r="881" customFormat="false" ht="15" hidden="false" customHeight="false" outlineLevel="0" collapsed="false">
      <c r="A881" s="30" t="s">
        <v>1052</v>
      </c>
      <c r="B881" s="44" t="n">
        <v>45597</v>
      </c>
      <c r="C881" s="19" t="n">
        <f aca="false">YEAR(B881)</f>
        <v>2024</v>
      </c>
      <c r="D881" s="19" t="n">
        <f aca="false">MONTH(B881)</f>
        <v>11</v>
      </c>
      <c r="E881" s="30" t="str">
        <f aca="false">INDEX(Lists!$K$2:$K$13,MATCH(D881,Lists!$J$2:$J$13,0))</f>
        <v>نوفمبر</v>
      </c>
      <c r="F881" s="19" t="str">
        <f aca="false">"Q"&amp;ROUNDUP(D881/3,0)</f>
        <v>Q4</v>
      </c>
      <c r="G881" s="30" t="str">
        <f aca="false">INDEX(Lists!$N$2:$N$8,MATCH(WEEKDAY(B881,2),Lists!$M$2:$M$8,0))</f>
        <v>الجمعة</v>
      </c>
      <c r="H881" s="30" t="s">
        <v>50</v>
      </c>
      <c r="I881" s="19" t="str">
        <f aca="false">INDEX(Lists!$B$2:$B$6,MATCH(H881,Lists!$A$2:$A$6,0))</f>
        <v>المنطقة الغربية</v>
      </c>
      <c r="J881" s="30" t="s">
        <v>107</v>
      </c>
      <c r="K881" s="30" t="s">
        <v>184</v>
      </c>
      <c r="L881" s="31" t="n">
        <v>2639</v>
      </c>
      <c r="M881" s="19" t="n">
        <v>1</v>
      </c>
      <c r="N881" s="32" t="n">
        <v>0</v>
      </c>
      <c r="O881" s="30" t="s">
        <v>48</v>
      </c>
      <c r="P881" s="30" t="s">
        <v>47</v>
      </c>
      <c r="Q881" s="30" t="s">
        <v>96</v>
      </c>
      <c r="R881" s="25" t="n">
        <f aca="false">L881*M881*(1-N881)</f>
        <v>2639</v>
      </c>
    </row>
    <row r="882" customFormat="false" ht="15" hidden="false" customHeight="false" outlineLevel="0" collapsed="false">
      <c r="A882" s="30" t="s">
        <v>1053</v>
      </c>
      <c r="B882" s="44" t="n">
        <v>45597</v>
      </c>
      <c r="C882" s="19" t="n">
        <f aca="false">YEAR(B882)</f>
        <v>2024</v>
      </c>
      <c r="D882" s="19" t="n">
        <f aca="false">MONTH(B882)</f>
        <v>11</v>
      </c>
      <c r="E882" s="30" t="str">
        <f aca="false">INDEX(Lists!$K$2:$K$13,MATCH(D882,Lists!$J$2:$J$13,0))</f>
        <v>نوفمبر</v>
      </c>
      <c r="F882" s="19" t="str">
        <f aca="false">"Q"&amp;ROUNDUP(D882/3,0)</f>
        <v>Q4</v>
      </c>
      <c r="G882" s="30" t="str">
        <f aca="false">INDEX(Lists!$N$2:$N$8,MATCH(WEEKDAY(B882,2),Lists!$M$2:$M$8,0))</f>
        <v>الجمعة</v>
      </c>
      <c r="H882" s="30" t="s">
        <v>46</v>
      </c>
      <c r="I882" s="19" t="str">
        <f aca="false">INDEX(Lists!$B$2:$B$6,MATCH(H882,Lists!$A$2:$A$6,0))</f>
        <v>المنطقة الوسطى</v>
      </c>
      <c r="J882" s="30" t="s">
        <v>105</v>
      </c>
      <c r="K882" s="30" t="s">
        <v>179</v>
      </c>
      <c r="L882" s="31" t="n">
        <v>3129</v>
      </c>
      <c r="M882" s="19" t="n">
        <v>2</v>
      </c>
      <c r="N882" s="32" t="n">
        <v>0</v>
      </c>
      <c r="O882" s="30" t="s">
        <v>48</v>
      </c>
      <c r="P882" s="30" t="s">
        <v>51</v>
      </c>
      <c r="Q882" s="30" t="s">
        <v>76</v>
      </c>
      <c r="R882" s="25" t="n">
        <f aca="false">L882*M882*(1-N882)</f>
        <v>6258</v>
      </c>
    </row>
    <row r="883" customFormat="false" ht="15" hidden="false" customHeight="false" outlineLevel="0" collapsed="false">
      <c r="A883" s="30" t="s">
        <v>1054</v>
      </c>
      <c r="B883" s="44" t="n">
        <v>45598</v>
      </c>
      <c r="C883" s="19" t="n">
        <f aca="false">YEAR(B883)</f>
        <v>2024</v>
      </c>
      <c r="D883" s="19" t="n">
        <f aca="false">MONTH(B883)</f>
        <v>11</v>
      </c>
      <c r="E883" s="30" t="str">
        <f aca="false">INDEX(Lists!$K$2:$K$13,MATCH(D883,Lists!$J$2:$J$13,0))</f>
        <v>نوفمبر</v>
      </c>
      <c r="F883" s="19" t="str">
        <f aca="false">"Q"&amp;ROUNDUP(D883/3,0)</f>
        <v>Q4</v>
      </c>
      <c r="G883" s="30" t="str">
        <f aca="false">INDEX(Lists!$N$2:$N$8,MATCH(WEEKDAY(B883,2),Lists!$M$2:$M$8,0))</f>
        <v>السبت</v>
      </c>
      <c r="H883" s="30" t="s">
        <v>50</v>
      </c>
      <c r="I883" s="19" t="str">
        <f aca="false">INDEX(Lists!$B$2:$B$6,MATCH(H883,Lists!$A$2:$A$6,0))</f>
        <v>المنطقة الغربية</v>
      </c>
      <c r="J883" s="30" t="s">
        <v>109</v>
      </c>
      <c r="K883" s="30" t="s">
        <v>93</v>
      </c>
      <c r="L883" s="31" t="n">
        <v>349</v>
      </c>
      <c r="M883" s="19" t="n">
        <v>1</v>
      </c>
      <c r="N883" s="32" t="n">
        <v>0</v>
      </c>
      <c r="O883" s="30" t="s">
        <v>48</v>
      </c>
      <c r="P883" s="30" t="s">
        <v>47</v>
      </c>
      <c r="Q883" s="30" t="s">
        <v>89</v>
      </c>
      <c r="R883" s="25" t="n">
        <f aca="false">L883*M883*(1-N883)</f>
        <v>349</v>
      </c>
    </row>
    <row r="884" customFormat="false" ht="15" hidden="false" customHeight="false" outlineLevel="0" collapsed="false">
      <c r="A884" s="30" t="s">
        <v>1055</v>
      </c>
      <c r="B884" s="44" t="n">
        <v>45598</v>
      </c>
      <c r="C884" s="19" t="n">
        <f aca="false">YEAR(B884)</f>
        <v>2024</v>
      </c>
      <c r="D884" s="19" t="n">
        <f aca="false">MONTH(B884)</f>
        <v>11</v>
      </c>
      <c r="E884" s="30" t="str">
        <f aca="false">INDEX(Lists!$K$2:$K$13,MATCH(D884,Lists!$J$2:$J$13,0))</f>
        <v>نوفمبر</v>
      </c>
      <c r="F884" s="19" t="str">
        <f aca="false">"Q"&amp;ROUNDUP(D884/3,0)</f>
        <v>Q4</v>
      </c>
      <c r="G884" s="30" t="str">
        <f aca="false">INDEX(Lists!$N$2:$N$8,MATCH(WEEKDAY(B884,2),Lists!$M$2:$M$8,0))</f>
        <v>السبت</v>
      </c>
      <c r="H884" s="30" t="s">
        <v>46</v>
      </c>
      <c r="I884" s="19" t="str">
        <f aca="false">INDEX(Lists!$B$2:$B$6,MATCH(H884,Lists!$A$2:$A$6,0))</f>
        <v>المنطقة الوسطى</v>
      </c>
      <c r="J884" s="30" t="s">
        <v>107</v>
      </c>
      <c r="K884" s="30" t="s">
        <v>114</v>
      </c>
      <c r="L884" s="31" t="n">
        <v>2769</v>
      </c>
      <c r="M884" s="19" t="n">
        <v>1</v>
      </c>
      <c r="N884" s="32" t="n">
        <v>0.05</v>
      </c>
      <c r="O884" s="30" t="s">
        <v>48</v>
      </c>
      <c r="P884" s="30" t="s">
        <v>47</v>
      </c>
      <c r="Q884" s="30" t="s">
        <v>81</v>
      </c>
      <c r="R884" s="25" t="n">
        <f aca="false">L884*M884*(1-N884)</f>
        <v>2630.55</v>
      </c>
    </row>
    <row r="885" customFormat="false" ht="15" hidden="false" customHeight="false" outlineLevel="0" collapsed="false">
      <c r="A885" s="30" t="s">
        <v>1056</v>
      </c>
      <c r="B885" s="44" t="n">
        <v>45599</v>
      </c>
      <c r="C885" s="19" t="n">
        <f aca="false">YEAR(B885)</f>
        <v>2024</v>
      </c>
      <c r="D885" s="19" t="n">
        <f aca="false">MONTH(B885)</f>
        <v>11</v>
      </c>
      <c r="E885" s="30" t="str">
        <f aca="false">INDEX(Lists!$K$2:$K$13,MATCH(D885,Lists!$J$2:$J$13,0))</f>
        <v>نوفمبر</v>
      </c>
      <c r="F885" s="19" t="str">
        <f aca="false">"Q"&amp;ROUNDUP(D885/3,0)</f>
        <v>Q4</v>
      </c>
      <c r="G885" s="30" t="str">
        <f aca="false">INDEX(Lists!$N$2:$N$8,MATCH(WEEKDAY(B885,2),Lists!$M$2:$M$8,0))</f>
        <v>الأحد</v>
      </c>
      <c r="H885" s="30" t="s">
        <v>50</v>
      </c>
      <c r="I885" s="19" t="str">
        <f aca="false">INDEX(Lists!$B$2:$B$6,MATCH(H885,Lists!$A$2:$A$6,0))</f>
        <v>المنطقة الغربية</v>
      </c>
      <c r="J885" s="30" t="s">
        <v>105</v>
      </c>
      <c r="K885" s="30" t="s">
        <v>79</v>
      </c>
      <c r="L885" s="31" t="n">
        <v>1669</v>
      </c>
      <c r="M885" s="19" t="n">
        <v>6</v>
      </c>
      <c r="N885" s="32" t="n">
        <v>0.1</v>
      </c>
      <c r="O885" s="30" t="s">
        <v>52</v>
      </c>
      <c r="P885" s="30" t="s">
        <v>51</v>
      </c>
      <c r="Q885" s="30" t="s">
        <v>78</v>
      </c>
      <c r="R885" s="25" t="n">
        <f aca="false">L885*M885*(1-N885)</f>
        <v>9012.6</v>
      </c>
    </row>
    <row r="886" customFormat="false" ht="15" hidden="false" customHeight="false" outlineLevel="0" collapsed="false">
      <c r="A886" s="30" t="s">
        <v>1057</v>
      </c>
      <c r="B886" s="44" t="n">
        <v>45599</v>
      </c>
      <c r="C886" s="19" t="n">
        <f aca="false">YEAR(B886)</f>
        <v>2024</v>
      </c>
      <c r="D886" s="19" t="n">
        <f aca="false">MONTH(B886)</f>
        <v>11</v>
      </c>
      <c r="E886" s="30" t="str">
        <f aca="false">INDEX(Lists!$K$2:$K$13,MATCH(D886,Lists!$J$2:$J$13,0))</f>
        <v>نوفمبر</v>
      </c>
      <c r="F886" s="19" t="str">
        <f aca="false">"Q"&amp;ROUNDUP(D886/3,0)</f>
        <v>Q4</v>
      </c>
      <c r="G886" s="30" t="str">
        <f aca="false">INDEX(Lists!$N$2:$N$8,MATCH(WEEKDAY(B886,2),Lists!$M$2:$M$8,0))</f>
        <v>الأحد</v>
      </c>
      <c r="H886" s="30" t="s">
        <v>46</v>
      </c>
      <c r="I886" s="19" t="str">
        <f aca="false">INDEX(Lists!$B$2:$B$6,MATCH(H886,Lists!$A$2:$A$6,0))</f>
        <v>المنطقة الوسطى</v>
      </c>
      <c r="J886" s="30" t="s">
        <v>109</v>
      </c>
      <c r="K886" s="30" t="s">
        <v>93</v>
      </c>
      <c r="L886" s="31" t="n">
        <v>99</v>
      </c>
      <c r="M886" s="19" t="n">
        <v>2</v>
      </c>
      <c r="N886" s="32" t="n">
        <v>0</v>
      </c>
      <c r="O886" s="30" t="s">
        <v>48</v>
      </c>
      <c r="P886" s="30" t="s">
        <v>47</v>
      </c>
      <c r="Q886" s="30" t="s">
        <v>86</v>
      </c>
      <c r="R886" s="25" t="n">
        <f aca="false">L886*M886*(1-N886)</f>
        <v>198</v>
      </c>
    </row>
    <row r="887" customFormat="false" ht="15" hidden="false" customHeight="false" outlineLevel="0" collapsed="false">
      <c r="A887" s="30" t="s">
        <v>1058</v>
      </c>
      <c r="B887" s="44" t="n">
        <v>45599</v>
      </c>
      <c r="C887" s="19" t="n">
        <f aca="false">YEAR(B887)</f>
        <v>2024</v>
      </c>
      <c r="D887" s="19" t="n">
        <f aca="false">MONTH(B887)</f>
        <v>11</v>
      </c>
      <c r="E887" s="30" t="str">
        <f aca="false">INDEX(Lists!$K$2:$K$13,MATCH(D887,Lists!$J$2:$J$13,0))</f>
        <v>نوفمبر</v>
      </c>
      <c r="F887" s="19" t="str">
        <f aca="false">"Q"&amp;ROUNDUP(D887/3,0)</f>
        <v>Q4</v>
      </c>
      <c r="G887" s="30" t="str">
        <f aca="false">INDEX(Lists!$N$2:$N$8,MATCH(WEEKDAY(B887,2),Lists!$M$2:$M$8,0))</f>
        <v>الأحد</v>
      </c>
      <c r="H887" s="30" t="s">
        <v>50</v>
      </c>
      <c r="I887" s="19" t="str">
        <f aca="false">INDEX(Lists!$B$2:$B$6,MATCH(H887,Lists!$A$2:$A$6,0))</f>
        <v>المنطقة الغربية</v>
      </c>
      <c r="J887" s="30" t="s">
        <v>105</v>
      </c>
      <c r="K887" s="30" t="s">
        <v>79</v>
      </c>
      <c r="L887" s="31" t="n">
        <v>1789</v>
      </c>
      <c r="M887" s="19" t="n">
        <v>1</v>
      </c>
      <c r="N887" s="32" t="n">
        <v>0.05</v>
      </c>
      <c r="O887" s="30" t="s">
        <v>52</v>
      </c>
      <c r="P887" s="30" t="s">
        <v>47</v>
      </c>
      <c r="Q887" s="30" t="s">
        <v>89</v>
      </c>
      <c r="R887" s="25" t="n">
        <f aca="false">L887*M887*(1-N887)</f>
        <v>1699.55</v>
      </c>
    </row>
    <row r="888" customFormat="false" ht="15" hidden="false" customHeight="false" outlineLevel="0" collapsed="false">
      <c r="A888" s="30" t="s">
        <v>1059</v>
      </c>
      <c r="B888" s="44" t="n">
        <v>45599</v>
      </c>
      <c r="C888" s="19" t="n">
        <f aca="false">YEAR(B888)</f>
        <v>2024</v>
      </c>
      <c r="D888" s="19" t="n">
        <f aca="false">MONTH(B888)</f>
        <v>11</v>
      </c>
      <c r="E888" s="30" t="str">
        <f aca="false">INDEX(Lists!$K$2:$K$13,MATCH(D888,Lists!$J$2:$J$13,0))</f>
        <v>نوفمبر</v>
      </c>
      <c r="F888" s="19" t="str">
        <f aca="false">"Q"&amp;ROUNDUP(D888/3,0)</f>
        <v>Q4</v>
      </c>
      <c r="G888" s="30" t="str">
        <f aca="false">INDEX(Lists!$N$2:$N$8,MATCH(WEEKDAY(B888,2),Lists!$M$2:$M$8,0))</f>
        <v>الأحد</v>
      </c>
      <c r="H888" s="30" t="s">
        <v>60</v>
      </c>
      <c r="I888" s="19" t="str">
        <f aca="false">INDEX(Lists!$B$2:$B$6,MATCH(H888,Lists!$A$2:$A$6,0))</f>
        <v>المنطقة الغربية</v>
      </c>
      <c r="J888" s="30" t="s">
        <v>107</v>
      </c>
      <c r="K888" s="30" t="s">
        <v>184</v>
      </c>
      <c r="L888" s="31" t="n">
        <v>3939</v>
      </c>
      <c r="M888" s="19" t="n">
        <v>1</v>
      </c>
      <c r="N888" s="32" t="n">
        <v>0</v>
      </c>
      <c r="O888" s="30" t="s">
        <v>52</v>
      </c>
      <c r="P888" s="30" t="s">
        <v>47</v>
      </c>
      <c r="Q888" s="30" t="s">
        <v>78</v>
      </c>
      <c r="R888" s="25" t="n">
        <f aca="false">L888*M888*(1-N888)</f>
        <v>3939</v>
      </c>
    </row>
    <row r="889" customFormat="false" ht="15" hidden="false" customHeight="false" outlineLevel="0" collapsed="false">
      <c r="A889" s="30" t="s">
        <v>1060</v>
      </c>
      <c r="B889" s="44" t="n">
        <v>45599</v>
      </c>
      <c r="C889" s="19" t="n">
        <f aca="false">YEAR(B889)</f>
        <v>2024</v>
      </c>
      <c r="D889" s="19" t="n">
        <f aca="false">MONTH(B889)</f>
        <v>11</v>
      </c>
      <c r="E889" s="30" t="str">
        <f aca="false">INDEX(Lists!$K$2:$K$13,MATCH(D889,Lists!$J$2:$J$13,0))</f>
        <v>نوفمبر</v>
      </c>
      <c r="F889" s="19" t="str">
        <f aca="false">"Q"&amp;ROUNDUP(D889/3,0)</f>
        <v>Q4</v>
      </c>
      <c r="G889" s="30" t="str">
        <f aca="false">INDEX(Lists!$N$2:$N$8,MATCH(WEEKDAY(B889,2),Lists!$M$2:$M$8,0))</f>
        <v>الأحد</v>
      </c>
      <c r="H889" s="30" t="s">
        <v>46</v>
      </c>
      <c r="I889" s="19" t="str">
        <f aca="false">INDEX(Lists!$B$2:$B$6,MATCH(H889,Lists!$A$2:$A$6,0))</f>
        <v>المنطقة الوسطى</v>
      </c>
      <c r="J889" s="30" t="s">
        <v>109</v>
      </c>
      <c r="K889" s="30" t="s">
        <v>171</v>
      </c>
      <c r="L889" s="31" t="n">
        <v>149</v>
      </c>
      <c r="M889" s="19" t="n">
        <v>2</v>
      </c>
      <c r="N889" s="32" t="n">
        <v>0.2</v>
      </c>
      <c r="O889" s="30" t="s">
        <v>48</v>
      </c>
      <c r="P889" s="30" t="s">
        <v>47</v>
      </c>
      <c r="Q889" s="30" t="s">
        <v>99</v>
      </c>
      <c r="R889" s="25" t="n">
        <f aca="false">L889*M889*(1-N889)</f>
        <v>238.4</v>
      </c>
    </row>
    <row r="890" customFormat="false" ht="15" hidden="false" customHeight="false" outlineLevel="0" collapsed="false">
      <c r="A890" s="30" t="s">
        <v>1061</v>
      </c>
      <c r="B890" s="44" t="n">
        <v>45599</v>
      </c>
      <c r="C890" s="19" t="n">
        <f aca="false">YEAR(B890)</f>
        <v>2024</v>
      </c>
      <c r="D890" s="19" t="n">
        <f aca="false">MONTH(B890)</f>
        <v>11</v>
      </c>
      <c r="E890" s="30" t="str">
        <f aca="false">INDEX(Lists!$K$2:$K$13,MATCH(D890,Lists!$J$2:$J$13,0))</f>
        <v>نوفمبر</v>
      </c>
      <c r="F890" s="19" t="str">
        <f aca="false">"Q"&amp;ROUNDUP(D890/3,0)</f>
        <v>Q4</v>
      </c>
      <c r="G890" s="30" t="str">
        <f aca="false">INDEX(Lists!$N$2:$N$8,MATCH(WEEKDAY(B890,2),Lists!$M$2:$M$8,0))</f>
        <v>الأحد</v>
      </c>
      <c r="H890" s="30" t="s">
        <v>46</v>
      </c>
      <c r="I890" s="19" t="str">
        <f aca="false">INDEX(Lists!$B$2:$B$6,MATCH(H890,Lists!$A$2:$A$6,0))</f>
        <v>المنطقة الوسطى</v>
      </c>
      <c r="J890" s="30" t="s">
        <v>105</v>
      </c>
      <c r="K890" s="30" t="s">
        <v>90</v>
      </c>
      <c r="L890" s="31" t="n">
        <v>3469</v>
      </c>
      <c r="M890" s="19" t="n">
        <v>1</v>
      </c>
      <c r="N890" s="32" t="n">
        <v>0.05</v>
      </c>
      <c r="O890" s="30" t="s">
        <v>52</v>
      </c>
      <c r="P890" s="30" t="s">
        <v>47</v>
      </c>
      <c r="Q890" s="30" t="s">
        <v>84</v>
      </c>
      <c r="R890" s="25" t="n">
        <f aca="false">L890*M890*(1-N890)</f>
        <v>3295.55</v>
      </c>
    </row>
    <row r="891" customFormat="false" ht="15" hidden="false" customHeight="false" outlineLevel="0" collapsed="false">
      <c r="A891" s="30" t="s">
        <v>1062</v>
      </c>
      <c r="B891" s="44" t="n">
        <v>45600</v>
      </c>
      <c r="C891" s="19" t="n">
        <f aca="false">YEAR(B891)</f>
        <v>2024</v>
      </c>
      <c r="D891" s="19" t="n">
        <f aca="false">MONTH(B891)</f>
        <v>11</v>
      </c>
      <c r="E891" s="30" t="str">
        <f aca="false">INDEX(Lists!$K$2:$K$13,MATCH(D891,Lists!$J$2:$J$13,0))</f>
        <v>نوفمبر</v>
      </c>
      <c r="F891" s="19" t="str">
        <f aca="false">"Q"&amp;ROUNDUP(D891/3,0)</f>
        <v>Q4</v>
      </c>
      <c r="G891" s="30" t="str">
        <f aca="false">INDEX(Lists!$N$2:$N$8,MATCH(WEEKDAY(B891,2),Lists!$M$2:$M$8,0))</f>
        <v>الإثنين</v>
      </c>
      <c r="H891" s="30" t="s">
        <v>46</v>
      </c>
      <c r="I891" s="19" t="str">
        <f aca="false">INDEX(Lists!$B$2:$B$6,MATCH(H891,Lists!$A$2:$A$6,0))</f>
        <v>المنطقة الوسطى</v>
      </c>
      <c r="J891" s="30" t="s">
        <v>111</v>
      </c>
      <c r="K891" s="30" t="s">
        <v>120</v>
      </c>
      <c r="L891" s="31" t="n">
        <v>549</v>
      </c>
      <c r="M891" s="19" t="n">
        <v>1</v>
      </c>
      <c r="N891" s="32" t="n">
        <v>0</v>
      </c>
      <c r="O891" s="30" t="s">
        <v>52</v>
      </c>
      <c r="P891" s="30" t="s">
        <v>47</v>
      </c>
      <c r="Q891" s="30" t="s">
        <v>94</v>
      </c>
      <c r="R891" s="25" t="n">
        <f aca="false">L891*M891*(1-N891)</f>
        <v>549</v>
      </c>
    </row>
    <row r="892" customFormat="false" ht="15" hidden="false" customHeight="false" outlineLevel="0" collapsed="false">
      <c r="A892" s="30" t="s">
        <v>1063</v>
      </c>
      <c r="B892" s="44" t="n">
        <v>45600</v>
      </c>
      <c r="C892" s="19" t="n">
        <f aca="false">YEAR(B892)</f>
        <v>2024</v>
      </c>
      <c r="D892" s="19" t="n">
        <f aca="false">MONTH(B892)</f>
        <v>11</v>
      </c>
      <c r="E892" s="30" t="str">
        <f aca="false">INDEX(Lists!$K$2:$K$13,MATCH(D892,Lists!$J$2:$J$13,0))</f>
        <v>نوفمبر</v>
      </c>
      <c r="F892" s="19" t="str">
        <f aca="false">"Q"&amp;ROUNDUP(D892/3,0)</f>
        <v>Q4</v>
      </c>
      <c r="G892" s="30" t="str">
        <f aca="false">INDEX(Lists!$N$2:$N$8,MATCH(WEEKDAY(B892,2),Lists!$M$2:$M$8,0))</f>
        <v>الإثنين</v>
      </c>
      <c r="H892" s="30" t="s">
        <v>54</v>
      </c>
      <c r="I892" s="19" t="str">
        <f aca="false">INDEX(Lists!$B$2:$B$6,MATCH(H892,Lists!$A$2:$A$6,0))</f>
        <v>المنطقة الشرقية</v>
      </c>
      <c r="J892" s="30" t="s">
        <v>105</v>
      </c>
      <c r="K892" s="30" t="s">
        <v>179</v>
      </c>
      <c r="L892" s="31" t="n">
        <v>2979</v>
      </c>
      <c r="M892" s="19" t="n">
        <v>1</v>
      </c>
      <c r="N892" s="32" t="n">
        <v>0.15</v>
      </c>
      <c r="O892" s="30" t="s">
        <v>48</v>
      </c>
      <c r="P892" s="30" t="s">
        <v>47</v>
      </c>
      <c r="Q892" s="30" t="s">
        <v>81</v>
      </c>
      <c r="R892" s="25" t="n">
        <f aca="false">L892*M892*(1-N892)</f>
        <v>2532.15</v>
      </c>
    </row>
    <row r="893" customFormat="false" ht="15" hidden="false" customHeight="false" outlineLevel="0" collapsed="false">
      <c r="A893" s="30" t="s">
        <v>1064</v>
      </c>
      <c r="B893" s="44" t="n">
        <v>45600</v>
      </c>
      <c r="C893" s="19" t="n">
        <f aca="false">YEAR(B893)</f>
        <v>2024</v>
      </c>
      <c r="D893" s="19" t="n">
        <f aca="false">MONTH(B893)</f>
        <v>11</v>
      </c>
      <c r="E893" s="30" t="str">
        <f aca="false">INDEX(Lists!$K$2:$K$13,MATCH(D893,Lists!$J$2:$J$13,0))</f>
        <v>نوفمبر</v>
      </c>
      <c r="F893" s="19" t="str">
        <f aca="false">"Q"&amp;ROUNDUP(D893/3,0)</f>
        <v>Q4</v>
      </c>
      <c r="G893" s="30" t="str">
        <f aca="false">INDEX(Lists!$N$2:$N$8,MATCH(WEEKDAY(B893,2),Lists!$M$2:$M$8,0))</f>
        <v>الإثنين</v>
      </c>
      <c r="H893" s="30" t="s">
        <v>60</v>
      </c>
      <c r="I893" s="19" t="str">
        <f aca="false">INDEX(Lists!$B$2:$B$6,MATCH(H893,Lists!$A$2:$A$6,0))</f>
        <v>المنطقة الغربية</v>
      </c>
      <c r="J893" s="30" t="s">
        <v>105</v>
      </c>
      <c r="K893" s="30" t="s">
        <v>90</v>
      </c>
      <c r="L893" s="31" t="n">
        <v>1779</v>
      </c>
      <c r="M893" s="19" t="n">
        <v>2</v>
      </c>
      <c r="N893" s="32" t="n">
        <v>0.05</v>
      </c>
      <c r="O893" s="30" t="s">
        <v>55</v>
      </c>
      <c r="P893" s="30" t="s">
        <v>47</v>
      </c>
      <c r="Q893" s="30" t="s">
        <v>86</v>
      </c>
      <c r="R893" s="25" t="n">
        <f aca="false">L893*M893*(1-N893)</f>
        <v>3380.1</v>
      </c>
    </row>
    <row r="894" customFormat="false" ht="15" hidden="false" customHeight="false" outlineLevel="0" collapsed="false">
      <c r="A894" s="30" t="s">
        <v>1065</v>
      </c>
      <c r="B894" s="44" t="n">
        <v>45600</v>
      </c>
      <c r="C894" s="19" t="n">
        <f aca="false">YEAR(B894)</f>
        <v>2024</v>
      </c>
      <c r="D894" s="19" t="n">
        <f aca="false">MONTH(B894)</f>
        <v>11</v>
      </c>
      <c r="E894" s="30" t="str">
        <f aca="false">INDEX(Lists!$K$2:$K$13,MATCH(D894,Lists!$J$2:$J$13,0))</f>
        <v>نوفمبر</v>
      </c>
      <c r="F894" s="19" t="str">
        <f aca="false">"Q"&amp;ROUNDUP(D894/3,0)</f>
        <v>Q4</v>
      </c>
      <c r="G894" s="30" t="str">
        <f aca="false">INDEX(Lists!$N$2:$N$8,MATCH(WEEKDAY(B894,2),Lists!$M$2:$M$8,0))</f>
        <v>الإثنين</v>
      </c>
      <c r="H894" s="30" t="s">
        <v>60</v>
      </c>
      <c r="I894" s="19" t="str">
        <f aca="false">INDEX(Lists!$B$2:$B$6,MATCH(H894,Lists!$A$2:$A$6,0))</f>
        <v>المنطقة الغربية</v>
      </c>
      <c r="J894" s="30" t="s">
        <v>107</v>
      </c>
      <c r="K894" s="30" t="s">
        <v>272</v>
      </c>
      <c r="L894" s="31" t="n">
        <v>6169</v>
      </c>
      <c r="M894" s="19" t="n">
        <v>1</v>
      </c>
      <c r="N894" s="32" t="n">
        <v>0.05</v>
      </c>
      <c r="O894" s="30" t="s">
        <v>55</v>
      </c>
      <c r="P894" s="30" t="s">
        <v>47</v>
      </c>
      <c r="Q894" s="30" t="s">
        <v>81</v>
      </c>
      <c r="R894" s="25" t="n">
        <f aca="false">L894*M894*(1-N894)</f>
        <v>5860.55</v>
      </c>
    </row>
    <row r="895" customFormat="false" ht="15" hidden="false" customHeight="false" outlineLevel="0" collapsed="false">
      <c r="A895" s="30" t="s">
        <v>1066</v>
      </c>
      <c r="B895" s="44" t="n">
        <v>45600</v>
      </c>
      <c r="C895" s="19" t="n">
        <f aca="false">YEAR(B895)</f>
        <v>2024</v>
      </c>
      <c r="D895" s="19" t="n">
        <f aca="false">MONTH(B895)</f>
        <v>11</v>
      </c>
      <c r="E895" s="30" t="str">
        <f aca="false">INDEX(Lists!$K$2:$K$13,MATCH(D895,Lists!$J$2:$J$13,0))</f>
        <v>نوفمبر</v>
      </c>
      <c r="F895" s="19" t="str">
        <f aca="false">"Q"&amp;ROUNDUP(D895/3,0)</f>
        <v>Q4</v>
      </c>
      <c r="G895" s="30" t="str">
        <f aca="false">INDEX(Lists!$N$2:$N$8,MATCH(WEEKDAY(B895,2),Lists!$M$2:$M$8,0))</f>
        <v>الإثنين</v>
      </c>
      <c r="H895" s="30" t="s">
        <v>60</v>
      </c>
      <c r="I895" s="19" t="str">
        <f aca="false">INDEX(Lists!$B$2:$B$6,MATCH(H895,Lists!$A$2:$A$6,0))</f>
        <v>المنطقة الغربية</v>
      </c>
      <c r="J895" s="30" t="s">
        <v>109</v>
      </c>
      <c r="K895" s="30" t="s">
        <v>175</v>
      </c>
      <c r="L895" s="31" t="n">
        <v>59</v>
      </c>
      <c r="M895" s="19" t="n">
        <v>1</v>
      </c>
      <c r="N895" s="32" t="n">
        <v>0.1</v>
      </c>
      <c r="O895" s="30" t="s">
        <v>48</v>
      </c>
      <c r="P895" s="30" t="s">
        <v>47</v>
      </c>
      <c r="Q895" s="30" t="s">
        <v>78</v>
      </c>
      <c r="R895" s="25" t="n">
        <f aca="false">L895*M895*(1-N895)</f>
        <v>53.1</v>
      </c>
    </row>
    <row r="896" customFormat="false" ht="15" hidden="false" customHeight="false" outlineLevel="0" collapsed="false">
      <c r="A896" s="30" t="s">
        <v>1067</v>
      </c>
      <c r="B896" s="44" t="n">
        <v>45601</v>
      </c>
      <c r="C896" s="19" t="n">
        <f aca="false">YEAR(B896)</f>
        <v>2024</v>
      </c>
      <c r="D896" s="19" t="n">
        <f aca="false">MONTH(B896)</f>
        <v>11</v>
      </c>
      <c r="E896" s="30" t="str">
        <f aca="false">INDEX(Lists!$K$2:$K$13,MATCH(D896,Lists!$J$2:$J$13,0))</f>
        <v>نوفمبر</v>
      </c>
      <c r="F896" s="19" t="str">
        <f aca="false">"Q"&amp;ROUNDUP(D896/3,0)</f>
        <v>Q4</v>
      </c>
      <c r="G896" s="30" t="str">
        <f aca="false">INDEX(Lists!$N$2:$N$8,MATCH(WEEKDAY(B896,2),Lists!$M$2:$M$8,0))</f>
        <v>الثلاثاء</v>
      </c>
      <c r="H896" s="30" t="s">
        <v>46</v>
      </c>
      <c r="I896" s="19" t="str">
        <f aca="false">INDEX(Lists!$B$2:$B$6,MATCH(H896,Lists!$A$2:$A$6,0))</f>
        <v>المنطقة الوسطى</v>
      </c>
      <c r="J896" s="30" t="s">
        <v>113</v>
      </c>
      <c r="K896" s="30" t="s">
        <v>97</v>
      </c>
      <c r="L896" s="31" t="n">
        <v>819</v>
      </c>
      <c r="M896" s="19" t="n">
        <v>4</v>
      </c>
      <c r="N896" s="32" t="n">
        <v>0.05</v>
      </c>
      <c r="O896" s="30" t="s">
        <v>55</v>
      </c>
      <c r="P896" s="30" t="s">
        <v>51</v>
      </c>
      <c r="Q896" s="30" t="s">
        <v>86</v>
      </c>
      <c r="R896" s="25" t="n">
        <f aca="false">L896*M896*(1-N896)</f>
        <v>3112.2</v>
      </c>
    </row>
    <row r="897" customFormat="false" ht="15" hidden="false" customHeight="false" outlineLevel="0" collapsed="false">
      <c r="A897" s="30" t="s">
        <v>1068</v>
      </c>
      <c r="B897" s="44" t="n">
        <v>45601</v>
      </c>
      <c r="C897" s="19" t="n">
        <f aca="false">YEAR(B897)</f>
        <v>2024</v>
      </c>
      <c r="D897" s="19" t="n">
        <f aca="false">MONTH(B897)</f>
        <v>11</v>
      </c>
      <c r="E897" s="30" t="str">
        <f aca="false">INDEX(Lists!$K$2:$K$13,MATCH(D897,Lists!$J$2:$J$13,0))</f>
        <v>نوفمبر</v>
      </c>
      <c r="F897" s="19" t="str">
        <f aca="false">"Q"&amp;ROUNDUP(D897/3,0)</f>
        <v>Q4</v>
      </c>
      <c r="G897" s="30" t="str">
        <f aca="false">INDEX(Lists!$N$2:$N$8,MATCH(WEEKDAY(B897,2),Lists!$M$2:$M$8,0))</f>
        <v>الثلاثاء</v>
      </c>
      <c r="H897" s="30" t="s">
        <v>60</v>
      </c>
      <c r="I897" s="19" t="str">
        <f aca="false">INDEX(Lists!$B$2:$B$6,MATCH(H897,Lists!$A$2:$A$6,0))</f>
        <v>المنطقة الغربية</v>
      </c>
      <c r="J897" s="30" t="s">
        <v>105</v>
      </c>
      <c r="K897" s="30" t="s">
        <v>79</v>
      </c>
      <c r="L897" s="31" t="n">
        <v>4119</v>
      </c>
      <c r="M897" s="19" t="n">
        <v>3</v>
      </c>
      <c r="N897" s="32" t="n">
        <v>0</v>
      </c>
      <c r="O897" s="30" t="s">
        <v>55</v>
      </c>
      <c r="P897" s="30" t="s">
        <v>47</v>
      </c>
      <c r="Q897" s="30" t="s">
        <v>86</v>
      </c>
      <c r="R897" s="25" t="n">
        <f aca="false">L897*M897*(1-N897)</f>
        <v>12357</v>
      </c>
    </row>
    <row r="898" customFormat="false" ht="15" hidden="false" customHeight="false" outlineLevel="0" collapsed="false">
      <c r="A898" s="30" t="s">
        <v>1069</v>
      </c>
      <c r="B898" s="44" t="n">
        <v>45601</v>
      </c>
      <c r="C898" s="19" t="n">
        <f aca="false">YEAR(B898)</f>
        <v>2024</v>
      </c>
      <c r="D898" s="19" t="n">
        <f aca="false">MONTH(B898)</f>
        <v>11</v>
      </c>
      <c r="E898" s="30" t="str">
        <f aca="false">INDEX(Lists!$K$2:$K$13,MATCH(D898,Lists!$J$2:$J$13,0))</f>
        <v>نوفمبر</v>
      </c>
      <c r="F898" s="19" t="str">
        <f aca="false">"Q"&amp;ROUNDUP(D898/3,0)</f>
        <v>Q4</v>
      </c>
      <c r="G898" s="30" t="str">
        <f aca="false">INDEX(Lists!$N$2:$N$8,MATCH(WEEKDAY(B898,2),Lists!$M$2:$M$8,0))</f>
        <v>الثلاثاء</v>
      </c>
      <c r="H898" s="30" t="s">
        <v>46</v>
      </c>
      <c r="I898" s="19" t="str">
        <f aca="false">INDEX(Lists!$B$2:$B$6,MATCH(H898,Lists!$A$2:$A$6,0))</f>
        <v>المنطقة الوسطى</v>
      </c>
      <c r="J898" s="30" t="s">
        <v>107</v>
      </c>
      <c r="K898" s="30" t="s">
        <v>184</v>
      </c>
      <c r="L898" s="31" t="n">
        <v>3829</v>
      </c>
      <c r="M898" s="19" t="n">
        <v>3</v>
      </c>
      <c r="N898" s="32" t="n">
        <v>0</v>
      </c>
      <c r="O898" s="30" t="s">
        <v>55</v>
      </c>
      <c r="P898" s="30" t="s">
        <v>51</v>
      </c>
      <c r="Q898" s="30" t="s">
        <v>99</v>
      </c>
      <c r="R898" s="25" t="n">
        <f aca="false">L898*M898*(1-N898)</f>
        <v>11487</v>
      </c>
    </row>
    <row r="899" customFormat="false" ht="15" hidden="false" customHeight="false" outlineLevel="0" collapsed="false">
      <c r="A899" s="30" t="s">
        <v>1070</v>
      </c>
      <c r="B899" s="44" t="n">
        <v>45602</v>
      </c>
      <c r="C899" s="19" t="n">
        <f aca="false">YEAR(B899)</f>
        <v>2024</v>
      </c>
      <c r="D899" s="19" t="n">
        <f aca="false">MONTH(B899)</f>
        <v>11</v>
      </c>
      <c r="E899" s="30" t="str">
        <f aca="false">INDEX(Lists!$K$2:$K$13,MATCH(D899,Lists!$J$2:$J$13,0))</f>
        <v>نوفمبر</v>
      </c>
      <c r="F899" s="19" t="str">
        <f aca="false">"Q"&amp;ROUNDUP(D899/3,0)</f>
        <v>Q4</v>
      </c>
      <c r="G899" s="30" t="str">
        <f aca="false">INDEX(Lists!$N$2:$N$8,MATCH(WEEKDAY(B899,2),Lists!$M$2:$M$8,0))</f>
        <v>الأربعاء</v>
      </c>
      <c r="H899" s="30" t="s">
        <v>50</v>
      </c>
      <c r="I899" s="19" t="str">
        <f aca="false">INDEX(Lists!$B$2:$B$6,MATCH(H899,Lists!$A$2:$A$6,0))</f>
        <v>المنطقة الغربية</v>
      </c>
      <c r="J899" s="30" t="s">
        <v>109</v>
      </c>
      <c r="K899" s="30" t="s">
        <v>93</v>
      </c>
      <c r="L899" s="31" t="n">
        <v>169</v>
      </c>
      <c r="M899" s="19" t="n">
        <v>1</v>
      </c>
      <c r="N899" s="32" t="n">
        <v>0</v>
      </c>
      <c r="O899" s="30" t="s">
        <v>48</v>
      </c>
      <c r="P899" s="30" t="s">
        <v>47</v>
      </c>
      <c r="Q899" s="30" t="s">
        <v>86</v>
      </c>
      <c r="R899" s="25" t="n">
        <f aca="false">L899*M899*(1-N899)</f>
        <v>169</v>
      </c>
    </row>
    <row r="900" customFormat="false" ht="15" hidden="false" customHeight="false" outlineLevel="0" collapsed="false">
      <c r="A900" s="30" t="s">
        <v>1071</v>
      </c>
      <c r="B900" s="44" t="n">
        <v>45602</v>
      </c>
      <c r="C900" s="19" t="n">
        <f aca="false">YEAR(B900)</f>
        <v>2024</v>
      </c>
      <c r="D900" s="19" t="n">
        <f aca="false">MONTH(B900)</f>
        <v>11</v>
      </c>
      <c r="E900" s="30" t="str">
        <f aca="false">INDEX(Lists!$K$2:$K$13,MATCH(D900,Lists!$J$2:$J$13,0))</f>
        <v>نوفمبر</v>
      </c>
      <c r="F900" s="19" t="str">
        <f aca="false">"Q"&amp;ROUNDUP(D900/3,0)</f>
        <v>Q4</v>
      </c>
      <c r="G900" s="30" t="str">
        <f aca="false">INDEX(Lists!$N$2:$N$8,MATCH(WEEKDAY(B900,2),Lists!$M$2:$M$8,0))</f>
        <v>الأربعاء</v>
      </c>
      <c r="H900" s="30" t="s">
        <v>50</v>
      </c>
      <c r="I900" s="19" t="str">
        <f aca="false">INDEX(Lists!$B$2:$B$6,MATCH(H900,Lists!$A$2:$A$6,0))</f>
        <v>المنطقة الغربية</v>
      </c>
      <c r="J900" s="30" t="s">
        <v>109</v>
      </c>
      <c r="K900" s="30" t="s">
        <v>110</v>
      </c>
      <c r="L900" s="31" t="n">
        <v>239</v>
      </c>
      <c r="M900" s="19" t="n">
        <v>1</v>
      </c>
      <c r="N900" s="32" t="n">
        <v>0.15</v>
      </c>
      <c r="O900" s="30" t="s">
        <v>55</v>
      </c>
      <c r="P900" s="30" t="s">
        <v>47</v>
      </c>
      <c r="Q900" s="30" t="s">
        <v>96</v>
      </c>
      <c r="R900" s="25" t="n">
        <f aca="false">L900*M900*(1-N900)</f>
        <v>203.15</v>
      </c>
    </row>
    <row r="901" customFormat="false" ht="15" hidden="false" customHeight="false" outlineLevel="0" collapsed="false">
      <c r="A901" s="30" t="s">
        <v>1072</v>
      </c>
      <c r="B901" s="44" t="n">
        <v>45602</v>
      </c>
      <c r="C901" s="19" t="n">
        <f aca="false">YEAR(B901)</f>
        <v>2024</v>
      </c>
      <c r="D901" s="19" t="n">
        <f aca="false">MONTH(B901)</f>
        <v>11</v>
      </c>
      <c r="E901" s="30" t="str">
        <f aca="false">INDEX(Lists!$K$2:$K$13,MATCH(D901,Lists!$J$2:$J$13,0))</f>
        <v>نوفمبر</v>
      </c>
      <c r="F901" s="19" t="str">
        <f aca="false">"Q"&amp;ROUNDUP(D901/3,0)</f>
        <v>Q4</v>
      </c>
      <c r="G901" s="30" t="str">
        <f aca="false">INDEX(Lists!$N$2:$N$8,MATCH(WEEKDAY(B901,2),Lists!$M$2:$M$8,0))</f>
        <v>الأربعاء</v>
      </c>
      <c r="H901" s="30" t="s">
        <v>57</v>
      </c>
      <c r="I901" s="19" t="str">
        <f aca="false">INDEX(Lists!$B$2:$B$6,MATCH(H901,Lists!$A$2:$A$6,0))</f>
        <v>المنطقة الغربية</v>
      </c>
      <c r="J901" s="30" t="s">
        <v>113</v>
      </c>
      <c r="K901" s="30" t="s">
        <v>121</v>
      </c>
      <c r="L901" s="31" t="n">
        <v>829</v>
      </c>
      <c r="M901" s="19" t="n">
        <v>1</v>
      </c>
      <c r="N901" s="32" t="n">
        <v>0.1</v>
      </c>
      <c r="O901" s="30" t="s">
        <v>52</v>
      </c>
      <c r="P901" s="30" t="s">
        <v>47</v>
      </c>
      <c r="Q901" s="30" t="s">
        <v>89</v>
      </c>
      <c r="R901" s="25" t="n">
        <f aca="false">L901*M901*(1-N901)</f>
        <v>746.1</v>
      </c>
    </row>
    <row r="902" customFormat="false" ht="15" hidden="false" customHeight="false" outlineLevel="0" collapsed="false">
      <c r="A902" s="30" t="s">
        <v>1073</v>
      </c>
      <c r="B902" s="44" t="n">
        <v>45602</v>
      </c>
      <c r="C902" s="19" t="n">
        <f aca="false">YEAR(B902)</f>
        <v>2024</v>
      </c>
      <c r="D902" s="19" t="n">
        <f aca="false">MONTH(B902)</f>
        <v>11</v>
      </c>
      <c r="E902" s="30" t="str">
        <f aca="false">INDEX(Lists!$K$2:$K$13,MATCH(D902,Lists!$J$2:$J$13,0))</f>
        <v>نوفمبر</v>
      </c>
      <c r="F902" s="19" t="str">
        <f aca="false">"Q"&amp;ROUNDUP(D902/3,0)</f>
        <v>Q4</v>
      </c>
      <c r="G902" s="30" t="str">
        <f aca="false">INDEX(Lists!$N$2:$N$8,MATCH(WEEKDAY(B902,2),Lists!$M$2:$M$8,0))</f>
        <v>الأربعاء</v>
      </c>
      <c r="H902" s="30" t="s">
        <v>46</v>
      </c>
      <c r="I902" s="19" t="str">
        <f aca="false">INDEX(Lists!$B$2:$B$6,MATCH(H902,Lists!$A$2:$A$6,0))</f>
        <v>المنطقة الوسطى</v>
      </c>
      <c r="J902" s="30" t="s">
        <v>105</v>
      </c>
      <c r="K902" s="30" t="s">
        <v>90</v>
      </c>
      <c r="L902" s="31" t="n">
        <v>2659</v>
      </c>
      <c r="M902" s="19" t="n">
        <v>2</v>
      </c>
      <c r="N902" s="32" t="n">
        <v>0</v>
      </c>
      <c r="O902" s="30" t="s">
        <v>48</v>
      </c>
      <c r="P902" s="30" t="s">
        <v>51</v>
      </c>
      <c r="Q902" s="30" t="s">
        <v>89</v>
      </c>
      <c r="R902" s="25" t="n">
        <f aca="false">L902*M902*(1-N902)</f>
        <v>5318</v>
      </c>
    </row>
    <row r="903" customFormat="false" ht="15" hidden="false" customHeight="false" outlineLevel="0" collapsed="false">
      <c r="A903" s="30" t="s">
        <v>1074</v>
      </c>
      <c r="B903" s="44" t="n">
        <v>45602</v>
      </c>
      <c r="C903" s="19" t="n">
        <f aca="false">YEAR(B903)</f>
        <v>2024</v>
      </c>
      <c r="D903" s="19" t="n">
        <f aca="false">MONTH(B903)</f>
        <v>11</v>
      </c>
      <c r="E903" s="30" t="str">
        <f aca="false">INDEX(Lists!$K$2:$K$13,MATCH(D903,Lists!$J$2:$J$13,0))</f>
        <v>نوفمبر</v>
      </c>
      <c r="F903" s="19" t="str">
        <f aca="false">"Q"&amp;ROUNDUP(D903/3,0)</f>
        <v>Q4</v>
      </c>
      <c r="G903" s="30" t="str">
        <f aca="false">INDEX(Lists!$N$2:$N$8,MATCH(WEEKDAY(B903,2),Lists!$M$2:$M$8,0))</f>
        <v>الأربعاء</v>
      </c>
      <c r="H903" s="30" t="s">
        <v>57</v>
      </c>
      <c r="I903" s="19" t="str">
        <f aca="false">INDEX(Lists!$B$2:$B$6,MATCH(H903,Lists!$A$2:$A$6,0))</f>
        <v>المنطقة الغربية</v>
      </c>
      <c r="J903" s="30" t="s">
        <v>111</v>
      </c>
      <c r="K903" s="30" t="s">
        <v>108</v>
      </c>
      <c r="L903" s="31" t="n">
        <v>309</v>
      </c>
      <c r="M903" s="19" t="n">
        <v>1</v>
      </c>
      <c r="N903" s="32" t="n">
        <v>0.05</v>
      </c>
      <c r="O903" s="30" t="s">
        <v>48</v>
      </c>
      <c r="P903" s="30" t="s">
        <v>51</v>
      </c>
      <c r="Q903" s="30" t="s">
        <v>94</v>
      </c>
      <c r="R903" s="25" t="n">
        <f aca="false">L903*M903*(1-N903)</f>
        <v>293.55</v>
      </c>
    </row>
    <row r="904" customFormat="false" ht="15" hidden="false" customHeight="false" outlineLevel="0" collapsed="false">
      <c r="A904" s="30" t="s">
        <v>1075</v>
      </c>
      <c r="B904" s="44" t="n">
        <v>45602</v>
      </c>
      <c r="C904" s="19" t="n">
        <f aca="false">YEAR(B904)</f>
        <v>2024</v>
      </c>
      <c r="D904" s="19" t="n">
        <f aca="false">MONTH(B904)</f>
        <v>11</v>
      </c>
      <c r="E904" s="30" t="str">
        <f aca="false">INDEX(Lists!$K$2:$K$13,MATCH(D904,Lists!$J$2:$J$13,0))</f>
        <v>نوفمبر</v>
      </c>
      <c r="F904" s="19" t="str">
        <f aca="false">"Q"&amp;ROUNDUP(D904/3,0)</f>
        <v>Q4</v>
      </c>
      <c r="G904" s="30" t="str">
        <f aca="false">INDEX(Lists!$N$2:$N$8,MATCH(WEEKDAY(B904,2),Lists!$M$2:$M$8,0))</f>
        <v>الأربعاء</v>
      </c>
      <c r="H904" s="30" t="s">
        <v>54</v>
      </c>
      <c r="I904" s="19" t="str">
        <f aca="false">INDEX(Lists!$B$2:$B$6,MATCH(H904,Lists!$A$2:$A$6,0))</f>
        <v>المنطقة الشرقية</v>
      </c>
      <c r="J904" s="30" t="s">
        <v>107</v>
      </c>
      <c r="K904" s="30" t="s">
        <v>184</v>
      </c>
      <c r="L904" s="31" t="n">
        <v>7399</v>
      </c>
      <c r="M904" s="19" t="n">
        <v>1</v>
      </c>
      <c r="N904" s="32" t="n">
        <v>0</v>
      </c>
      <c r="O904" s="30" t="s">
        <v>48</v>
      </c>
      <c r="P904" s="30" t="s">
        <v>47</v>
      </c>
      <c r="Q904" s="30" t="s">
        <v>81</v>
      </c>
      <c r="R904" s="25" t="n">
        <f aca="false">L904*M904*(1-N904)</f>
        <v>7399</v>
      </c>
    </row>
    <row r="905" customFormat="false" ht="15" hidden="false" customHeight="false" outlineLevel="0" collapsed="false">
      <c r="A905" s="30" t="s">
        <v>1076</v>
      </c>
      <c r="B905" s="44" t="n">
        <v>45603</v>
      </c>
      <c r="C905" s="19" t="n">
        <f aca="false">YEAR(B905)</f>
        <v>2024</v>
      </c>
      <c r="D905" s="19" t="n">
        <f aca="false">MONTH(B905)</f>
        <v>11</v>
      </c>
      <c r="E905" s="30" t="str">
        <f aca="false">INDEX(Lists!$K$2:$K$13,MATCH(D905,Lists!$J$2:$J$13,0))</f>
        <v>نوفمبر</v>
      </c>
      <c r="F905" s="19" t="str">
        <f aca="false">"Q"&amp;ROUNDUP(D905/3,0)</f>
        <v>Q4</v>
      </c>
      <c r="G905" s="30" t="str">
        <f aca="false">INDEX(Lists!$N$2:$N$8,MATCH(WEEKDAY(B905,2),Lists!$M$2:$M$8,0))</f>
        <v>الخميس</v>
      </c>
      <c r="H905" s="30" t="s">
        <v>46</v>
      </c>
      <c r="I905" s="19" t="str">
        <f aca="false">INDEX(Lists!$B$2:$B$6,MATCH(H905,Lists!$A$2:$A$6,0))</f>
        <v>المنطقة الوسطى</v>
      </c>
      <c r="J905" s="30" t="s">
        <v>109</v>
      </c>
      <c r="K905" s="30" t="s">
        <v>110</v>
      </c>
      <c r="L905" s="31" t="n">
        <v>239</v>
      </c>
      <c r="M905" s="19" t="n">
        <v>8</v>
      </c>
      <c r="N905" s="32" t="n">
        <v>0</v>
      </c>
      <c r="O905" s="30" t="s">
        <v>48</v>
      </c>
      <c r="P905" s="30" t="s">
        <v>51</v>
      </c>
      <c r="Q905" s="30" t="s">
        <v>76</v>
      </c>
      <c r="R905" s="25" t="n">
        <f aca="false">L905*M905*(1-N905)</f>
        <v>1912</v>
      </c>
    </row>
    <row r="906" customFormat="false" ht="15" hidden="false" customHeight="false" outlineLevel="0" collapsed="false">
      <c r="A906" s="30" t="s">
        <v>1077</v>
      </c>
      <c r="B906" s="44" t="n">
        <v>45603</v>
      </c>
      <c r="C906" s="19" t="n">
        <f aca="false">YEAR(B906)</f>
        <v>2024</v>
      </c>
      <c r="D906" s="19" t="n">
        <f aca="false">MONTH(B906)</f>
        <v>11</v>
      </c>
      <c r="E906" s="30" t="str">
        <f aca="false">INDEX(Lists!$K$2:$K$13,MATCH(D906,Lists!$J$2:$J$13,0))</f>
        <v>نوفمبر</v>
      </c>
      <c r="F906" s="19" t="str">
        <f aca="false">"Q"&amp;ROUNDUP(D906/3,0)</f>
        <v>Q4</v>
      </c>
      <c r="G906" s="30" t="str">
        <f aca="false">INDEX(Lists!$N$2:$N$8,MATCH(WEEKDAY(B906,2),Lists!$M$2:$M$8,0))</f>
        <v>الخميس</v>
      </c>
      <c r="H906" s="30" t="s">
        <v>54</v>
      </c>
      <c r="I906" s="19" t="str">
        <f aca="false">INDEX(Lists!$B$2:$B$6,MATCH(H906,Lists!$A$2:$A$6,0))</f>
        <v>المنطقة الشرقية</v>
      </c>
      <c r="J906" s="30" t="s">
        <v>105</v>
      </c>
      <c r="K906" s="30" t="s">
        <v>85</v>
      </c>
      <c r="L906" s="31" t="n">
        <v>1669</v>
      </c>
      <c r="M906" s="19" t="n">
        <v>2</v>
      </c>
      <c r="N906" s="32" t="n">
        <v>0</v>
      </c>
      <c r="O906" s="30" t="s">
        <v>48</v>
      </c>
      <c r="P906" s="30" t="s">
        <v>47</v>
      </c>
      <c r="Q906" s="30" t="s">
        <v>76</v>
      </c>
      <c r="R906" s="25" t="n">
        <f aca="false">L906*M906*(1-N906)</f>
        <v>3338</v>
      </c>
    </row>
    <row r="907" customFormat="false" ht="15" hidden="false" customHeight="false" outlineLevel="0" collapsed="false">
      <c r="A907" s="30" t="s">
        <v>1078</v>
      </c>
      <c r="B907" s="44" t="n">
        <v>45604</v>
      </c>
      <c r="C907" s="19" t="n">
        <f aca="false">YEAR(B907)</f>
        <v>2024</v>
      </c>
      <c r="D907" s="19" t="n">
        <f aca="false">MONTH(B907)</f>
        <v>11</v>
      </c>
      <c r="E907" s="30" t="str">
        <f aca="false">INDEX(Lists!$K$2:$K$13,MATCH(D907,Lists!$J$2:$J$13,0))</f>
        <v>نوفمبر</v>
      </c>
      <c r="F907" s="19" t="str">
        <f aca="false">"Q"&amp;ROUNDUP(D907/3,0)</f>
        <v>Q4</v>
      </c>
      <c r="G907" s="30" t="str">
        <f aca="false">INDEX(Lists!$N$2:$N$8,MATCH(WEEKDAY(B907,2),Lists!$M$2:$M$8,0))</f>
        <v>الجمعة</v>
      </c>
      <c r="H907" s="30" t="s">
        <v>46</v>
      </c>
      <c r="I907" s="19" t="str">
        <f aca="false">INDEX(Lists!$B$2:$B$6,MATCH(H907,Lists!$A$2:$A$6,0))</f>
        <v>المنطقة الوسطى</v>
      </c>
      <c r="J907" s="30" t="s">
        <v>105</v>
      </c>
      <c r="K907" s="30" t="s">
        <v>79</v>
      </c>
      <c r="L907" s="31" t="n">
        <v>3379</v>
      </c>
      <c r="M907" s="19" t="n">
        <v>2</v>
      </c>
      <c r="N907" s="32" t="n">
        <v>0.1</v>
      </c>
      <c r="O907" s="30" t="s">
        <v>55</v>
      </c>
      <c r="P907" s="30" t="s">
        <v>47</v>
      </c>
      <c r="Q907" s="30" t="s">
        <v>94</v>
      </c>
      <c r="R907" s="25" t="n">
        <f aca="false">L907*M907*(1-N907)</f>
        <v>6082.2</v>
      </c>
    </row>
    <row r="908" customFormat="false" ht="15" hidden="false" customHeight="false" outlineLevel="0" collapsed="false">
      <c r="A908" s="30" t="s">
        <v>1079</v>
      </c>
      <c r="B908" s="44" t="n">
        <v>45604</v>
      </c>
      <c r="C908" s="19" t="n">
        <f aca="false">YEAR(B908)</f>
        <v>2024</v>
      </c>
      <c r="D908" s="19" t="n">
        <f aca="false">MONTH(B908)</f>
        <v>11</v>
      </c>
      <c r="E908" s="30" t="str">
        <f aca="false">INDEX(Lists!$K$2:$K$13,MATCH(D908,Lists!$J$2:$J$13,0))</f>
        <v>نوفمبر</v>
      </c>
      <c r="F908" s="19" t="str">
        <f aca="false">"Q"&amp;ROUNDUP(D908/3,0)</f>
        <v>Q4</v>
      </c>
      <c r="G908" s="30" t="str">
        <f aca="false">INDEX(Lists!$N$2:$N$8,MATCH(WEEKDAY(B908,2),Lists!$M$2:$M$8,0))</f>
        <v>الجمعة</v>
      </c>
      <c r="H908" s="30" t="s">
        <v>50</v>
      </c>
      <c r="I908" s="19" t="str">
        <f aca="false">INDEX(Lists!$B$2:$B$6,MATCH(H908,Lists!$A$2:$A$6,0))</f>
        <v>المنطقة الغربية</v>
      </c>
      <c r="J908" s="30" t="s">
        <v>105</v>
      </c>
      <c r="K908" s="30" t="s">
        <v>79</v>
      </c>
      <c r="L908" s="31" t="n">
        <v>1529</v>
      </c>
      <c r="M908" s="19" t="n">
        <v>1</v>
      </c>
      <c r="N908" s="32" t="n">
        <v>0.05</v>
      </c>
      <c r="O908" s="30" t="s">
        <v>52</v>
      </c>
      <c r="P908" s="30" t="s">
        <v>47</v>
      </c>
      <c r="Q908" s="30" t="s">
        <v>89</v>
      </c>
      <c r="R908" s="25" t="n">
        <f aca="false">L908*M908*(1-N908)</f>
        <v>1452.55</v>
      </c>
    </row>
    <row r="909" customFormat="false" ht="15" hidden="false" customHeight="false" outlineLevel="0" collapsed="false">
      <c r="A909" s="30" t="s">
        <v>1080</v>
      </c>
      <c r="B909" s="44" t="n">
        <v>45604</v>
      </c>
      <c r="C909" s="19" t="n">
        <f aca="false">YEAR(B909)</f>
        <v>2024</v>
      </c>
      <c r="D909" s="19" t="n">
        <f aca="false">MONTH(B909)</f>
        <v>11</v>
      </c>
      <c r="E909" s="30" t="str">
        <f aca="false">INDEX(Lists!$K$2:$K$13,MATCH(D909,Lists!$J$2:$J$13,0))</f>
        <v>نوفمبر</v>
      </c>
      <c r="F909" s="19" t="str">
        <f aca="false">"Q"&amp;ROUNDUP(D909/3,0)</f>
        <v>Q4</v>
      </c>
      <c r="G909" s="30" t="str">
        <f aca="false">INDEX(Lists!$N$2:$N$8,MATCH(WEEKDAY(B909,2),Lists!$M$2:$M$8,0))</f>
        <v>الجمعة</v>
      </c>
      <c r="H909" s="30" t="s">
        <v>60</v>
      </c>
      <c r="I909" s="19" t="str">
        <f aca="false">INDEX(Lists!$B$2:$B$6,MATCH(H909,Lists!$A$2:$A$6,0))</f>
        <v>المنطقة الغربية</v>
      </c>
      <c r="J909" s="30" t="s">
        <v>109</v>
      </c>
      <c r="K909" s="30" t="s">
        <v>110</v>
      </c>
      <c r="L909" s="31" t="n">
        <v>329</v>
      </c>
      <c r="M909" s="19" t="n">
        <v>1</v>
      </c>
      <c r="N909" s="32" t="n">
        <v>0.1</v>
      </c>
      <c r="O909" s="30" t="s">
        <v>52</v>
      </c>
      <c r="P909" s="30" t="s">
        <v>47</v>
      </c>
      <c r="Q909" s="30" t="s">
        <v>78</v>
      </c>
      <c r="R909" s="25" t="n">
        <f aca="false">L909*M909*(1-N909)</f>
        <v>296.1</v>
      </c>
    </row>
    <row r="910" customFormat="false" ht="15" hidden="false" customHeight="false" outlineLevel="0" collapsed="false">
      <c r="A910" s="30" t="s">
        <v>1081</v>
      </c>
      <c r="B910" s="44" t="n">
        <v>45604</v>
      </c>
      <c r="C910" s="19" t="n">
        <f aca="false">YEAR(B910)</f>
        <v>2024</v>
      </c>
      <c r="D910" s="19" t="n">
        <f aca="false">MONTH(B910)</f>
        <v>11</v>
      </c>
      <c r="E910" s="30" t="str">
        <f aca="false">INDEX(Lists!$K$2:$K$13,MATCH(D910,Lists!$J$2:$J$13,0))</f>
        <v>نوفمبر</v>
      </c>
      <c r="F910" s="19" t="str">
        <f aca="false">"Q"&amp;ROUNDUP(D910/3,0)</f>
        <v>Q4</v>
      </c>
      <c r="G910" s="30" t="str">
        <f aca="false">INDEX(Lists!$N$2:$N$8,MATCH(WEEKDAY(B910,2),Lists!$M$2:$M$8,0))</f>
        <v>الجمعة</v>
      </c>
      <c r="H910" s="30" t="s">
        <v>46</v>
      </c>
      <c r="I910" s="19" t="str">
        <f aca="false">INDEX(Lists!$B$2:$B$6,MATCH(H910,Lists!$A$2:$A$6,0))</f>
        <v>المنطقة الوسطى</v>
      </c>
      <c r="J910" s="30" t="s">
        <v>105</v>
      </c>
      <c r="K910" s="30" t="s">
        <v>85</v>
      </c>
      <c r="L910" s="31" t="n">
        <v>2429</v>
      </c>
      <c r="M910" s="19" t="n">
        <v>1</v>
      </c>
      <c r="N910" s="32" t="n">
        <v>0</v>
      </c>
      <c r="O910" s="30" t="s">
        <v>52</v>
      </c>
      <c r="P910" s="30" t="s">
        <v>47</v>
      </c>
      <c r="Q910" s="30" t="s">
        <v>76</v>
      </c>
      <c r="R910" s="25" t="n">
        <f aca="false">L910*M910*(1-N910)</f>
        <v>2429</v>
      </c>
    </row>
    <row r="911" customFormat="false" ht="15" hidden="false" customHeight="false" outlineLevel="0" collapsed="false">
      <c r="A911" s="30" t="s">
        <v>1082</v>
      </c>
      <c r="B911" s="44" t="n">
        <v>45604</v>
      </c>
      <c r="C911" s="19" t="n">
        <f aca="false">YEAR(B911)</f>
        <v>2024</v>
      </c>
      <c r="D911" s="19" t="n">
        <f aca="false">MONTH(B911)</f>
        <v>11</v>
      </c>
      <c r="E911" s="30" t="str">
        <f aca="false">INDEX(Lists!$K$2:$K$13,MATCH(D911,Lists!$J$2:$J$13,0))</f>
        <v>نوفمبر</v>
      </c>
      <c r="F911" s="19" t="str">
        <f aca="false">"Q"&amp;ROUNDUP(D911/3,0)</f>
        <v>Q4</v>
      </c>
      <c r="G911" s="30" t="str">
        <f aca="false">INDEX(Lists!$N$2:$N$8,MATCH(WEEKDAY(B911,2),Lists!$M$2:$M$8,0))</f>
        <v>الجمعة</v>
      </c>
      <c r="H911" s="30" t="s">
        <v>60</v>
      </c>
      <c r="I911" s="19" t="str">
        <f aca="false">INDEX(Lists!$B$2:$B$6,MATCH(H911,Lists!$A$2:$A$6,0))</f>
        <v>المنطقة الغربية</v>
      </c>
      <c r="J911" s="30" t="s">
        <v>107</v>
      </c>
      <c r="K911" s="30" t="s">
        <v>272</v>
      </c>
      <c r="L911" s="31" t="n">
        <v>2069</v>
      </c>
      <c r="M911" s="19" t="n">
        <v>4</v>
      </c>
      <c r="N911" s="32" t="n">
        <v>0</v>
      </c>
      <c r="O911" s="30" t="s">
        <v>52</v>
      </c>
      <c r="P911" s="30" t="s">
        <v>51</v>
      </c>
      <c r="Q911" s="30" t="s">
        <v>89</v>
      </c>
      <c r="R911" s="25" t="n">
        <f aca="false">L911*M911*(1-N911)</f>
        <v>8276</v>
      </c>
    </row>
    <row r="912" customFormat="false" ht="15" hidden="false" customHeight="false" outlineLevel="0" collapsed="false">
      <c r="A912" s="30" t="s">
        <v>1083</v>
      </c>
      <c r="B912" s="44" t="n">
        <v>45604</v>
      </c>
      <c r="C912" s="19" t="n">
        <f aca="false">YEAR(B912)</f>
        <v>2024</v>
      </c>
      <c r="D912" s="19" t="n">
        <f aca="false">MONTH(B912)</f>
        <v>11</v>
      </c>
      <c r="E912" s="30" t="str">
        <f aca="false">INDEX(Lists!$K$2:$K$13,MATCH(D912,Lists!$J$2:$J$13,0))</f>
        <v>نوفمبر</v>
      </c>
      <c r="F912" s="19" t="str">
        <f aca="false">"Q"&amp;ROUNDUP(D912/3,0)</f>
        <v>Q4</v>
      </c>
      <c r="G912" s="30" t="str">
        <f aca="false">INDEX(Lists!$N$2:$N$8,MATCH(WEEKDAY(B912,2),Lists!$M$2:$M$8,0))</f>
        <v>الجمعة</v>
      </c>
      <c r="H912" s="30" t="s">
        <v>54</v>
      </c>
      <c r="I912" s="19" t="str">
        <f aca="false">INDEX(Lists!$B$2:$B$6,MATCH(H912,Lists!$A$2:$A$6,0))</f>
        <v>المنطقة الشرقية</v>
      </c>
      <c r="J912" s="30" t="s">
        <v>107</v>
      </c>
      <c r="K912" s="30" t="s">
        <v>184</v>
      </c>
      <c r="L912" s="31" t="n">
        <v>5359</v>
      </c>
      <c r="M912" s="19" t="n">
        <v>1</v>
      </c>
      <c r="N912" s="32" t="n">
        <v>0</v>
      </c>
      <c r="O912" s="30" t="s">
        <v>55</v>
      </c>
      <c r="P912" s="30" t="s">
        <v>47</v>
      </c>
      <c r="Q912" s="30" t="s">
        <v>99</v>
      </c>
      <c r="R912" s="25" t="n">
        <f aca="false">L912*M912*(1-N912)</f>
        <v>5359</v>
      </c>
    </row>
    <row r="913" customFormat="false" ht="15" hidden="false" customHeight="false" outlineLevel="0" collapsed="false">
      <c r="A913" s="30" t="s">
        <v>1084</v>
      </c>
      <c r="B913" s="44" t="n">
        <v>45604</v>
      </c>
      <c r="C913" s="19" t="n">
        <f aca="false">YEAR(B913)</f>
        <v>2024</v>
      </c>
      <c r="D913" s="19" t="n">
        <f aca="false">MONTH(B913)</f>
        <v>11</v>
      </c>
      <c r="E913" s="30" t="str">
        <f aca="false">INDEX(Lists!$K$2:$K$13,MATCH(D913,Lists!$J$2:$J$13,0))</f>
        <v>نوفمبر</v>
      </c>
      <c r="F913" s="19" t="str">
        <f aca="false">"Q"&amp;ROUNDUP(D913/3,0)</f>
        <v>Q4</v>
      </c>
      <c r="G913" s="30" t="str">
        <f aca="false">INDEX(Lists!$N$2:$N$8,MATCH(WEEKDAY(B913,2),Lists!$M$2:$M$8,0))</f>
        <v>الجمعة</v>
      </c>
      <c r="H913" s="30" t="s">
        <v>60</v>
      </c>
      <c r="I913" s="19" t="str">
        <f aca="false">INDEX(Lists!$B$2:$B$6,MATCH(H913,Lists!$A$2:$A$6,0))</f>
        <v>المنطقة الغربية</v>
      </c>
      <c r="J913" s="30" t="s">
        <v>105</v>
      </c>
      <c r="K913" s="30" t="s">
        <v>79</v>
      </c>
      <c r="L913" s="31" t="n">
        <v>2789</v>
      </c>
      <c r="M913" s="19" t="n">
        <v>3</v>
      </c>
      <c r="N913" s="32" t="n">
        <v>0.1</v>
      </c>
      <c r="O913" s="30" t="s">
        <v>48</v>
      </c>
      <c r="P913" s="30" t="s">
        <v>51</v>
      </c>
      <c r="Q913" s="30" t="s">
        <v>81</v>
      </c>
      <c r="R913" s="25" t="n">
        <f aca="false">L913*M913*(1-N913)</f>
        <v>7530.3</v>
      </c>
    </row>
    <row r="914" customFormat="false" ht="15" hidden="false" customHeight="false" outlineLevel="0" collapsed="false">
      <c r="A914" s="30" t="s">
        <v>1085</v>
      </c>
      <c r="B914" s="44" t="n">
        <v>45604</v>
      </c>
      <c r="C914" s="19" t="n">
        <f aca="false">YEAR(B914)</f>
        <v>2024</v>
      </c>
      <c r="D914" s="19" t="n">
        <f aca="false">MONTH(B914)</f>
        <v>11</v>
      </c>
      <c r="E914" s="30" t="str">
        <f aca="false">INDEX(Lists!$K$2:$K$13,MATCH(D914,Lists!$J$2:$J$13,0))</f>
        <v>نوفمبر</v>
      </c>
      <c r="F914" s="19" t="str">
        <f aca="false">"Q"&amp;ROUNDUP(D914/3,0)</f>
        <v>Q4</v>
      </c>
      <c r="G914" s="30" t="str">
        <f aca="false">INDEX(Lists!$N$2:$N$8,MATCH(WEEKDAY(B914,2),Lists!$M$2:$M$8,0))</f>
        <v>الجمعة</v>
      </c>
      <c r="H914" s="30" t="s">
        <v>60</v>
      </c>
      <c r="I914" s="19" t="str">
        <f aca="false">INDEX(Lists!$B$2:$B$6,MATCH(H914,Lists!$A$2:$A$6,0))</f>
        <v>المنطقة الغربية</v>
      </c>
      <c r="J914" s="30" t="s">
        <v>105</v>
      </c>
      <c r="K914" s="30" t="s">
        <v>82</v>
      </c>
      <c r="L914" s="31" t="n">
        <v>4249</v>
      </c>
      <c r="M914" s="19" t="n">
        <v>6</v>
      </c>
      <c r="N914" s="32" t="n">
        <v>0</v>
      </c>
      <c r="O914" s="30" t="s">
        <v>55</v>
      </c>
      <c r="P914" s="30" t="s">
        <v>51</v>
      </c>
      <c r="Q914" s="30" t="s">
        <v>81</v>
      </c>
      <c r="R914" s="25" t="n">
        <f aca="false">L914*M914*(1-N914)</f>
        <v>25494</v>
      </c>
    </row>
    <row r="915" customFormat="false" ht="15" hidden="false" customHeight="false" outlineLevel="0" collapsed="false">
      <c r="A915" s="30" t="s">
        <v>1086</v>
      </c>
      <c r="B915" s="44" t="n">
        <v>45604</v>
      </c>
      <c r="C915" s="19" t="n">
        <f aca="false">YEAR(B915)</f>
        <v>2024</v>
      </c>
      <c r="D915" s="19" t="n">
        <f aca="false">MONTH(B915)</f>
        <v>11</v>
      </c>
      <c r="E915" s="30" t="str">
        <f aca="false">INDEX(Lists!$K$2:$K$13,MATCH(D915,Lists!$J$2:$J$13,0))</f>
        <v>نوفمبر</v>
      </c>
      <c r="F915" s="19" t="str">
        <f aca="false">"Q"&amp;ROUNDUP(D915/3,0)</f>
        <v>Q4</v>
      </c>
      <c r="G915" s="30" t="str">
        <f aca="false">INDEX(Lists!$N$2:$N$8,MATCH(WEEKDAY(B915,2),Lists!$M$2:$M$8,0))</f>
        <v>الجمعة</v>
      </c>
      <c r="H915" s="30" t="s">
        <v>50</v>
      </c>
      <c r="I915" s="19" t="str">
        <f aca="false">INDEX(Lists!$B$2:$B$6,MATCH(H915,Lists!$A$2:$A$6,0))</f>
        <v>المنطقة الغربية</v>
      </c>
      <c r="J915" s="30" t="s">
        <v>111</v>
      </c>
      <c r="K915" s="30" t="s">
        <v>108</v>
      </c>
      <c r="L915" s="31" t="n">
        <v>389</v>
      </c>
      <c r="M915" s="19" t="n">
        <v>3</v>
      </c>
      <c r="N915" s="32" t="n">
        <v>0.05</v>
      </c>
      <c r="O915" s="30" t="s">
        <v>52</v>
      </c>
      <c r="P915" s="30" t="s">
        <v>51</v>
      </c>
      <c r="Q915" s="30" t="s">
        <v>99</v>
      </c>
      <c r="R915" s="25" t="n">
        <f aca="false">L915*M915*(1-N915)</f>
        <v>1108.65</v>
      </c>
    </row>
    <row r="916" customFormat="false" ht="15" hidden="false" customHeight="false" outlineLevel="0" collapsed="false">
      <c r="A916" s="30" t="s">
        <v>1087</v>
      </c>
      <c r="B916" s="44" t="n">
        <v>45605</v>
      </c>
      <c r="C916" s="19" t="n">
        <f aca="false">YEAR(B916)</f>
        <v>2024</v>
      </c>
      <c r="D916" s="19" t="n">
        <f aca="false">MONTH(B916)</f>
        <v>11</v>
      </c>
      <c r="E916" s="30" t="str">
        <f aca="false">INDEX(Lists!$K$2:$K$13,MATCH(D916,Lists!$J$2:$J$13,0))</f>
        <v>نوفمبر</v>
      </c>
      <c r="F916" s="19" t="str">
        <f aca="false">"Q"&amp;ROUNDUP(D916/3,0)</f>
        <v>Q4</v>
      </c>
      <c r="G916" s="30" t="str">
        <f aca="false">INDEX(Lists!$N$2:$N$8,MATCH(WEEKDAY(B916,2),Lists!$M$2:$M$8,0))</f>
        <v>السبت</v>
      </c>
      <c r="H916" s="30" t="s">
        <v>46</v>
      </c>
      <c r="I916" s="19" t="str">
        <f aca="false">INDEX(Lists!$B$2:$B$6,MATCH(H916,Lists!$A$2:$A$6,0))</f>
        <v>المنطقة الوسطى</v>
      </c>
      <c r="J916" s="30" t="s">
        <v>113</v>
      </c>
      <c r="K916" s="30" t="s">
        <v>100</v>
      </c>
      <c r="L916" s="31" t="n">
        <v>489</v>
      </c>
      <c r="M916" s="19" t="n">
        <v>1</v>
      </c>
      <c r="N916" s="32" t="n">
        <v>0.05</v>
      </c>
      <c r="O916" s="30" t="s">
        <v>48</v>
      </c>
      <c r="P916" s="30" t="s">
        <v>47</v>
      </c>
      <c r="Q916" s="30" t="s">
        <v>76</v>
      </c>
      <c r="R916" s="25" t="n">
        <f aca="false">L916*M916*(1-N916)</f>
        <v>464.55</v>
      </c>
    </row>
    <row r="917" customFormat="false" ht="15" hidden="false" customHeight="false" outlineLevel="0" collapsed="false">
      <c r="A917" s="30" t="s">
        <v>1088</v>
      </c>
      <c r="B917" s="44" t="n">
        <v>45605</v>
      </c>
      <c r="C917" s="19" t="n">
        <f aca="false">YEAR(B917)</f>
        <v>2024</v>
      </c>
      <c r="D917" s="19" t="n">
        <f aca="false">MONTH(B917)</f>
        <v>11</v>
      </c>
      <c r="E917" s="30" t="str">
        <f aca="false">INDEX(Lists!$K$2:$K$13,MATCH(D917,Lists!$J$2:$J$13,0))</f>
        <v>نوفمبر</v>
      </c>
      <c r="F917" s="19" t="str">
        <f aca="false">"Q"&amp;ROUNDUP(D917/3,0)</f>
        <v>Q4</v>
      </c>
      <c r="G917" s="30" t="str">
        <f aca="false">INDEX(Lists!$N$2:$N$8,MATCH(WEEKDAY(B917,2),Lists!$M$2:$M$8,0))</f>
        <v>السبت</v>
      </c>
      <c r="H917" s="30" t="s">
        <v>46</v>
      </c>
      <c r="I917" s="19" t="str">
        <f aca="false">INDEX(Lists!$B$2:$B$6,MATCH(H917,Lists!$A$2:$A$6,0))</f>
        <v>المنطقة الوسطى</v>
      </c>
      <c r="J917" s="30" t="s">
        <v>111</v>
      </c>
      <c r="K917" s="30" t="s">
        <v>118</v>
      </c>
      <c r="L917" s="31" t="n">
        <v>439</v>
      </c>
      <c r="M917" s="19" t="n">
        <v>1</v>
      </c>
      <c r="N917" s="32" t="n">
        <v>0</v>
      </c>
      <c r="O917" s="30" t="s">
        <v>48</v>
      </c>
      <c r="P917" s="30" t="s">
        <v>47</v>
      </c>
      <c r="Q917" s="30" t="s">
        <v>89</v>
      </c>
      <c r="R917" s="25" t="n">
        <f aca="false">L917*M917*(1-N917)</f>
        <v>439</v>
      </c>
    </row>
    <row r="918" customFormat="false" ht="15" hidden="false" customHeight="false" outlineLevel="0" collapsed="false">
      <c r="A918" s="30" t="s">
        <v>1089</v>
      </c>
      <c r="B918" s="44" t="n">
        <v>45605</v>
      </c>
      <c r="C918" s="19" t="n">
        <f aca="false">YEAR(B918)</f>
        <v>2024</v>
      </c>
      <c r="D918" s="19" t="n">
        <f aca="false">MONTH(B918)</f>
        <v>11</v>
      </c>
      <c r="E918" s="30" t="str">
        <f aca="false">INDEX(Lists!$K$2:$K$13,MATCH(D918,Lists!$J$2:$J$13,0))</f>
        <v>نوفمبر</v>
      </c>
      <c r="F918" s="19" t="str">
        <f aca="false">"Q"&amp;ROUNDUP(D918/3,0)</f>
        <v>Q4</v>
      </c>
      <c r="G918" s="30" t="str">
        <f aca="false">INDEX(Lists!$N$2:$N$8,MATCH(WEEKDAY(B918,2),Lists!$M$2:$M$8,0))</f>
        <v>السبت</v>
      </c>
      <c r="H918" s="30" t="s">
        <v>46</v>
      </c>
      <c r="I918" s="19" t="str">
        <f aca="false">INDEX(Lists!$B$2:$B$6,MATCH(H918,Lists!$A$2:$A$6,0))</f>
        <v>المنطقة الوسطى</v>
      </c>
      <c r="J918" s="30" t="s">
        <v>105</v>
      </c>
      <c r="K918" s="30" t="s">
        <v>79</v>
      </c>
      <c r="L918" s="31" t="n">
        <v>3709</v>
      </c>
      <c r="M918" s="19" t="n">
        <v>1</v>
      </c>
      <c r="N918" s="32" t="n">
        <v>0.05</v>
      </c>
      <c r="O918" s="30" t="s">
        <v>52</v>
      </c>
      <c r="P918" s="30" t="s">
        <v>47</v>
      </c>
      <c r="Q918" s="30" t="s">
        <v>89</v>
      </c>
      <c r="R918" s="25" t="n">
        <f aca="false">L918*M918*(1-N918)</f>
        <v>3523.55</v>
      </c>
    </row>
    <row r="919" customFormat="false" ht="15" hidden="false" customHeight="false" outlineLevel="0" collapsed="false">
      <c r="A919" s="30" t="s">
        <v>1090</v>
      </c>
      <c r="B919" s="44" t="n">
        <v>45605</v>
      </c>
      <c r="C919" s="19" t="n">
        <f aca="false">YEAR(B919)</f>
        <v>2024</v>
      </c>
      <c r="D919" s="19" t="n">
        <f aca="false">MONTH(B919)</f>
        <v>11</v>
      </c>
      <c r="E919" s="30" t="str">
        <f aca="false">INDEX(Lists!$K$2:$K$13,MATCH(D919,Lists!$J$2:$J$13,0))</f>
        <v>نوفمبر</v>
      </c>
      <c r="F919" s="19" t="str">
        <f aca="false">"Q"&amp;ROUNDUP(D919/3,0)</f>
        <v>Q4</v>
      </c>
      <c r="G919" s="30" t="str">
        <f aca="false">INDEX(Lists!$N$2:$N$8,MATCH(WEEKDAY(B919,2),Lists!$M$2:$M$8,0))</f>
        <v>السبت</v>
      </c>
      <c r="H919" s="30" t="s">
        <v>60</v>
      </c>
      <c r="I919" s="19" t="str">
        <f aca="false">INDEX(Lists!$B$2:$B$6,MATCH(H919,Lists!$A$2:$A$6,0))</f>
        <v>المنطقة الغربية</v>
      </c>
      <c r="J919" s="30" t="s">
        <v>105</v>
      </c>
      <c r="K919" s="30" t="s">
        <v>79</v>
      </c>
      <c r="L919" s="31" t="n">
        <v>1779</v>
      </c>
      <c r="M919" s="19" t="n">
        <v>1</v>
      </c>
      <c r="N919" s="32" t="n">
        <v>0.15</v>
      </c>
      <c r="O919" s="30" t="s">
        <v>52</v>
      </c>
      <c r="P919" s="30" t="s">
        <v>47</v>
      </c>
      <c r="Q919" s="30" t="s">
        <v>92</v>
      </c>
      <c r="R919" s="25" t="n">
        <f aca="false">L919*M919*(1-N919)</f>
        <v>1512.15</v>
      </c>
    </row>
    <row r="920" customFormat="false" ht="15" hidden="false" customHeight="false" outlineLevel="0" collapsed="false">
      <c r="A920" s="30" t="s">
        <v>1091</v>
      </c>
      <c r="B920" s="44" t="n">
        <v>45605</v>
      </c>
      <c r="C920" s="19" t="n">
        <f aca="false">YEAR(B920)</f>
        <v>2024</v>
      </c>
      <c r="D920" s="19" t="n">
        <f aca="false">MONTH(B920)</f>
        <v>11</v>
      </c>
      <c r="E920" s="30" t="str">
        <f aca="false">INDEX(Lists!$K$2:$K$13,MATCH(D920,Lists!$J$2:$J$13,0))</f>
        <v>نوفمبر</v>
      </c>
      <c r="F920" s="19" t="str">
        <f aca="false">"Q"&amp;ROUNDUP(D920/3,0)</f>
        <v>Q4</v>
      </c>
      <c r="G920" s="30" t="str">
        <f aca="false">INDEX(Lists!$N$2:$N$8,MATCH(WEEKDAY(B920,2),Lists!$M$2:$M$8,0))</f>
        <v>السبت</v>
      </c>
      <c r="H920" s="30" t="s">
        <v>57</v>
      </c>
      <c r="I920" s="19" t="str">
        <f aca="false">INDEX(Lists!$B$2:$B$6,MATCH(H920,Lists!$A$2:$A$6,0))</f>
        <v>المنطقة الغربية</v>
      </c>
      <c r="J920" s="30" t="s">
        <v>105</v>
      </c>
      <c r="K920" s="30" t="s">
        <v>90</v>
      </c>
      <c r="L920" s="31" t="n">
        <v>2689</v>
      </c>
      <c r="M920" s="19" t="n">
        <v>1</v>
      </c>
      <c r="N920" s="32" t="n">
        <v>0</v>
      </c>
      <c r="O920" s="30" t="s">
        <v>48</v>
      </c>
      <c r="P920" s="30" t="s">
        <v>47</v>
      </c>
      <c r="Q920" s="30" t="s">
        <v>81</v>
      </c>
      <c r="R920" s="25" t="n">
        <f aca="false">L920*M920*(1-N920)</f>
        <v>2689</v>
      </c>
    </row>
    <row r="921" customFormat="false" ht="15" hidden="false" customHeight="false" outlineLevel="0" collapsed="false">
      <c r="A921" s="30" t="s">
        <v>1092</v>
      </c>
      <c r="B921" s="44" t="n">
        <v>45605</v>
      </c>
      <c r="C921" s="19" t="n">
        <f aca="false">YEAR(B921)</f>
        <v>2024</v>
      </c>
      <c r="D921" s="19" t="n">
        <f aca="false">MONTH(B921)</f>
        <v>11</v>
      </c>
      <c r="E921" s="30" t="str">
        <f aca="false">INDEX(Lists!$K$2:$K$13,MATCH(D921,Lists!$J$2:$J$13,0))</f>
        <v>نوفمبر</v>
      </c>
      <c r="F921" s="19" t="str">
        <f aca="false">"Q"&amp;ROUNDUP(D921/3,0)</f>
        <v>Q4</v>
      </c>
      <c r="G921" s="30" t="str">
        <f aca="false">INDEX(Lists!$N$2:$N$8,MATCH(WEEKDAY(B921,2),Lists!$M$2:$M$8,0))</f>
        <v>السبت</v>
      </c>
      <c r="H921" s="30" t="s">
        <v>60</v>
      </c>
      <c r="I921" s="19" t="str">
        <f aca="false">INDEX(Lists!$B$2:$B$6,MATCH(H921,Lists!$A$2:$A$6,0))</f>
        <v>المنطقة الغربية</v>
      </c>
      <c r="J921" s="30" t="s">
        <v>109</v>
      </c>
      <c r="K921" s="30" t="s">
        <v>110</v>
      </c>
      <c r="L921" s="31" t="n">
        <v>239</v>
      </c>
      <c r="M921" s="19" t="n">
        <v>1</v>
      </c>
      <c r="N921" s="32" t="n">
        <v>0</v>
      </c>
      <c r="O921" s="30" t="s">
        <v>48</v>
      </c>
      <c r="P921" s="30" t="s">
        <v>51</v>
      </c>
      <c r="Q921" s="30" t="s">
        <v>92</v>
      </c>
      <c r="R921" s="25" t="n">
        <f aca="false">L921*M921*(1-N921)</f>
        <v>239</v>
      </c>
    </row>
    <row r="922" customFormat="false" ht="15" hidden="false" customHeight="false" outlineLevel="0" collapsed="false">
      <c r="A922" s="30" t="s">
        <v>1093</v>
      </c>
      <c r="B922" s="44" t="n">
        <v>45606</v>
      </c>
      <c r="C922" s="19" t="n">
        <f aca="false">YEAR(B922)</f>
        <v>2024</v>
      </c>
      <c r="D922" s="19" t="n">
        <f aca="false">MONTH(B922)</f>
        <v>11</v>
      </c>
      <c r="E922" s="30" t="str">
        <f aca="false">INDEX(Lists!$K$2:$K$13,MATCH(D922,Lists!$J$2:$J$13,0))</f>
        <v>نوفمبر</v>
      </c>
      <c r="F922" s="19" t="str">
        <f aca="false">"Q"&amp;ROUNDUP(D922/3,0)</f>
        <v>Q4</v>
      </c>
      <c r="G922" s="30" t="str">
        <f aca="false">INDEX(Lists!$N$2:$N$8,MATCH(WEEKDAY(B922,2),Lists!$M$2:$M$8,0))</f>
        <v>الأحد</v>
      </c>
      <c r="H922" s="30" t="s">
        <v>46</v>
      </c>
      <c r="I922" s="19" t="str">
        <f aca="false">INDEX(Lists!$B$2:$B$6,MATCH(H922,Lists!$A$2:$A$6,0))</f>
        <v>المنطقة الوسطى</v>
      </c>
      <c r="J922" s="30" t="s">
        <v>113</v>
      </c>
      <c r="K922" s="30" t="s">
        <v>95</v>
      </c>
      <c r="L922" s="31" t="n">
        <v>829</v>
      </c>
      <c r="M922" s="19" t="n">
        <v>1</v>
      </c>
      <c r="N922" s="32" t="n">
        <v>0.1</v>
      </c>
      <c r="O922" s="30" t="s">
        <v>48</v>
      </c>
      <c r="P922" s="30" t="s">
        <v>47</v>
      </c>
      <c r="Q922" s="30" t="s">
        <v>78</v>
      </c>
      <c r="R922" s="25" t="n">
        <f aca="false">L922*M922*(1-N922)</f>
        <v>746.1</v>
      </c>
    </row>
    <row r="923" customFormat="false" ht="15" hidden="false" customHeight="false" outlineLevel="0" collapsed="false">
      <c r="A923" s="30" t="s">
        <v>1094</v>
      </c>
      <c r="B923" s="44" t="n">
        <v>45606</v>
      </c>
      <c r="C923" s="19" t="n">
        <f aca="false">YEAR(B923)</f>
        <v>2024</v>
      </c>
      <c r="D923" s="19" t="n">
        <f aca="false">MONTH(B923)</f>
        <v>11</v>
      </c>
      <c r="E923" s="30" t="str">
        <f aca="false">INDEX(Lists!$K$2:$K$13,MATCH(D923,Lists!$J$2:$J$13,0))</f>
        <v>نوفمبر</v>
      </c>
      <c r="F923" s="19" t="str">
        <f aca="false">"Q"&amp;ROUNDUP(D923/3,0)</f>
        <v>Q4</v>
      </c>
      <c r="G923" s="30" t="str">
        <f aca="false">INDEX(Lists!$N$2:$N$8,MATCH(WEEKDAY(B923,2),Lists!$M$2:$M$8,0))</f>
        <v>الأحد</v>
      </c>
      <c r="H923" s="30" t="s">
        <v>46</v>
      </c>
      <c r="I923" s="19" t="str">
        <f aca="false">INDEX(Lists!$B$2:$B$6,MATCH(H923,Lists!$A$2:$A$6,0))</f>
        <v>المنطقة الوسطى</v>
      </c>
      <c r="J923" s="30" t="s">
        <v>109</v>
      </c>
      <c r="K923" s="30" t="s">
        <v>175</v>
      </c>
      <c r="L923" s="31" t="n">
        <v>159</v>
      </c>
      <c r="M923" s="19" t="n">
        <v>1</v>
      </c>
      <c r="N923" s="32" t="n">
        <v>0</v>
      </c>
      <c r="O923" s="30" t="s">
        <v>58</v>
      </c>
      <c r="P923" s="30" t="s">
        <v>47</v>
      </c>
      <c r="Q923" s="30" t="s">
        <v>94</v>
      </c>
      <c r="R923" s="25" t="n">
        <f aca="false">L923*M923*(1-N923)</f>
        <v>159</v>
      </c>
    </row>
    <row r="924" customFormat="false" ht="15" hidden="false" customHeight="false" outlineLevel="0" collapsed="false">
      <c r="A924" s="30" t="s">
        <v>1095</v>
      </c>
      <c r="B924" s="44" t="n">
        <v>45606</v>
      </c>
      <c r="C924" s="19" t="n">
        <f aca="false">YEAR(B924)</f>
        <v>2024</v>
      </c>
      <c r="D924" s="19" t="n">
        <f aca="false">MONTH(B924)</f>
        <v>11</v>
      </c>
      <c r="E924" s="30" t="str">
        <f aca="false">INDEX(Lists!$K$2:$K$13,MATCH(D924,Lists!$J$2:$J$13,0))</f>
        <v>نوفمبر</v>
      </c>
      <c r="F924" s="19" t="str">
        <f aca="false">"Q"&amp;ROUNDUP(D924/3,0)</f>
        <v>Q4</v>
      </c>
      <c r="G924" s="30" t="str">
        <f aca="false">INDEX(Lists!$N$2:$N$8,MATCH(WEEKDAY(B924,2),Lists!$M$2:$M$8,0))</f>
        <v>الأحد</v>
      </c>
      <c r="H924" s="30" t="s">
        <v>50</v>
      </c>
      <c r="I924" s="19" t="str">
        <f aca="false">INDEX(Lists!$B$2:$B$6,MATCH(H924,Lists!$A$2:$A$6,0))</f>
        <v>المنطقة الغربية</v>
      </c>
      <c r="J924" s="30" t="s">
        <v>113</v>
      </c>
      <c r="K924" s="30" t="s">
        <v>95</v>
      </c>
      <c r="L924" s="31" t="n">
        <v>559</v>
      </c>
      <c r="M924" s="19" t="n">
        <v>3</v>
      </c>
      <c r="N924" s="32" t="n">
        <v>0</v>
      </c>
      <c r="O924" s="30" t="s">
        <v>52</v>
      </c>
      <c r="P924" s="30" t="s">
        <v>47</v>
      </c>
      <c r="Q924" s="30" t="s">
        <v>99</v>
      </c>
      <c r="R924" s="25" t="n">
        <f aca="false">L924*M924*(1-N924)</f>
        <v>1677</v>
      </c>
    </row>
    <row r="925" customFormat="false" ht="15" hidden="false" customHeight="false" outlineLevel="0" collapsed="false">
      <c r="A925" s="30" t="s">
        <v>1096</v>
      </c>
      <c r="B925" s="44" t="n">
        <v>45606</v>
      </c>
      <c r="C925" s="19" t="n">
        <f aca="false">YEAR(B925)</f>
        <v>2024</v>
      </c>
      <c r="D925" s="19" t="n">
        <f aca="false">MONTH(B925)</f>
        <v>11</v>
      </c>
      <c r="E925" s="30" t="str">
        <f aca="false">INDEX(Lists!$K$2:$K$13,MATCH(D925,Lists!$J$2:$J$13,0))</f>
        <v>نوفمبر</v>
      </c>
      <c r="F925" s="19" t="str">
        <f aca="false">"Q"&amp;ROUNDUP(D925/3,0)</f>
        <v>Q4</v>
      </c>
      <c r="G925" s="30" t="str">
        <f aca="false">INDEX(Lists!$N$2:$N$8,MATCH(WEEKDAY(B925,2),Lists!$M$2:$M$8,0))</f>
        <v>الأحد</v>
      </c>
      <c r="H925" s="30" t="s">
        <v>50</v>
      </c>
      <c r="I925" s="19" t="str">
        <f aca="false">INDEX(Lists!$B$2:$B$6,MATCH(H925,Lists!$A$2:$A$6,0))</f>
        <v>المنطقة الغربية</v>
      </c>
      <c r="J925" s="30" t="s">
        <v>107</v>
      </c>
      <c r="K925" s="30" t="s">
        <v>272</v>
      </c>
      <c r="L925" s="31" t="n">
        <v>3589</v>
      </c>
      <c r="M925" s="19" t="n">
        <v>2</v>
      </c>
      <c r="N925" s="32" t="n">
        <v>0</v>
      </c>
      <c r="O925" s="30" t="s">
        <v>52</v>
      </c>
      <c r="P925" s="30" t="s">
        <v>47</v>
      </c>
      <c r="Q925" s="30" t="s">
        <v>89</v>
      </c>
      <c r="R925" s="25" t="n">
        <f aca="false">L925*M925*(1-N925)</f>
        <v>7178</v>
      </c>
    </row>
    <row r="926" customFormat="false" ht="15" hidden="false" customHeight="false" outlineLevel="0" collapsed="false">
      <c r="A926" s="30" t="s">
        <v>1097</v>
      </c>
      <c r="B926" s="44" t="n">
        <v>45606</v>
      </c>
      <c r="C926" s="19" t="n">
        <f aca="false">YEAR(B926)</f>
        <v>2024</v>
      </c>
      <c r="D926" s="19" t="n">
        <f aca="false">MONTH(B926)</f>
        <v>11</v>
      </c>
      <c r="E926" s="30" t="str">
        <f aca="false">INDEX(Lists!$K$2:$K$13,MATCH(D926,Lists!$J$2:$J$13,0))</f>
        <v>نوفمبر</v>
      </c>
      <c r="F926" s="19" t="str">
        <f aca="false">"Q"&amp;ROUNDUP(D926/3,0)</f>
        <v>Q4</v>
      </c>
      <c r="G926" s="30" t="str">
        <f aca="false">INDEX(Lists!$N$2:$N$8,MATCH(WEEKDAY(B926,2),Lists!$M$2:$M$8,0))</f>
        <v>الأحد</v>
      </c>
      <c r="H926" s="30" t="s">
        <v>54</v>
      </c>
      <c r="I926" s="19" t="str">
        <f aca="false">INDEX(Lists!$B$2:$B$6,MATCH(H926,Lists!$A$2:$A$6,0))</f>
        <v>المنطقة الشرقية</v>
      </c>
      <c r="J926" s="30" t="s">
        <v>113</v>
      </c>
      <c r="K926" s="30" t="s">
        <v>97</v>
      </c>
      <c r="L926" s="31" t="n">
        <v>659</v>
      </c>
      <c r="M926" s="19" t="n">
        <v>3</v>
      </c>
      <c r="N926" s="32" t="n">
        <v>0</v>
      </c>
      <c r="O926" s="30" t="s">
        <v>52</v>
      </c>
      <c r="P926" s="30" t="s">
        <v>51</v>
      </c>
      <c r="Q926" s="30" t="s">
        <v>86</v>
      </c>
      <c r="R926" s="25" t="n">
        <f aca="false">L926*M926*(1-N926)</f>
        <v>1977</v>
      </c>
    </row>
    <row r="927" customFormat="false" ht="15" hidden="false" customHeight="false" outlineLevel="0" collapsed="false">
      <c r="A927" s="30" t="s">
        <v>1098</v>
      </c>
      <c r="B927" s="44" t="n">
        <v>45606</v>
      </c>
      <c r="C927" s="19" t="n">
        <f aca="false">YEAR(B927)</f>
        <v>2024</v>
      </c>
      <c r="D927" s="19" t="n">
        <f aca="false">MONTH(B927)</f>
        <v>11</v>
      </c>
      <c r="E927" s="30" t="str">
        <f aca="false">INDEX(Lists!$K$2:$K$13,MATCH(D927,Lists!$J$2:$J$13,0))</f>
        <v>نوفمبر</v>
      </c>
      <c r="F927" s="19" t="str">
        <f aca="false">"Q"&amp;ROUNDUP(D927/3,0)</f>
        <v>Q4</v>
      </c>
      <c r="G927" s="30" t="str">
        <f aca="false">INDEX(Lists!$N$2:$N$8,MATCH(WEEKDAY(B927,2),Lists!$M$2:$M$8,0))</f>
        <v>الأحد</v>
      </c>
      <c r="H927" s="30" t="s">
        <v>50</v>
      </c>
      <c r="I927" s="19" t="str">
        <f aca="false">INDEX(Lists!$B$2:$B$6,MATCH(H927,Lists!$A$2:$A$6,0))</f>
        <v>المنطقة الغربية</v>
      </c>
      <c r="J927" s="30" t="s">
        <v>111</v>
      </c>
      <c r="K927" s="30" t="s">
        <v>122</v>
      </c>
      <c r="L927" s="31" t="n">
        <v>579</v>
      </c>
      <c r="M927" s="19" t="n">
        <v>1</v>
      </c>
      <c r="N927" s="32" t="n">
        <v>0</v>
      </c>
      <c r="O927" s="30" t="s">
        <v>55</v>
      </c>
      <c r="P927" s="30" t="s">
        <v>47</v>
      </c>
      <c r="Q927" s="30" t="s">
        <v>96</v>
      </c>
      <c r="R927" s="25" t="n">
        <f aca="false">L927*M927*(1-N927)</f>
        <v>579</v>
      </c>
    </row>
    <row r="928" customFormat="false" ht="15" hidden="false" customHeight="false" outlineLevel="0" collapsed="false">
      <c r="A928" s="30" t="s">
        <v>1099</v>
      </c>
      <c r="B928" s="44" t="n">
        <v>45607</v>
      </c>
      <c r="C928" s="19" t="n">
        <f aca="false">YEAR(B928)</f>
        <v>2024</v>
      </c>
      <c r="D928" s="19" t="n">
        <f aca="false">MONTH(B928)</f>
        <v>11</v>
      </c>
      <c r="E928" s="30" t="str">
        <f aca="false">INDEX(Lists!$K$2:$K$13,MATCH(D928,Lists!$J$2:$J$13,0))</f>
        <v>نوفمبر</v>
      </c>
      <c r="F928" s="19" t="str">
        <f aca="false">"Q"&amp;ROUNDUP(D928/3,0)</f>
        <v>Q4</v>
      </c>
      <c r="G928" s="30" t="str">
        <f aca="false">INDEX(Lists!$N$2:$N$8,MATCH(WEEKDAY(B928,2),Lists!$M$2:$M$8,0))</f>
        <v>الإثنين</v>
      </c>
      <c r="H928" s="30" t="s">
        <v>46</v>
      </c>
      <c r="I928" s="19" t="str">
        <f aca="false">INDEX(Lists!$B$2:$B$6,MATCH(H928,Lists!$A$2:$A$6,0))</f>
        <v>المنطقة الوسطى</v>
      </c>
      <c r="J928" s="30" t="s">
        <v>113</v>
      </c>
      <c r="K928" s="30" t="s">
        <v>100</v>
      </c>
      <c r="L928" s="31" t="n">
        <v>609</v>
      </c>
      <c r="M928" s="19" t="n">
        <v>3</v>
      </c>
      <c r="N928" s="32" t="n">
        <v>0.05</v>
      </c>
      <c r="O928" s="30" t="s">
        <v>58</v>
      </c>
      <c r="P928" s="30" t="s">
        <v>51</v>
      </c>
      <c r="Q928" s="30" t="s">
        <v>76</v>
      </c>
      <c r="R928" s="25" t="n">
        <f aca="false">L928*M928*(1-N928)</f>
        <v>1735.65</v>
      </c>
    </row>
    <row r="929" customFormat="false" ht="15" hidden="false" customHeight="false" outlineLevel="0" collapsed="false">
      <c r="A929" s="30" t="s">
        <v>1100</v>
      </c>
      <c r="B929" s="44" t="n">
        <v>45607</v>
      </c>
      <c r="C929" s="19" t="n">
        <f aca="false">YEAR(B929)</f>
        <v>2024</v>
      </c>
      <c r="D929" s="19" t="n">
        <f aca="false">MONTH(B929)</f>
        <v>11</v>
      </c>
      <c r="E929" s="30" t="str">
        <f aca="false">INDEX(Lists!$K$2:$K$13,MATCH(D929,Lists!$J$2:$J$13,0))</f>
        <v>نوفمبر</v>
      </c>
      <c r="F929" s="19" t="str">
        <f aca="false">"Q"&amp;ROUNDUP(D929/3,0)</f>
        <v>Q4</v>
      </c>
      <c r="G929" s="30" t="str">
        <f aca="false">INDEX(Lists!$N$2:$N$8,MATCH(WEEKDAY(B929,2),Lists!$M$2:$M$8,0))</f>
        <v>الإثنين</v>
      </c>
      <c r="H929" s="30" t="s">
        <v>50</v>
      </c>
      <c r="I929" s="19" t="str">
        <f aca="false">INDEX(Lists!$B$2:$B$6,MATCH(H929,Lists!$A$2:$A$6,0))</f>
        <v>المنطقة الغربية</v>
      </c>
      <c r="J929" s="30" t="s">
        <v>111</v>
      </c>
      <c r="K929" s="30" t="s">
        <v>118</v>
      </c>
      <c r="L929" s="31" t="n">
        <v>209</v>
      </c>
      <c r="M929" s="19" t="n">
        <v>1</v>
      </c>
      <c r="N929" s="32" t="n">
        <v>0</v>
      </c>
      <c r="O929" s="30" t="s">
        <v>52</v>
      </c>
      <c r="P929" s="30" t="s">
        <v>47</v>
      </c>
      <c r="Q929" s="30" t="s">
        <v>81</v>
      </c>
      <c r="R929" s="25" t="n">
        <f aca="false">L929*M929*(1-N929)</f>
        <v>209</v>
      </c>
    </row>
    <row r="930" customFormat="false" ht="15" hidden="false" customHeight="false" outlineLevel="0" collapsed="false">
      <c r="A930" s="30" t="s">
        <v>1101</v>
      </c>
      <c r="B930" s="44" t="n">
        <v>45607</v>
      </c>
      <c r="C930" s="19" t="n">
        <f aca="false">YEAR(B930)</f>
        <v>2024</v>
      </c>
      <c r="D930" s="19" t="n">
        <f aca="false">MONTH(B930)</f>
        <v>11</v>
      </c>
      <c r="E930" s="30" t="str">
        <f aca="false">INDEX(Lists!$K$2:$K$13,MATCH(D930,Lists!$J$2:$J$13,0))</f>
        <v>نوفمبر</v>
      </c>
      <c r="F930" s="19" t="str">
        <f aca="false">"Q"&amp;ROUNDUP(D930/3,0)</f>
        <v>Q4</v>
      </c>
      <c r="G930" s="30" t="str">
        <f aca="false">INDEX(Lists!$N$2:$N$8,MATCH(WEEKDAY(B930,2),Lists!$M$2:$M$8,0))</f>
        <v>الإثنين</v>
      </c>
      <c r="H930" s="30" t="s">
        <v>54</v>
      </c>
      <c r="I930" s="19" t="str">
        <f aca="false">INDEX(Lists!$B$2:$B$6,MATCH(H930,Lists!$A$2:$A$6,0))</f>
        <v>المنطقة الشرقية</v>
      </c>
      <c r="J930" s="30" t="s">
        <v>111</v>
      </c>
      <c r="K930" s="30" t="s">
        <v>108</v>
      </c>
      <c r="L930" s="31" t="n">
        <v>289</v>
      </c>
      <c r="M930" s="19" t="n">
        <v>2</v>
      </c>
      <c r="N930" s="32" t="n">
        <v>0</v>
      </c>
      <c r="O930" s="30" t="s">
        <v>52</v>
      </c>
      <c r="P930" s="30" t="s">
        <v>47</v>
      </c>
      <c r="Q930" s="30" t="s">
        <v>94</v>
      </c>
      <c r="R930" s="25" t="n">
        <f aca="false">L930*M930*(1-N930)</f>
        <v>578</v>
      </c>
    </row>
    <row r="931" customFormat="false" ht="15" hidden="false" customHeight="false" outlineLevel="0" collapsed="false">
      <c r="A931" s="30" t="s">
        <v>1102</v>
      </c>
      <c r="B931" s="44" t="n">
        <v>45607</v>
      </c>
      <c r="C931" s="19" t="n">
        <f aca="false">YEAR(B931)</f>
        <v>2024</v>
      </c>
      <c r="D931" s="19" t="n">
        <f aca="false">MONTH(B931)</f>
        <v>11</v>
      </c>
      <c r="E931" s="30" t="str">
        <f aca="false">INDEX(Lists!$K$2:$K$13,MATCH(D931,Lists!$J$2:$J$13,0))</f>
        <v>نوفمبر</v>
      </c>
      <c r="F931" s="19" t="str">
        <f aca="false">"Q"&amp;ROUNDUP(D931/3,0)</f>
        <v>Q4</v>
      </c>
      <c r="G931" s="30" t="str">
        <f aca="false">INDEX(Lists!$N$2:$N$8,MATCH(WEEKDAY(B931,2),Lists!$M$2:$M$8,0))</f>
        <v>الإثنين</v>
      </c>
      <c r="H931" s="30" t="s">
        <v>50</v>
      </c>
      <c r="I931" s="19" t="str">
        <f aca="false">INDEX(Lists!$B$2:$B$6,MATCH(H931,Lists!$A$2:$A$6,0))</f>
        <v>المنطقة الغربية</v>
      </c>
      <c r="J931" s="30" t="s">
        <v>105</v>
      </c>
      <c r="K931" s="30" t="s">
        <v>85</v>
      </c>
      <c r="L931" s="31" t="n">
        <v>1779</v>
      </c>
      <c r="M931" s="19" t="n">
        <v>1</v>
      </c>
      <c r="N931" s="32" t="n">
        <v>0</v>
      </c>
      <c r="O931" s="30" t="s">
        <v>48</v>
      </c>
      <c r="P931" s="30" t="s">
        <v>47</v>
      </c>
      <c r="Q931" s="30" t="s">
        <v>89</v>
      </c>
      <c r="R931" s="25" t="n">
        <f aca="false">L931*M931*(1-N931)</f>
        <v>1779</v>
      </c>
    </row>
    <row r="932" customFormat="false" ht="15" hidden="false" customHeight="false" outlineLevel="0" collapsed="false">
      <c r="A932" s="30" t="s">
        <v>1103</v>
      </c>
      <c r="B932" s="44" t="n">
        <v>45607</v>
      </c>
      <c r="C932" s="19" t="n">
        <f aca="false">YEAR(B932)</f>
        <v>2024</v>
      </c>
      <c r="D932" s="19" t="n">
        <f aca="false">MONTH(B932)</f>
        <v>11</v>
      </c>
      <c r="E932" s="30" t="str">
        <f aca="false">INDEX(Lists!$K$2:$K$13,MATCH(D932,Lists!$J$2:$J$13,0))</f>
        <v>نوفمبر</v>
      </c>
      <c r="F932" s="19" t="str">
        <f aca="false">"Q"&amp;ROUNDUP(D932/3,0)</f>
        <v>Q4</v>
      </c>
      <c r="G932" s="30" t="str">
        <f aca="false">INDEX(Lists!$N$2:$N$8,MATCH(WEEKDAY(B932,2),Lists!$M$2:$M$8,0))</f>
        <v>الإثنين</v>
      </c>
      <c r="H932" s="30" t="s">
        <v>57</v>
      </c>
      <c r="I932" s="19" t="str">
        <f aca="false">INDEX(Lists!$B$2:$B$6,MATCH(H932,Lists!$A$2:$A$6,0))</f>
        <v>المنطقة الغربية</v>
      </c>
      <c r="J932" s="30" t="s">
        <v>109</v>
      </c>
      <c r="K932" s="30" t="s">
        <v>110</v>
      </c>
      <c r="L932" s="31" t="n">
        <v>39</v>
      </c>
      <c r="M932" s="19" t="n">
        <v>1</v>
      </c>
      <c r="N932" s="32" t="n">
        <v>0</v>
      </c>
      <c r="O932" s="30" t="s">
        <v>48</v>
      </c>
      <c r="P932" s="30" t="s">
        <v>47</v>
      </c>
      <c r="Q932" s="30" t="s">
        <v>81</v>
      </c>
      <c r="R932" s="25" t="n">
        <f aca="false">L932*M932*(1-N932)</f>
        <v>39</v>
      </c>
    </row>
    <row r="933" customFormat="false" ht="15" hidden="false" customHeight="false" outlineLevel="0" collapsed="false">
      <c r="A933" s="30" t="s">
        <v>1104</v>
      </c>
      <c r="B933" s="44" t="n">
        <v>45607</v>
      </c>
      <c r="C933" s="19" t="n">
        <f aca="false">YEAR(B933)</f>
        <v>2024</v>
      </c>
      <c r="D933" s="19" t="n">
        <f aca="false">MONTH(B933)</f>
        <v>11</v>
      </c>
      <c r="E933" s="30" t="str">
        <f aca="false">INDEX(Lists!$K$2:$K$13,MATCH(D933,Lists!$J$2:$J$13,0))</f>
        <v>نوفمبر</v>
      </c>
      <c r="F933" s="19" t="str">
        <f aca="false">"Q"&amp;ROUNDUP(D933/3,0)</f>
        <v>Q4</v>
      </c>
      <c r="G933" s="30" t="str">
        <f aca="false">INDEX(Lists!$N$2:$N$8,MATCH(WEEKDAY(B933,2),Lists!$M$2:$M$8,0))</f>
        <v>الإثنين</v>
      </c>
      <c r="H933" s="30" t="s">
        <v>46</v>
      </c>
      <c r="I933" s="19" t="str">
        <f aca="false">INDEX(Lists!$B$2:$B$6,MATCH(H933,Lists!$A$2:$A$6,0))</f>
        <v>المنطقة الوسطى</v>
      </c>
      <c r="J933" s="30" t="s">
        <v>113</v>
      </c>
      <c r="K933" s="30" t="s">
        <v>95</v>
      </c>
      <c r="L933" s="31" t="n">
        <v>779</v>
      </c>
      <c r="M933" s="19" t="n">
        <v>2</v>
      </c>
      <c r="N933" s="32" t="n">
        <v>0.05</v>
      </c>
      <c r="O933" s="30" t="s">
        <v>55</v>
      </c>
      <c r="P933" s="30" t="s">
        <v>47</v>
      </c>
      <c r="Q933" s="30" t="s">
        <v>99</v>
      </c>
      <c r="R933" s="25" t="n">
        <f aca="false">L933*M933*(1-N933)</f>
        <v>1480.1</v>
      </c>
    </row>
    <row r="934" customFormat="false" ht="15" hidden="false" customHeight="false" outlineLevel="0" collapsed="false">
      <c r="A934" s="30" t="s">
        <v>1105</v>
      </c>
      <c r="B934" s="44" t="n">
        <v>45608</v>
      </c>
      <c r="C934" s="19" t="n">
        <f aca="false">YEAR(B934)</f>
        <v>2024</v>
      </c>
      <c r="D934" s="19" t="n">
        <f aca="false">MONTH(B934)</f>
        <v>11</v>
      </c>
      <c r="E934" s="30" t="str">
        <f aca="false">INDEX(Lists!$K$2:$K$13,MATCH(D934,Lists!$J$2:$J$13,0))</f>
        <v>نوفمبر</v>
      </c>
      <c r="F934" s="19" t="str">
        <f aca="false">"Q"&amp;ROUNDUP(D934/3,0)</f>
        <v>Q4</v>
      </c>
      <c r="G934" s="30" t="str">
        <f aca="false">INDEX(Lists!$N$2:$N$8,MATCH(WEEKDAY(B934,2),Lists!$M$2:$M$8,0))</f>
        <v>الثلاثاء</v>
      </c>
      <c r="H934" s="30" t="s">
        <v>50</v>
      </c>
      <c r="I934" s="19" t="str">
        <f aca="false">INDEX(Lists!$B$2:$B$6,MATCH(H934,Lists!$A$2:$A$6,0))</f>
        <v>المنطقة الغربية</v>
      </c>
      <c r="J934" s="30" t="s">
        <v>105</v>
      </c>
      <c r="K934" s="30" t="s">
        <v>90</v>
      </c>
      <c r="L934" s="31" t="n">
        <v>3079</v>
      </c>
      <c r="M934" s="19" t="n">
        <v>1</v>
      </c>
      <c r="N934" s="32" t="n">
        <v>0</v>
      </c>
      <c r="O934" s="30" t="s">
        <v>48</v>
      </c>
      <c r="P934" s="30" t="s">
        <v>47</v>
      </c>
      <c r="Q934" s="30" t="s">
        <v>89</v>
      </c>
      <c r="R934" s="25" t="n">
        <f aca="false">L934*M934*(1-N934)</f>
        <v>3079</v>
      </c>
    </row>
    <row r="935" customFormat="false" ht="15" hidden="false" customHeight="false" outlineLevel="0" collapsed="false">
      <c r="A935" s="30" t="s">
        <v>1106</v>
      </c>
      <c r="B935" s="44" t="n">
        <v>45608</v>
      </c>
      <c r="C935" s="19" t="n">
        <f aca="false">YEAR(B935)</f>
        <v>2024</v>
      </c>
      <c r="D935" s="19" t="n">
        <f aca="false">MONTH(B935)</f>
        <v>11</v>
      </c>
      <c r="E935" s="30" t="str">
        <f aca="false">INDEX(Lists!$K$2:$K$13,MATCH(D935,Lists!$J$2:$J$13,0))</f>
        <v>نوفمبر</v>
      </c>
      <c r="F935" s="19" t="str">
        <f aca="false">"Q"&amp;ROUNDUP(D935/3,0)</f>
        <v>Q4</v>
      </c>
      <c r="G935" s="30" t="str">
        <f aca="false">INDEX(Lists!$N$2:$N$8,MATCH(WEEKDAY(B935,2),Lists!$M$2:$M$8,0))</f>
        <v>الثلاثاء</v>
      </c>
      <c r="H935" s="30" t="s">
        <v>57</v>
      </c>
      <c r="I935" s="19" t="str">
        <f aca="false">INDEX(Lists!$B$2:$B$6,MATCH(H935,Lists!$A$2:$A$6,0))</f>
        <v>المنطقة الغربية</v>
      </c>
      <c r="J935" s="30" t="s">
        <v>107</v>
      </c>
      <c r="K935" s="30" t="s">
        <v>272</v>
      </c>
      <c r="L935" s="31" t="n">
        <v>3949</v>
      </c>
      <c r="M935" s="19" t="n">
        <v>1</v>
      </c>
      <c r="N935" s="32" t="n">
        <v>0</v>
      </c>
      <c r="O935" s="30" t="s">
        <v>48</v>
      </c>
      <c r="P935" s="30" t="s">
        <v>47</v>
      </c>
      <c r="Q935" s="30" t="s">
        <v>84</v>
      </c>
      <c r="R935" s="25" t="n">
        <f aca="false">L935*M935*(1-N935)</f>
        <v>3949</v>
      </c>
    </row>
    <row r="936" customFormat="false" ht="15" hidden="false" customHeight="false" outlineLevel="0" collapsed="false">
      <c r="A936" s="30" t="s">
        <v>1107</v>
      </c>
      <c r="B936" s="44" t="n">
        <v>45608</v>
      </c>
      <c r="C936" s="19" t="n">
        <f aca="false">YEAR(B936)</f>
        <v>2024</v>
      </c>
      <c r="D936" s="19" t="n">
        <f aca="false">MONTH(B936)</f>
        <v>11</v>
      </c>
      <c r="E936" s="30" t="str">
        <f aca="false">INDEX(Lists!$K$2:$K$13,MATCH(D936,Lists!$J$2:$J$13,0))</f>
        <v>نوفمبر</v>
      </c>
      <c r="F936" s="19" t="str">
        <f aca="false">"Q"&amp;ROUNDUP(D936/3,0)</f>
        <v>Q4</v>
      </c>
      <c r="G936" s="30" t="str">
        <f aca="false">INDEX(Lists!$N$2:$N$8,MATCH(WEEKDAY(B936,2),Lists!$M$2:$M$8,0))</f>
        <v>الثلاثاء</v>
      </c>
      <c r="H936" s="30" t="s">
        <v>46</v>
      </c>
      <c r="I936" s="19" t="str">
        <f aca="false">INDEX(Lists!$B$2:$B$6,MATCH(H936,Lists!$A$2:$A$6,0))</f>
        <v>المنطقة الوسطى</v>
      </c>
      <c r="J936" s="30" t="s">
        <v>109</v>
      </c>
      <c r="K936" s="30" t="s">
        <v>192</v>
      </c>
      <c r="L936" s="31" t="n">
        <v>119</v>
      </c>
      <c r="M936" s="19" t="n">
        <v>2</v>
      </c>
      <c r="N936" s="32" t="n">
        <v>0</v>
      </c>
      <c r="O936" s="30" t="s">
        <v>55</v>
      </c>
      <c r="P936" s="30" t="s">
        <v>51</v>
      </c>
      <c r="Q936" s="30" t="s">
        <v>76</v>
      </c>
      <c r="R936" s="25" t="n">
        <f aca="false">L936*M936*(1-N936)</f>
        <v>238</v>
      </c>
    </row>
    <row r="937" customFormat="false" ht="15" hidden="false" customHeight="false" outlineLevel="0" collapsed="false">
      <c r="A937" s="30" t="s">
        <v>1108</v>
      </c>
      <c r="B937" s="44" t="n">
        <v>45609</v>
      </c>
      <c r="C937" s="19" t="n">
        <f aca="false">YEAR(B937)</f>
        <v>2024</v>
      </c>
      <c r="D937" s="19" t="n">
        <f aca="false">MONTH(B937)</f>
        <v>11</v>
      </c>
      <c r="E937" s="30" t="str">
        <f aca="false">INDEX(Lists!$K$2:$K$13,MATCH(D937,Lists!$J$2:$J$13,0))</f>
        <v>نوفمبر</v>
      </c>
      <c r="F937" s="19" t="str">
        <f aca="false">"Q"&amp;ROUNDUP(D937/3,0)</f>
        <v>Q4</v>
      </c>
      <c r="G937" s="30" t="str">
        <f aca="false">INDEX(Lists!$N$2:$N$8,MATCH(WEEKDAY(B937,2),Lists!$M$2:$M$8,0))</f>
        <v>الأربعاء</v>
      </c>
      <c r="H937" s="30" t="s">
        <v>60</v>
      </c>
      <c r="I937" s="19" t="str">
        <f aca="false">INDEX(Lists!$B$2:$B$6,MATCH(H937,Lists!$A$2:$A$6,0))</f>
        <v>المنطقة الغربية</v>
      </c>
      <c r="J937" s="30" t="s">
        <v>105</v>
      </c>
      <c r="K937" s="30" t="s">
        <v>79</v>
      </c>
      <c r="L937" s="31" t="n">
        <v>3359</v>
      </c>
      <c r="M937" s="19" t="n">
        <v>3</v>
      </c>
      <c r="N937" s="32" t="n">
        <v>0.2</v>
      </c>
      <c r="O937" s="30" t="s">
        <v>52</v>
      </c>
      <c r="P937" s="30" t="s">
        <v>47</v>
      </c>
      <c r="Q937" s="30" t="s">
        <v>84</v>
      </c>
      <c r="R937" s="25" t="n">
        <f aca="false">L937*M937*(1-N937)</f>
        <v>8061.6</v>
      </c>
    </row>
    <row r="938" customFormat="false" ht="15" hidden="false" customHeight="false" outlineLevel="0" collapsed="false">
      <c r="A938" s="30" t="s">
        <v>1109</v>
      </c>
      <c r="B938" s="44" t="n">
        <v>45609</v>
      </c>
      <c r="C938" s="19" t="n">
        <f aca="false">YEAR(B938)</f>
        <v>2024</v>
      </c>
      <c r="D938" s="19" t="n">
        <f aca="false">MONTH(B938)</f>
        <v>11</v>
      </c>
      <c r="E938" s="30" t="str">
        <f aca="false">INDEX(Lists!$K$2:$K$13,MATCH(D938,Lists!$J$2:$J$13,0))</f>
        <v>نوفمبر</v>
      </c>
      <c r="F938" s="19" t="str">
        <f aca="false">"Q"&amp;ROUNDUP(D938/3,0)</f>
        <v>Q4</v>
      </c>
      <c r="G938" s="30" t="str">
        <f aca="false">INDEX(Lists!$N$2:$N$8,MATCH(WEEKDAY(B938,2),Lists!$M$2:$M$8,0))</f>
        <v>الأربعاء</v>
      </c>
      <c r="H938" s="30" t="s">
        <v>60</v>
      </c>
      <c r="I938" s="19" t="str">
        <f aca="false">INDEX(Lists!$B$2:$B$6,MATCH(H938,Lists!$A$2:$A$6,0))</f>
        <v>المنطقة الغربية</v>
      </c>
      <c r="J938" s="30" t="s">
        <v>105</v>
      </c>
      <c r="K938" s="30" t="s">
        <v>85</v>
      </c>
      <c r="L938" s="31" t="n">
        <v>1659</v>
      </c>
      <c r="M938" s="19" t="n">
        <v>8</v>
      </c>
      <c r="N938" s="32" t="n">
        <v>0</v>
      </c>
      <c r="O938" s="30" t="s">
        <v>48</v>
      </c>
      <c r="P938" s="30" t="s">
        <v>51</v>
      </c>
      <c r="Q938" s="30" t="s">
        <v>86</v>
      </c>
      <c r="R938" s="25" t="n">
        <f aca="false">L938*M938*(1-N938)</f>
        <v>13272</v>
      </c>
    </row>
    <row r="939" customFormat="false" ht="15" hidden="false" customHeight="false" outlineLevel="0" collapsed="false">
      <c r="A939" s="30" t="s">
        <v>1110</v>
      </c>
      <c r="B939" s="44" t="n">
        <v>45609</v>
      </c>
      <c r="C939" s="19" t="n">
        <f aca="false">YEAR(B939)</f>
        <v>2024</v>
      </c>
      <c r="D939" s="19" t="n">
        <f aca="false">MONTH(B939)</f>
        <v>11</v>
      </c>
      <c r="E939" s="30" t="str">
        <f aca="false">INDEX(Lists!$K$2:$K$13,MATCH(D939,Lists!$J$2:$J$13,0))</f>
        <v>نوفمبر</v>
      </c>
      <c r="F939" s="19" t="str">
        <f aca="false">"Q"&amp;ROUNDUP(D939/3,0)</f>
        <v>Q4</v>
      </c>
      <c r="G939" s="30" t="str">
        <f aca="false">INDEX(Lists!$N$2:$N$8,MATCH(WEEKDAY(B939,2),Lists!$M$2:$M$8,0))</f>
        <v>الأربعاء</v>
      </c>
      <c r="H939" s="30" t="s">
        <v>50</v>
      </c>
      <c r="I939" s="19" t="str">
        <f aca="false">INDEX(Lists!$B$2:$B$6,MATCH(H939,Lists!$A$2:$A$6,0))</f>
        <v>المنطقة الغربية</v>
      </c>
      <c r="J939" s="30" t="s">
        <v>113</v>
      </c>
      <c r="K939" s="30" t="s">
        <v>97</v>
      </c>
      <c r="L939" s="31" t="n">
        <v>419</v>
      </c>
      <c r="M939" s="19" t="n">
        <v>2</v>
      </c>
      <c r="N939" s="32" t="n">
        <v>0</v>
      </c>
      <c r="O939" s="30" t="s">
        <v>55</v>
      </c>
      <c r="P939" s="30" t="s">
        <v>47</v>
      </c>
      <c r="Q939" s="30" t="s">
        <v>78</v>
      </c>
      <c r="R939" s="25" t="n">
        <f aca="false">L939*M939*(1-N939)</f>
        <v>838</v>
      </c>
    </row>
    <row r="940" customFormat="false" ht="15" hidden="false" customHeight="false" outlineLevel="0" collapsed="false">
      <c r="A940" s="30" t="s">
        <v>1111</v>
      </c>
      <c r="B940" s="44" t="n">
        <v>45610</v>
      </c>
      <c r="C940" s="19" t="n">
        <f aca="false">YEAR(B940)</f>
        <v>2024</v>
      </c>
      <c r="D940" s="19" t="n">
        <f aca="false">MONTH(B940)</f>
        <v>11</v>
      </c>
      <c r="E940" s="30" t="str">
        <f aca="false">INDEX(Lists!$K$2:$K$13,MATCH(D940,Lists!$J$2:$J$13,0))</f>
        <v>نوفمبر</v>
      </c>
      <c r="F940" s="19" t="str">
        <f aca="false">"Q"&amp;ROUNDUP(D940/3,0)</f>
        <v>Q4</v>
      </c>
      <c r="G940" s="30" t="str">
        <f aca="false">INDEX(Lists!$N$2:$N$8,MATCH(WEEKDAY(B940,2),Lists!$M$2:$M$8,0))</f>
        <v>الخميس</v>
      </c>
      <c r="H940" s="30" t="s">
        <v>57</v>
      </c>
      <c r="I940" s="19" t="str">
        <f aca="false">INDEX(Lists!$B$2:$B$6,MATCH(H940,Lists!$A$2:$A$6,0))</f>
        <v>المنطقة الغربية</v>
      </c>
      <c r="J940" s="30" t="s">
        <v>113</v>
      </c>
      <c r="K940" s="30" t="s">
        <v>97</v>
      </c>
      <c r="L940" s="31" t="n">
        <v>509</v>
      </c>
      <c r="M940" s="19" t="n">
        <v>1</v>
      </c>
      <c r="N940" s="32" t="n">
        <v>0</v>
      </c>
      <c r="O940" s="30" t="s">
        <v>52</v>
      </c>
      <c r="P940" s="30" t="s">
        <v>47</v>
      </c>
      <c r="Q940" s="30" t="s">
        <v>94</v>
      </c>
      <c r="R940" s="25" t="n">
        <f aca="false">L940*M940*(1-N940)</f>
        <v>509</v>
      </c>
    </row>
    <row r="941" customFormat="false" ht="15" hidden="false" customHeight="false" outlineLevel="0" collapsed="false">
      <c r="A941" s="30" t="s">
        <v>1112</v>
      </c>
      <c r="B941" s="44" t="n">
        <v>45610</v>
      </c>
      <c r="C941" s="19" t="n">
        <f aca="false">YEAR(B941)</f>
        <v>2024</v>
      </c>
      <c r="D941" s="19" t="n">
        <f aca="false">MONTH(B941)</f>
        <v>11</v>
      </c>
      <c r="E941" s="30" t="str">
        <f aca="false">INDEX(Lists!$K$2:$K$13,MATCH(D941,Lists!$J$2:$J$13,0))</f>
        <v>نوفمبر</v>
      </c>
      <c r="F941" s="19" t="str">
        <f aca="false">"Q"&amp;ROUNDUP(D941/3,0)</f>
        <v>Q4</v>
      </c>
      <c r="G941" s="30" t="str">
        <f aca="false">INDEX(Lists!$N$2:$N$8,MATCH(WEEKDAY(B941,2),Lists!$M$2:$M$8,0))</f>
        <v>الخميس</v>
      </c>
      <c r="H941" s="30" t="s">
        <v>46</v>
      </c>
      <c r="I941" s="19" t="str">
        <f aca="false">INDEX(Lists!$B$2:$B$6,MATCH(H941,Lists!$A$2:$A$6,0))</f>
        <v>المنطقة الوسطى</v>
      </c>
      <c r="J941" s="30" t="s">
        <v>105</v>
      </c>
      <c r="K941" s="30" t="s">
        <v>179</v>
      </c>
      <c r="L941" s="31" t="n">
        <v>3539</v>
      </c>
      <c r="M941" s="19" t="n">
        <v>1</v>
      </c>
      <c r="N941" s="32" t="n">
        <v>0</v>
      </c>
      <c r="O941" s="30" t="s">
        <v>48</v>
      </c>
      <c r="P941" s="30" t="s">
        <v>47</v>
      </c>
      <c r="Q941" s="30" t="s">
        <v>76</v>
      </c>
      <c r="R941" s="25" t="n">
        <f aca="false">L941*M941*(1-N941)</f>
        <v>3539</v>
      </c>
    </row>
    <row r="942" customFormat="false" ht="15" hidden="false" customHeight="false" outlineLevel="0" collapsed="false">
      <c r="A942" s="30" t="s">
        <v>1113</v>
      </c>
      <c r="B942" s="44" t="n">
        <v>45610</v>
      </c>
      <c r="C942" s="19" t="n">
        <f aca="false">YEAR(B942)</f>
        <v>2024</v>
      </c>
      <c r="D942" s="19" t="n">
        <f aca="false">MONTH(B942)</f>
        <v>11</v>
      </c>
      <c r="E942" s="30" t="str">
        <f aca="false">INDEX(Lists!$K$2:$K$13,MATCH(D942,Lists!$J$2:$J$13,0))</f>
        <v>نوفمبر</v>
      </c>
      <c r="F942" s="19" t="str">
        <f aca="false">"Q"&amp;ROUNDUP(D942/3,0)</f>
        <v>Q4</v>
      </c>
      <c r="G942" s="30" t="str">
        <f aca="false">INDEX(Lists!$N$2:$N$8,MATCH(WEEKDAY(B942,2),Lists!$M$2:$M$8,0))</f>
        <v>الخميس</v>
      </c>
      <c r="H942" s="30" t="s">
        <v>50</v>
      </c>
      <c r="I942" s="19" t="str">
        <f aca="false">INDEX(Lists!$B$2:$B$6,MATCH(H942,Lists!$A$2:$A$6,0))</f>
        <v>المنطقة الغربية</v>
      </c>
      <c r="J942" s="30" t="s">
        <v>109</v>
      </c>
      <c r="K942" s="30" t="s">
        <v>93</v>
      </c>
      <c r="L942" s="31" t="n">
        <v>279</v>
      </c>
      <c r="M942" s="19" t="n">
        <v>1</v>
      </c>
      <c r="N942" s="32" t="n">
        <v>0.15</v>
      </c>
      <c r="O942" s="30" t="s">
        <v>52</v>
      </c>
      <c r="P942" s="30" t="s">
        <v>47</v>
      </c>
      <c r="Q942" s="30" t="s">
        <v>94</v>
      </c>
      <c r="R942" s="25" t="n">
        <f aca="false">L942*M942*(1-N942)</f>
        <v>237.15</v>
      </c>
    </row>
    <row r="943" customFormat="false" ht="15" hidden="false" customHeight="false" outlineLevel="0" collapsed="false">
      <c r="A943" s="30" t="s">
        <v>1114</v>
      </c>
      <c r="B943" s="44" t="n">
        <v>45610</v>
      </c>
      <c r="C943" s="19" t="n">
        <f aca="false">YEAR(B943)</f>
        <v>2024</v>
      </c>
      <c r="D943" s="19" t="n">
        <f aca="false">MONTH(B943)</f>
        <v>11</v>
      </c>
      <c r="E943" s="30" t="str">
        <f aca="false">INDEX(Lists!$K$2:$K$13,MATCH(D943,Lists!$J$2:$J$13,0))</f>
        <v>نوفمبر</v>
      </c>
      <c r="F943" s="19" t="str">
        <f aca="false">"Q"&amp;ROUNDUP(D943/3,0)</f>
        <v>Q4</v>
      </c>
      <c r="G943" s="30" t="str">
        <f aca="false">INDEX(Lists!$N$2:$N$8,MATCH(WEEKDAY(B943,2),Lists!$M$2:$M$8,0))</f>
        <v>الخميس</v>
      </c>
      <c r="H943" s="30" t="s">
        <v>50</v>
      </c>
      <c r="I943" s="19" t="str">
        <f aca="false">INDEX(Lists!$B$2:$B$6,MATCH(H943,Lists!$A$2:$A$6,0))</f>
        <v>المنطقة الغربية</v>
      </c>
      <c r="J943" s="30" t="s">
        <v>109</v>
      </c>
      <c r="K943" s="30" t="s">
        <v>175</v>
      </c>
      <c r="L943" s="31" t="n">
        <v>99</v>
      </c>
      <c r="M943" s="19" t="n">
        <v>2</v>
      </c>
      <c r="N943" s="32" t="n">
        <v>0</v>
      </c>
      <c r="O943" s="30" t="s">
        <v>52</v>
      </c>
      <c r="P943" s="30" t="s">
        <v>47</v>
      </c>
      <c r="Q943" s="30" t="s">
        <v>99</v>
      </c>
      <c r="R943" s="25" t="n">
        <f aca="false">L943*M943*(1-N943)</f>
        <v>198</v>
      </c>
    </row>
    <row r="944" customFormat="false" ht="15" hidden="false" customHeight="false" outlineLevel="0" collapsed="false">
      <c r="A944" s="30" t="s">
        <v>1115</v>
      </c>
      <c r="B944" s="44" t="n">
        <v>45611</v>
      </c>
      <c r="C944" s="19" t="n">
        <f aca="false">YEAR(B944)</f>
        <v>2024</v>
      </c>
      <c r="D944" s="19" t="n">
        <f aca="false">MONTH(B944)</f>
        <v>11</v>
      </c>
      <c r="E944" s="30" t="str">
        <f aca="false">INDEX(Lists!$K$2:$K$13,MATCH(D944,Lists!$J$2:$J$13,0))</f>
        <v>نوفمبر</v>
      </c>
      <c r="F944" s="19" t="str">
        <f aca="false">"Q"&amp;ROUNDUP(D944/3,0)</f>
        <v>Q4</v>
      </c>
      <c r="G944" s="30" t="str">
        <f aca="false">INDEX(Lists!$N$2:$N$8,MATCH(WEEKDAY(B944,2),Lists!$M$2:$M$8,0))</f>
        <v>الجمعة</v>
      </c>
      <c r="H944" s="30" t="s">
        <v>50</v>
      </c>
      <c r="I944" s="19" t="str">
        <f aca="false">INDEX(Lists!$B$2:$B$6,MATCH(H944,Lists!$A$2:$A$6,0))</f>
        <v>المنطقة الغربية</v>
      </c>
      <c r="J944" s="30" t="s">
        <v>109</v>
      </c>
      <c r="K944" s="30" t="s">
        <v>175</v>
      </c>
      <c r="L944" s="31" t="n">
        <v>179</v>
      </c>
      <c r="M944" s="19" t="n">
        <v>1</v>
      </c>
      <c r="N944" s="32" t="n">
        <v>0</v>
      </c>
      <c r="O944" s="30" t="s">
        <v>48</v>
      </c>
      <c r="P944" s="30" t="s">
        <v>47</v>
      </c>
      <c r="Q944" s="30" t="s">
        <v>78</v>
      </c>
      <c r="R944" s="25" t="n">
        <f aca="false">L944*M944*(1-N944)</f>
        <v>179</v>
      </c>
    </row>
    <row r="945" customFormat="false" ht="15" hidden="false" customHeight="false" outlineLevel="0" collapsed="false">
      <c r="A945" s="30" t="s">
        <v>1116</v>
      </c>
      <c r="B945" s="44" t="n">
        <v>45611</v>
      </c>
      <c r="C945" s="19" t="n">
        <f aca="false">YEAR(B945)</f>
        <v>2024</v>
      </c>
      <c r="D945" s="19" t="n">
        <f aca="false">MONTH(B945)</f>
        <v>11</v>
      </c>
      <c r="E945" s="30" t="str">
        <f aca="false">INDEX(Lists!$K$2:$K$13,MATCH(D945,Lists!$J$2:$J$13,0))</f>
        <v>نوفمبر</v>
      </c>
      <c r="F945" s="19" t="str">
        <f aca="false">"Q"&amp;ROUNDUP(D945/3,0)</f>
        <v>Q4</v>
      </c>
      <c r="G945" s="30" t="str">
        <f aca="false">INDEX(Lists!$N$2:$N$8,MATCH(WEEKDAY(B945,2),Lists!$M$2:$M$8,0))</f>
        <v>الجمعة</v>
      </c>
      <c r="H945" s="30" t="s">
        <v>50</v>
      </c>
      <c r="I945" s="19" t="str">
        <f aca="false">INDEX(Lists!$B$2:$B$6,MATCH(H945,Lists!$A$2:$A$6,0))</f>
        <v>المنطقة الغربية</v>
      </c>
      <c r="J945" s="30" t="s">
        <v>113</v>
      </c>
      <c r="K945" s="30" t="s">
        <v>121</v>
      </c>
      <c r="L945" s="31" t="n">
        <v>139</v>
      </c>
      <c r="M945" s="19" t="n">
        <v>1</v>
      </c>
      <c r="N945" s="32" t="n">
        <v>0</v>
      </c>
      <c r="O945" s="30" t="s">
        <v>58</v>
      </c>
      <c r="P945" s="30" t="s">
        <v>47</v>
      </c>
      <c r="Q945" s="30" t="s">
        <v>86</v>
      </c>
      <c r="R945" s="25" t="n">
        <f aca="false">L945*M945*(1-N945)</f>
        <v>139</v>
      </c>
    </row>
    <row r="946" customFormat="false" ht="15" hidden="false" customHeight="false" outlineLevel="0" collapsed="false">
      <c r="A946" s="30" t="s">
        <v>1117</v>
      </c>
      <c r="B946" s="44" t="n">
        <v>45611</v>
      </c>
      <c r="C946" s="19" t="n">
        <f aca="false">YEAR(B946)</f>
        <v>2024</v>
      </c>
      <c r="D946" s="19" t="n">
        <f aca="false">MONTH(B946)</f>
        <v>11</v>
      </c>
      <c r="E946" s="30" t="str">
        <f aca="false">INDEX(Lists!$K$2:$K$13,MATCH(D946,Lists!$J$2:$J$13,0))</f>
        <v>نوفمبر</v>
      </c>
      <c r="F946" s="19" t="str">
        <f aca="false">"Q"&amp;ROUNDUP(D946/3,0)</f>
        <v>Q4</v>
      </c>
      <c r="G946" s="30" t="str">
        <f aca="false">INDEX(Lists!$N$2:$N$8,MATCH(WEEKDAY(B946,2),Lists!$M$2:$M$8,0))</f>
        <v>الجمعة</v>
      </c>
      <c r="H946" s="30" t="s">
        <v>46</v>
      </c>
      <c r="I946" s="19" t="str">
        <f aca="false">INDEX(Lists!$B$2:$B$6,MATCH(H946,Lists!$A$2:$A$6,0))</f>
        <v>المنطقة الوسطى</v>
      </c>
      <c r="J946" s="30" t="s">
        <v>107</v>
      </c>
      <c r="K946" s="30" t="s">
        <v>115</v>
      </c>
      <c r="L946" s="31" t="n">
        <v>4479</v>
      </c>
      <c r="M946" s="19" t="n">
        <v>1</v>
      </c>
      <c r="N946" s="32" t="n">
        <v>0.15</v>
      </c>
      <c r="O946" s="30" t="s">
        <v>48</v>
      </c>
      <c r="P946" s="30" t="s">
        <v>47</v>
      </c>
      <c r="Q946" s="30" t="s">
        <v>84</v>
      </c>
      <c r="R946" s="25" t="n">
        <f aca="false">L946*M946*(1-N946)</f>
        <v>3807.15</v>
      </c>
    </row>
    <row r="947" customFormat="false" ht="15" hidden="false" customHeight="false" outlineLevel="0" collapsed="false">
      <c r="A947" s="30" t="s">
        <v>1118</v>
      </c>
      <c r="B947" s="44" t="n">
        <v>45611</v>
      </c>
      <c r="C947" s="19" t="n">
        <f aca="false">YEAR(B947)</f>
        <v>2024</v>
      </c>
      <c r="D947" s="19" t="n">
        <f aca="false">MONTH(B947)</f>
        <v>11</v>
      </c>
      <c r="E947" s="30" t="str">
        <f aca="false">INDEX(Lists!$K$2:$K$13,MATCH(D947,Lists!$J$2:$J$13,0))</f>
        <v>نوفمبر</v>
      </c>
      <c r="F947" s="19" t="str">
        <f aca="false">"Q"&amp;ROUNDUP(D947/3,0)</f>
        <v>Q4</v>
      </c>
      <c r="G947" s="30" t="str">
        <f aca="false">INDEX(Lists!$N$2:$N$8,MATCH(WEEKDAY(B947,2),Lists!$M$2:$M$8,0))</f>
        <v>الجمعة</v>
      </c>
      <c r="H947" s="30" t="s">
        <v>50</v>
      </c>
      <c r="I947" s="19" t="str">
        <f aca="false">INDEX(Lists!$B$2:$B$6,MATCH(H947,Lists!$A$2:$A$6,0))</f>
        <v>المنطقة الغربية</v>
      </c>
      <c r="J947" s="30" t="s">
        <v>109</v>
      </c>
      <c r="K947" s="30" t="s">
        <v>110</v>
      </c>
      <c r="L947" s="31" t="n">
        <v>219</v>
      </c>
      <c r="M947" s="19" t="n">
        <v>1</v>
      </c>
      <c r="N947" s="32" t="n">
        <v>0</v>
      </c>
      <c r="O947" s="30" t="s">
        <v>48</v>
      </c>
      <c r="P947" s="30" t="s">
        <v>47</v>
      </c>
      <c r="Q947" s="30" t="s">
        <v>86</v>
      </c>
      <c r="R947" s="25" t="n">
        <f aca="false">L947*M947*(1-N947)</f>
        <v>219</v>
      </c>
    </row>
    <row r="948" customFormat="false" ht="15" hidden="false" customHeight="false" outlineLevel="0" collapsed="false">
      <c r="A948" s="30" t="s">
        <v>1119</v>
      </c>
      <c r="B948" s="44" t="n">
        <v>45612</v>
      </c>
      <c r="C948" s="19" t="n">
        <f aca="false">YEAR(B948)</f>
        <v>2024</v>
      </c>
      <c r="D948" s="19" t="n">
        <f aca="false">MONTH(B948)</f>
        <v>11</v>
      </c>
      <c r="E948" s="30" t="str">
        <f aca="false">INDEX(Lists!$K$2:$K$13,MATCH(D948,Lists!$J$2:$J$13,0))</f>
        <v>نوفمبر</v>
      </c>
      <c r="F948" s="19" t="str">
        <f aca="false">"Q"&amp;ROUNDUP(D948/3,0)</f>
        <v>Q4</v>
      </c>
      <c r="G948" s="30" t="str">
        <f aca="false">INDEX(Lists!$N$2:$N$8,MATCH(WEEKDAY(B948,2),Lists!$M$2:$M$8,0))</f>
        <v>السبت</v>
      </c>
      <c r="H948" s="30" t="s">
        <v>57</v>
      </c>
      <c r="I948" s="19" t="str">
        <f aca="false">INDEX(Lists!$B$2:$B$6,MATCH(H948,Lists!$A$2:$A$6,0))</f>
        <v>المنطقة الغربية</v>
      </c>
      <c r="J948" s="30" t="s">
        <v>105</v>
      </c>
      <c r="K948" s="30" t="s">
        <v>179</v>
      </c>
      <c r="L948" s="31" t="n">
        <v>4489</v>
      </c>
      <c r="M948" s="19" t="n">
        <v>2</v>
      </c>
      <c r="N948" s="32" t="n">
        <v>0.05</v>
      </c>
      <c r="O948" s="30" t="s">
        <v>55</v>
      </c>
      <c r="P948" s="30" t="s">
        <v>47</v>
      </c>
      <c r="Q948" s="30" t="s">
        <v>86</v>
      </c>
      <c r="R948" s="25" t="n">
        <f aca="false">L948*M948*(1-N948)</f>
        <v>8529.1</v>
      </c>
    </row>
    <row r="949" customFormat="false" ht="15" hidden="false" customHeight="false" outlineLevel="0" collapsed="false">
      <c r="A949" s="30" t="s">
        <v>1120</v>
      </c>
      <c r="B949" s="44" t="n">
        <v>45612</v>
      </c>
      <c r="C949" s="19" t="n">
        <f aca="false">YEAR(B949)</f>
        <v>2024</v>
      </c>
      <c r="D949" s="19" t="n">
        <f aca="false">MONTH(B949)</f>
        <v>11</v>
      </c>
      <c r="E949" s="30" t="str">
        <f aca="false">INDEX(Lists!$K$2:$K$13,MATCH(D949,Lists!$J$2:$J$13,0))</f>
        <v>نوفمبر</v>
      </c>
      <c r="F949" s="19" t="str">
        <f aca="false">"Q"&amp;ROUNDUP(D949/3,0)</f>
        <v>Q4</v>
      </c>
      <c r="G949" s="30" t="str">
        <f aca="false">INDEX(Lists!$N$2:$N$8,MATCH(WEEKDAY(B949,2),Lists!$M$2:$M$8,0))</f>
        <v>السبت</v>
      </c>
      <c r="H949" s="30" t="s">
        <v>50</v>
      </c>
      <c r="I949" s="19" t="str">
        <f aca="false">INDEX(Lists!$B$2:$B$6,MATCH(H949,Lists!$A$2:$A$6,0))</f>
        <v>المنطقة الغربية</v>
      </c>
      <c r="J949" s="30" t="s">
        <v>107</v>
      </c>
      <c r="K949" s="30" t="s">
        <v>184</v>
      </c>
      <c r="L949" s="31" t="n">
        <v>6309</v>
      </c>
      <c r="M949" s="19" t="n">
        <v>1</v>
      </c>
      <c r="N949" s="32" t="n">
        <v>0.15</v>
      </c>
      <c r="O949" s="30" t="s">
        <v>55</v>
      </c>
      <c r="P949" s="30" t="s">
        <v>47</v>
      </c>
      <c r="Q949" s="30" t="s">
        <v>99</v>
      </c>
      <c r="R949" s="25" t="n">
        <f aca="false">L949*M949*(1-N949)</f>
        <v>5362.65</v>
      </c>
    </row>
    <row r="950" customFormat="false" ht="15" hidden="false" customHeight="false" outlineLevel="0" collapsed="false">
      <c r="A950" s="30" t="s">
        <v>1121</v>
      </c>
      <c r="B950" s="44" t="n">
        <v>45612</v>
      </c>
      <c r="C950" s="19" t="n">
        <f aca="false">YEAR(B950)</f>
        <v>2024</v>
      </c>
      <c r="D950" s="19" t="n">
        <f aca="false">MONTH(B950)</f>
        <v>11</v>
      </c>
      <c r="E950" s="30" t="str">
        <f aca="false">INDEX(Lists!$K$2:$K$13,MATCH(D950,Lists!$J$2:$J$13,0))</f>
        <v>نوفمبر</v>
      </c>
      <c r="F950" s="19" t="str">
        <f aca="false">"Q"&amp;ROUNDUP(D950/3,0)</f>
        <v>Q4</v>
      </c>
      <c r="G950" s="30" t="str">
        <f aca="false">INDEX(Lists!$N$2:$N$8,MATCH(WEEKDAY(B950,2),Lists!$M$2:$M$8,0))</f>
        <v>السبت</v>
      </c>
      <c r="H950" s="30" t="s">
        <v>50</v>
      </c>
      <c r="I950" s="19" t="str">
        <f aca="false">INDEX(Lists!$B$2:$B$6,MATCH(H950,Lists!$A$2:$A$6,0))</f>
        <v>المنطقة الغربية</v>
      </c>
      <c r="J950" s="30" t="s">
        <v>107</v>
      </c>
      <c r="K950" s="30" t="s">
        <v>115</v>
      </c>
      <c r="L950" s="31" t="n">
        <v>4909</v>
      </c>
      <c r="M950" s="19" t="n">
        <v>2</v>
      </c>
      <c r="N950" s="32" t="n">
        <v>0.05</v>
      </c>
      <c r="O950" s="30" t="s">
        <v>48</v>
      </c>
      <c r="P950" s="30" t="s">
        <v>47</v>
      </c>
      <c r="Q950" s="30" t="s">
        <v>84</v>
      </c>
      <c r="R950" s="25" t="n">
        <f aca="false">L950*M950*(1-N950)</f>
        <v>9327.1</v>
      </c>
    </row>
    <row r="951" customFormat="false" ht="15" hidden="false" customHeight="false" outlineLevel="0" collapsed="false">
      <c r="A951" s="30" t="s">
        <v>1122</v>
      </c>
      <c r="B951" s="44" t="n">
        <v>45612</v>
      </c>
      <c r="C951" s="19" t="n">
        <f aca="false">YEAR(B951)</f>
        <v>2024</v>
      </c>
      <c r="D951" s="19" t="n">
        <f aca="false">MONTH(B951)</f>
        <v>11</v>
      </c>
      <c r="E951" s="30" t="str">
        <f aca="false">INDEX(Lists!$K$2:$K$13,MATCH(D951,Lists!$J$2:$J$13,0))</f>
        <v>نوفمبر</v>
      </c>
      <c r="F951" s="19" t="str">
        <f aca="false">"Q"&amp;ROUNDUP(D951/3,0)</f>
        <v>Q4</v>
      </c>
      <c r="G951" s="30" t="str">
        <f aca="false">INDEX(Lists!$N$2:$N$8,MATCH(WEEKDAY(B951,2),Lists!$M$2:$M$8,0))</f>
        <v>السبت</v>
      </c>
      <c r="H951" s="30" t="s">
        <v>50</v>
      </c>
      <c r="I951" s="19" t="str">
        <f aca="false">INDEX(Lists!$B$2:$B$6,MATCH(H951,Lists!$A$2:$A$6,0))</f>
        <v>المنطقة الغربية</v>
      </c>
      <c r="J951" s="30" t="s">
        <v>109</v>
      </c>
      <c r="K951" s="30" t="s">
        <v>93</v>
      </c>
      <c r="L951" s="31" t="n">
        <v>99</v>
      </c>
      <c r="M951" s="19" t="n">
        <v>1</v>
      </c>
      <c r="N951" s="32" t="n">
        <v>0.1</v>
      </c>
      <c r="O951" s="30" t="s">
        <v>55</v>
      </c>
      <c r="P951" s="30" t="s">
        <v>47</v>
      </c>
      <c r="Q951" s="30" t="s">
        <v>84</v>
      </c>
      <c r="R951" s="25" t="n">
        <f aca="false">L951*M951*(1-N951)</f>
        <v>89.1</v>
      </c>
    </row>
    <row r="952" customFormat="false" ht="15" hidden="false" customHeight="false" outlineLevel="0" collapsed="false">
      <c r="A952" s="30" t="s">
        <v>1123</v>
      </c>
      <c r="B952" s="44" t="n">
        <v>45612</v>
      </c>
      <c r="C952" s="19" t="n">
        <f aca="false">YEAR(B952)</f>
        <v>2024</v>
      </c>
      <c r="D952" s="19" t="n">
        <f aca="false">MONTH(B952)</f>
        <v>11</v>
      </c>
      <c r="E952" s="30" t="str">
        <f aca="false">INDEX(Lists!$K$2:$K$13,MATCH(D952,Lists!$J$2:$J$13,0))</f>
        <v>نوفمبر</v>
      </c>
      <c r="F952" s="19" t="str">
        <f aca="false">"Q"&amp;ROUNDUP(D952/3,0)</f>
        <v>Q4</v>
      </c>
      <c r="G952" s="30" t="str">
        <f aca="false">INDEX(Lists!$N$2:$N$8,MATCH(WEEKDAY(B952,2),Lists!$M$2:$M$8,0))</f>
        <v>السبت</v>
      </c>
      <c r="H952" s="30" t="s">
        <v>60</v>
      </c>
      <c r="I952" s="19" t="str">
        <f aca="false">INDEX(Lists!$B$2:$B$6,MATCH(H952,Lists!$A$2:$A$6,0))</f>
        <v>المنطقة الغربية</v>
      </c>
      <c r="J952" s="30" t="s">
        <v>111</v>
      </c>
      <c r="K952" s="30" t="s">
        <v>118</v>
      </c>
      <c r="L952" s="31" t="n">
        <v>519</v>
      </c>
      <c r="M952" s="19" t="n">
        <v>3</v>
      </c>
      <c r="N952" s="32" t="n">
        <v>0</v>
      </c>
      <c r="O952" s="30" t="s">
        <v>58</v>
      </c>
      <c r="P952" s="30" t="s">
        <v>47</v>
      </c>
      <c r="Q952" s="30" t="s">
        <v>81</v>
      </c>
      <c r="R952" s="25" t="n">
        <f aca="false">L952*M952*(1-N952)</f>
        <v>1557</v>
      </c>
    </row>
    <row r="953" customFormat="false" ht="15" hidden="false" customHeight="false" outlineLevel="0" collapsed="false">
      <c r="A953" s="30" t="s">
        <v>1124</v>
      </c>
      <c r="B953" s="44" t="n">
        <v>45612</v>
      </c>
      <c r="C953" s="19" t="n">
        <f aca="false">YEAR(B953)</f>
        <v>2024</v>
      </c>
      <c r="D953" s="19" t="n">
        <f aca="false">MONTH(B953)</f>
        <v>11</v>
      </c>
      <c r="E953" s="30" t="str">
        <f aca="false">INDEX(Lists!$K$2:$K$13,MATCH(D953,Lists!$J$2:$J$13,0))</f>
        <v>نوفمبر</v>
      </c>
      <c r="F953" s="19" t="str">
        <f aca="false">"Q"&amp;ROUNDUP(D953/3,0)</f>
        <v>Q4</v>
      </c>
      <c r="G953" s="30" t="str">
        <f aca="false">INDEX(Lists!$N$2:$N$8,MATCH(WEEKDAY(B953,2),Lists!$M$2:$M$8,0))</f>
        <v>السبت</v>
      </c>
      <c r="H953" s="30" t="s">
        <v>54</v>
      </c>
      <c r="I953" s="19" t="str">
        <f aca="false">INDEX(Lists!$B$2:$B$6,MATCH(H953,Lists!$A$2:$A$6,0))</f>
        <v>المنطقة الشرقية</v>
      </c>
      <c r="J953" s="30" t="s">
        <v>113</v>
      </c>
      <c r="K953" s="30" t="s">
        <v>121</v>
      </c>
      <c r="L953" s="31" t="n">
        <v>189</v>
      </c>
      <c r="M953" s="19" t="n">
        <v>1</v>
      </c>
      <c r="N953" s="32" t="n">
        <v>0.1</v>
      </c>
      <c r="O953" s="30" t="s">
        <v>48</v>
      </c>
      <c r="P953" s="30" t="s">
        <v>47</v>
      </c>
      <c r="Q953" s="30" t="s">
        <v>86</v>
      </c>
      <c r="R953" s="25" t="n">
        <f aca="false">L953*M953*(1-N953)</f>
        <v>170.1</v>
      </c>
    </row>
    <row r="954" customFormat="false" ht="15" hidden="false" customHeight="false" outlineLevel="0" collapsed="false">
      <c r="A954" s="30" t="s">
        <v>1125</v>
      </c>
      <c r="B954" s="44" t="n">
        <v>45613</v>
      </c>
      <c r="C954" s="19" t="n">
        <f aca="false">YEAR(B954)</f>
        <v>2024</v>
      </c>
      <c r="D954" s="19" t="n">
        <f aca="false">MONTH(B954)</f>
        <v>11</v>
      </c>
      <c r="E954" s="30" t="str">
        <f aca="false">INDEX(Lists!$K$2:$K$13,MATCH(D954,Lists!$J$2:$J$13,0))</f>
        <v>نوفمبر</v>
      </c>
      <c r="F954" s="19" t="str">
        <f aca="false">"Q"&amp;ROUNDUP(D954/3,0)</f>
        <v>Q4</v>
      </c>
      <c r="G954" s="30" t="str">
        <f aca="false">INDEX(Lists!$N$2:$N$8,MATCH(WEEKDAY(B954,2),Lists!$M$2:$M$8,0))</f>
        <v>الأحد</v>
      </c>
      <c r="H954" s="30" t="s">
        <v>46</v>
      </c>
      <c r="I954" s="19" t="str">
        <f aca="false">INDEX(Lists!$B$2:$B$6,MATCH(H954,Lists!$A$2:$A$6,0))</f>
        <v>المنطقة الوسطى</v>
      </c>
      <c r="J954" s="30" t="s">
        <v>109</v>
      </c>
      <c r="K954" s="30" t="s">
        <v>175</v>
      </c>
      <c r="L954" s="31" t="n">
        <v>199</v>
      </c>
      <c r="M954" s="19" t="n">
        <v>1</v>
      </c>
      <c r="N954" s="32" t="n">
        <v>0</v>
      </c>
      <c r="O954" s="30" t="s">
        <v>52</v>
      </c>
      <c r="P954" s="30" t="s">
        <v>51</v>
      </c>
      <c r="Q954" s="30" t="s">
        <v>81</v>
      </c>
      <c r="R954" s="25" t="n">
        <f aca="false">L954*M954*(1-N954)</f>
        <v>199</v>
      </c>
    </row>
    <row r="955" customFormat="false" ht="15" hidden="false" customHeight="false" outlineLevel="0" collapsed="false">
      <c r="A955" s="30" t="s">
        <v>1126</v>
      </c>
      <c r="B955" s="44" t="n">
        <v>45613</v>
      </c>
      <c r="C955" s="19" t="n">
        <f aca="false">YEAR(B955)</f>
        <v>2024</v>
      </c>
      <c r="D955" s="19" t="n">
        <f aca="false">MONTH(B955)</f>
        <v>11</v>
      </c>
      <c r="E955" s="30" t="str">
        <f aca="false">INDEX(Lists!$K$2:$K$13,MATCH(D955,Lists!$J$2:$J$13,0))</f>
        <v>نوفمبر</v>
      </c>
      <c r="F955" s="19" t="str">
        <f aca="false">"Q"&amp;ROUNDUP(D955/3,0)</f>
        <v>Q4</v>
      </c>
      <c r="G955" s="30" t="str">
        <f aca="false">INDEX(Lists!$N$2:$N$8,MATCH(WEEKDAY(B955,2),Lists!$M$2:$M$8,0))</f>
        <v>الأحد</v>
      </c>
      <c r="H955" s="30" t="s">
        <v>50</v>
      </c>
      <c r="I955" s="19" t="str">
        <f aca="false">INDEX(Lists!$B$2:$B$6,MATCH(H955,Lists!$A$2:$A$6,0))</f>
        <v>المنطقة الغربية</v>
      </c>
      <c r="J955" s="30" t="s">
        <v>105</v>
      </c>
      <c r="K955" s="30" t="s">
        <v>90</v>
      </c>
      <c r="L955" s="31" t="n">
        <v>3889</v>
      </c>
      <c r="M955" s="19" t="n">
        <v>1</v>
      </c>
      <c r="N955" s="32" t="n">
        <v>0.1</v>
      </c>
      <c r="O955" s="30" t="s">
        <v>52</v>
      </c>
      <c r="P955" s="30" t="s">
        <v>47</v>
      </c>
      <c r="Q955" s="30" t="s">
        <v>96</v>
      </c>
      <c r="R955" s="25" t="n">
        <f aca="false">L955*M955*(1-N955)</f>
        <v>3500.1</v>
      </c>
    </row>
    <row r="956" customFormat="false" ht="15" hidden="false" customHeight="false" outlineLevel="0" collapsed="false">
      <c r="A956" s="30" t="s">
        <v>1127</v>
      </c>
      <c r="B956" s="44" t="n">
        <v>45613</v>
      </c>
      <c r="C956" s="19" t="n">
        <f aca="false">YEAR(B956)</f>
        <v>2024</v>
      </c>
      <c r="D956" s="19" t="n">
        <f aca="false">MONTH(B956)</f>
        <v>11</v>
      </c>
      <c r="E956" s="30" t="str">
        <f aca="false">INDEX(Lists!$K$2:$K$13,MATCH(D956,Lists!$J$2:$J$13,0))</f>
        <v>نوفمبر</v>
      </c>
      <c r="F956" s="19" t="str">
        <f aca="false">"Q"&amp;ROUNDUP(D956/3,0)</f>
        <v>Q4</v>
      </c>
      <c r="G956" s="30" t="str">
        <f aca="false">INDEX(Lists!$N$2:$N$8,MATCH(WEEKDAY(B956,2),Lists!$M$2:$M$8,0))</f>
        <v>الأحد</v>
      </c>
      <c r="H956" s="30" t="s">
        <v>50</v>
      </c>
      <c r="I956" s="19" t="str">
        <f aca="false">INDEX(Lists!$B$2:$B$6,MATCH(H956,Lists!$A$2:$A$6,0))</f>
        <v>المنطقة الغربية</v>
      </c>
      <c r="J956" s="30" t="s">
        <v>109</v>
      </c>
      <c r="K956" s="30" t="s">
        <v>171</v>
      </c>
      <c r="L956" s="31" t="n">
        <v>189</v>
      </c>
      <c r="M956" s="19" t="n">
        <v>3</v>
      </c>
      <c r="N956" s="32" t="n">
        <v>0</v>
      </c>
      <c r="O956" s="30" t="s">
        <v>52</v>
      </c>
      <c r="P956" s="30" t="s">
        <v>47</v>
      </c>
      <c r="Q956" s="30" t="s">
        <v>76</v>
      </c>
      <c r="R956" s="25" t="n">
        <f aca="false">L956*M956*(1-N956)</f>
        <v>567</v>
      </c>
    </row>
    <row r="957" customFormat="false" ht="15" hidden="false" customHeight="false" outlineLevel="0" collapsed="false">
      <c r="A957" s="30" t="s">
        <v>1128</v>
      </c>
      <c r="B957" s="44" t="n">
        <v>45613</v>
      </c>
      <c r="C957" s="19" t="n">
        <f aca="false">YEAR(B957)</f>
        <v>2024</v>
      </c>
      <c r="D957" s="19" t="n">
        <f aca="false">MONTH(B957)</f>
        <v>11</v>
      </c>
      <c r="E957" s="30" t="str">
        <f aca="false">INDEX(Lists!$K$2:$K$13,MATCH(D957,Lists!$J$2:$J$13,0))</f>
        <v>نوفمبر</v>
      </c>
      <c r="F957" s="19" t="str">
        <f aca="false">"Q"&amp;ROUNDUP(D957/3,0)</f>
        <v>Q4</v>
      </c>
      <c r="G957" s="30" t="str">
        <f aca="false">INDEX(Lists!$N$2:$N$8,MATCH(WEEKDAY(B957,2),Lists!$M$2:$M$8,0))</f>
        <v>الأحد</v>
      </c>
      <c r="H957" s="30" t="s">
        <v>46</v>
      </c>
      <c r="I957" s="19" t="str">
        <f aca="false">INDEX(Lists!$B$2:$B$6,MATCH(H957,Lists!$A$2:$A$6,0))</f>
        <v>المنطقة الوسطى</v>
      </c>
      <c r="J957" s="30" t="s">
        <v>113</v>
      </c>
      <c r="K957" s="30" t="s">
        <v>97</v>
      </c>
      <c r="L957" s="31" t="n">
        <v>719</v>
      </c>
      <c r="M957" s="19" t="n">
        <v>3</v>
      </c>
      <c r="N957" s="32" t="n">
        <v>0</v>
      </c>
      <c r="O957" s="30" t="s">
        <v>48</v>
      </c>
      <c r="P957" s="30" t="s">
        <v>51</v>
      </c>
      <c r="Q957" s="30" t="s">
        <v>86</v>
      </c>
      <c r="R957" s="25" t="n">
        <f aca="false">L957*M957*(1-N957)</f>
        <v>2157</v>
      </c>
    </row>
    <row r="958" customFormat="false" ht="15" hidden="false" customHeight="false" outlineLevel="0" collapsed="false">
      <c r="A958" s="30" t="s">
        <v>1129</v>
      </c>
      <c r="B958" s="44" t="n">
        <v>45614</v>
      </c>
      <c r="C958" s="19" t="n">
        <f aca="false">YEAR(B958)</f>
        <v>2024</v>
      </c>
      <c r="D958" s="19" t="n">
        <f aca="false">MONTH(B958)</f>
        <v>11</v>
      </c>
      <c r="E958" s="30" t="str">
        <f aca="false">INDEX(Lists!$K$2:$K$13,MATCH(D958,Lists!$J$2:$J$13,0))</f>
        <v>نوفمبر</v>
      </c>
      <c r="F958" s="19" t="str">
        <f aca="false">"Q"&amp;ROUNDUP(D958/3,0)</f>
        <v>Q4</v>
      </c>
      <c r="G958" s="30" t="str">
        <f aca="false">INDEX(Lists!$N$2:$N$8,MATCH(WEEKDAY(B958,2),Lists!$M$2:$M$8,0))</f>
        <v>الإثنين</v>
      </c>
      <c r="H958" s="30" t="s">
        <v>46</v>
      </c>
      <c r="I958" s="19" t="str">
        <f aca="false">INDEX(Lists!$B$2:$B$6,MATCH(H958,Lists!$A$2:$A$6,0))</f>
        <v>المنطقة الوسطى</v>
      </c>
      <c r="J958" s="30" t="s">
        <v>113</v>
      </c>
      <c r="K958" s="30" t="s">
        <v>95</v>
      </c>
      <c r="L958" s="31" t="n">
        <v>159</v>
      </c>
      <c r="M958" s="19" t="n">
        <v>3</v>
      </c>
      <c r="N958" s="32" t="n">
        <v>0.15</v>
      </c>
      <c r="O958" s="30" t="s">
        <v>55</v>
      </c>
      <c r="P958" s="30" t="s">
        <v>51</v>
      </c>
      <c r="Q958" s="30" t="s">
        <v>92</v>
      </c>
      <c r="R958" s="25" t="n">
        <f aca="false">L958*M958*(1-N958)</f>
        <v>405.45</v>
      </c>
    </row>
    <row r="959" customFormat="false" ht="15" hidden="false" customHeight="false" outlineLevel="0" collapsed="false">
      <c r="A959" s="30" t="s">
        <v>1130</v>
      </c>
      <c r="B959" s="44" t="n">
        <v>45614</v>
      </c>
      <c r="C959" s="19" t="n">
        <f aca="false">YEAR(B959)</f>
        <v>2024</v>
      </c>
      <c r="D959" s="19" t="n">
        <f aca="false">MONTH(B959)</f>
        <v>11</v>
      </c>
      <c r="E959" s="30" t="str">
        <f aca="false">INDEX(Lists!$K$2:$K$13,MATCH(D959,Lists!$J$2:$J$13,0))</f>
        <v>نوفمبر</v>
      </c>
      <c r="F959" s="19" t="str">
        <f aca="false">"Q"&amp;ROUNDUP(D959/3,0)</f>
        <v>Q4</v>
      </c>
      <c r="G959" s="30" t="str">
        <f aca="false">INDEX(Lists!$N$2:$N$8,MATCH(WEEKDAY(B959,2),Lists!$M$2:$M$8,0))</f>
        <v>الإثنين</v>
      </c>
      <c r="H959" s="30" t="s">
        <v>57</v>
      </c>
      <c r="I959" s="19" t="str">
        <f aca="false">INDEX(Lists!$B$2:$B$6,MATCH(H959,Lists!$A$2:$A$6,0))</f>
        <v>المنطقة الغربية</v>
      </c>
      <c r="J959" s="30" t="s">
        <v>105</v>
      </c>
      <c r="K959" s="30" t="s">
        <v>85</v>
      </c>
      <c r="L959" s="31" t="n">
        <v>1129</v>
      </c>
      <c r="M959" s="19" t="n">
        <v>2</v>
      </c>
      <c r="N959" s="32" t="n">
        <v>0</v>
      </c>
      <c r="O959" s="30" t="s">
        <v>55</v>
      </c>
      <c r="P959" s="30" t="s">
        <v>47</v>
      </c>
      <c r="Q959" s="30" t="s">
        <v>86</v>
      </c>
      <c r="R959" s="25" t="n">
        <f aca="false">L959*M959*(1-N959)</f>
        <v>2258</v>
      </c>
    </row>
    <row r="960" customFormat="false" ht="15" hidden="false" customHeight="false" outlineLevel="0" collapsed="false">
      <c r="A960" s="30" t="s">
        <v>1131</v>
      </c>
      <c r="B960" s="44" t="n">
        <v>45614</v>
      </c>
      <c r="C960" s="19" t="n">
        <f aca="false">YEAR(B960)</f>
        <v>2024</v>
      </c>
      <c r="D960" s="19" t="n">
        <f aca="false">MONTH(B960)</f>
        <v>11</v>
      </c>
      <c r="E960" s="30" t="str">
        <f aca="false">INDEX(Lists!$K$2:$K$13,MATCH(D960,Lists!$J$2:$J$13,0))</f>
        <v>نوفمبر</v>
      </c>
      <c r="F960" s="19" t="str">
        <f aca="false">"Q"&amp;ROUNDUP(D960/3,0)</f>
        <v>Q4</v>
      </c>
      <c r="G960" s="30" t="str">
        <f aca="false">INDEX(Lists!$N$2:$N$8,MATCH(WEEKDAY(B960,2),Lists!$M$2:$M$8,0))</f>
        <v>الإثنين</v>
      </c>
      <c r="H960" s="30" t="s">
        <v>46</v>
      </c>
      <c r="I960" s="19" t="str">
        <f aca="false">INDEX(Lists!$B$2:$B$6,MATCH(H960,Lists!$A$2:$A$6,0))</f>
        <v>المنطقة الوسطى</v>
      </c>
      <c r="J960" s="30" t="s">
        <v>109</v>
      </c>
      <c r="K960" s="30" t="s">
        <v>171</v>
      </c>
      <c r="L960" s="31" t="n">
        <v>129</v>
      </c>
      <c r="M960" s="19" t="n">
        <v>1</v>
      </c>
      <c r="N960" s="32" t="n">
        <v>0.05</v>
      </c>
      <c r="O960" s="30" t="s">
        <v>48</v>
      </c>
      <c r="P960" s="30" t="s">
        <v>51</v>
      </c>
      <c r="Q960" s="30" t="s">
        <v>89</v>
      </c>
      <c r="R960" s="25" t="n">
        <f aca="false">L960*M960*(1-N960)</f>
        <v>122.55</v>
      </c>
    </row>
    <row r="961" customFormat="false" ht="15" hidden="false" customHeight="false" outlineLevel="0" collapsed="false">
      <c r="A961" s="30" t="s">
        <v>1132</v>
      </c>
      <c r="B961" s="44" t="n">
        <v>45614</v>
      </c>
      <c r="C961" s="19" t="n">
        <f aca="false">YEAR(B961)</f>
        <v>2024</v>
      </c>
      <c r="D961" s="19" t="n">
        <f aca="false">MONTH(B961)</f>
        <v>11</v>
      </c>
      <c r="E961" s="30" t="str">
        <f aca="false">INDEX(Lists!$K$2:$K$13,MATCH(D961,Lists!$J$2:$J$13,0))</f>
        <v>نوفمبر</v>
      </c>
      <c r="F961" s="19" t="str">
        <f aca="false">"Q"&amp;ROUNDUP(D961/3,0)</f>
        <v>Q4</v>
      </c>
      <c r="G961" s="30" t="str">
        <f aca="false">INDEX(Lists!$N$2:$N$8,MATCH(WEEKDAY(B961,2),Lists!$M$2:$M$8,0))</f>
        <v>الإثنين</v>
      </c>
      <c r="H961" s="30" t="s">
        <v>50</v>
      </c>
      <c r="I961" s="19" t="str">
        <f aca="false">INDEX(Lists!$B$2:$B$6,MATCH(H961,Lists!$A$2:$A$6,0))</f>
        <v>المنطقة الغربية</v>
      </c>
      <c r="J961" s="30" t="s">
        <v>105</v>
      </c>
      <c r="K961" s="30" t="s">
        <v>79</v>
      </c>
      <c r="L961" s="31" t="n">
        <v>1969</v>
      </c>
      <c r="M961" s="19" t="n">
        <v>1</v>
      </c>
      <c r="N961" s="32" t="n">
        <v>0</v>
      </c>
      <c r="O961" s="30" t="s">
        <v>48</v>
      </c>
      <c r="P961" s="30" t="s">
        <v>47</v>
      </c>
      <c r="Q961" s="30" t="s">
        <v>92</v>
      </c>
      <c r="R961" s="25" t="n">
        <f aca="false">L961*M961*(1-N961)</f>
        <v>1969</v>
      </c>
    </row>
    <row r="962" customFormat="false" ht="15" hidden="false" customHeight="false" outlineLevel="0" collapsed="false">
      <c r="A962" s="30" t="s">
        <v>1133</v>
      </c>
      <c r="B962" s="44" t="n">
        <v>45614</v>
      </c>
      <c r="C962" s="19" t="n">
        <f aca="false">YEAR(B962)</f>
        <v>2024</v>
      </c>
      <c r="D962" s="19" t="n">
        <f aca="false">MONTH(B962)</f>
        <v>11</v>
      </c>
      <c r="E962" s="30" t="str">
        <f aca="false">INDEX(Lists!$K$2:$K$13,MATCH(D962,Lists!$J$2:$J$13,0))</f>
        <v>نوفمبر</v>
      </c>
      <c r="F962" s="19" t="str">
        <f aca="false">"Q"&amp;ROUNDUP(D962/3,0)</f>
        <v>Q4</v>
      </c>
      <c r="G962" s="30" t="str">
        <f aca="false">INDEX(Lists!$N$2:$N$8,MATCH(WEEKDAY(B962,2),Lists!$M$2:$M$8,0))</f>
        <v>الإثنين</v>
      </c>
      <c r="H962" s="30" t="s">
        <v>46</v>
      </c>
      <c r="I962" s="19" t="str">
        <f aca="false">INDEX(Lists!$B$2:$B$6,MATCH(H962,Lists!$A$2:$A$6,0))</f>
        <v>المنطقة الوسطى</v>
      </c>
      <c r="J962" s="30" t="s">
        <v>105</v>
      </c>
      <c r="K962" s="30" t="s">
        <v>79</v>
      </c>
      <c r="L962" s="31" t="n">
        <v>2859</v>
      </c>
      <c r="M962" s="19" t="n">
        <v>5</v>
      </c>
      <c r="N962" s="32" t="n">
        <v>0.05</v>
      </c>
      <c r="O962" s="30" t="s">
        <v>48</v>
      </c>
      <c r="P962" s="30" t="s">
        <v>51</v>
      </c>
      <c r="Q962" s="30" t="s">
        <v>96</v>
      </c>
      <c r="R962" s="25" t="n">
        <f aca="false">L962*M962*(1-N962)</f>
        <v>13580.25</v>
      </c>
    </row>
    <row r="963" customFormat="false" ht="15" hidden="false" customHeight="false" outlineLevel="0" collapsed="false">
      <c r="A963" s="30" t="s">
        <v>1134</v>
      </c>
      <c r="B963" s="44" t="n">
        <v>45615</v>
      </c>
      <c r="C963" s="19" t="n">
        <f aca="false">YEAR(B963)</f>
        <v>2024</v>
      </c>
      <c r="D963" s="19" t="n">
        <f aca="false">MONTH(B963)</f>
        <v>11</v>
      </c>
      <c r="E963" s="30" t="str">
        <f aca="false">INDEX(Lists!$K$2:$K$13,MATCH(D963,Lists!$J$2:$J$13,0))</f>
        <v>نوفمبر</v>
      </c>
      <c r="F963" s="19" t="str">
        <f aca="false">"Q"&amp;ROUNDUP(D963/3,0)</f>
        <v>Q4</v>
      </c>
      <c r="G963" s="30" t="str">
        <f aca="false">INDEX(Lists!$N$2:$N$8,MATCH(WEEKDAY(B963,2),Lists!$M$2:$M$8,0))</f>
        <v>الثلاثاء</v>
      </c>
      <c r="H963" s="30" t="s">
        <v>54</v>
      </c>
      <c r="I963" s="19" t="str">
        <f aca="false">INDEX(Lists!$B$2:$B$6,MATCH(H963,Lists!$A$2:$A$6,0))</f>
        <v>المنطقة الشرقية</v>
      </c>
      <c r="J963" s="30" t="s">
        <v>105</v>
      </c>
      <c r="K963" s="30" t="s">
        <v>82</v>
      </c>
      <c r="L963" s="31" t="n">
        <v>1059</v>
      </c>
      <c r="M963" s="19" t="n">
        <v>1</v>
      </c>
      <c r="N963" s="32" t="n">
        <v>0</v>
      </c>
      <c r="O963" s="30" t="s">
        <v>58</v>
      </c>
      <c r="P963" s="30" t="s">
        <v>47</v>
      </c>
      <c r="Q963" s="30" t="s">
        <v>96</v>
      </c>
      <c r="R963" s="25" t="n">
        <f aca="false">L963*M963*(1-N963)</f>
        <v>1059</v>
      </c>
    </row>
    <row r="964" customFormat="false" ht="15" hidden="false" customHeight="false" outlineLevel="0" collapsed="false">
      <c r="A964" s="30" t="s">
        <v>1135</v>
      </c>
      <c r="B964" s="44" t="n">
        <v>45615</v>
      </c>
      <c r="C964" s="19" t="n">
        <f aca="false">YEAR(B964)</f>
        <v>2024</v>
      </c>
      <c r="D964" s="19" t="n">
        <f aca="false">MONTH(B964)</f>
        <v>11</v>
      </c>
      <c r="E964" s="30" t="str">
        <f aca="false">INDEX(Lists!$K$2:$K$13,MATCH(D964,Lists!$J$2:$J$13,0))</f>
        <v>نوفمبر</v>
      </c>
      <c r="F964" s="19" t="str">
        <f aca="false">"Q"&amp;ROUNDUP(D964/3,0)</f>
        <v>Q4</v>
      </c>
      <c r="G964" s="30" t="str">
        <f aca="false">INDEX(Lists!$N$2:$N$8,MATCH(WEEKDAY(B964,2),Lists!$M$2:$M$8,0))</f>
        <v>الثلاثاء</v>
      </c>
      <c r="H964" s="30" t="s">
        <v>50</v>
      </c>
      <c r="I964" s="19" t="str">
        <f aca="false">INDEX(Lists!$B$2:$B$6,MATCH(H964,Lists!$A$2:$A$6,0))</f>
        <v>المنطقة الغربية</v>
      </c>
      <c r="J964" s="30" t="s">
        <v>113</v>
      </c>
      <c r="K964" s="30" t="s">
        <v>97</v>
      </c>
      <c r="L964" s="31" t="n">
        <v>879</v>
      </c>
      <c r="M964" s="19" t="n">
        <v>1</v>
      </c>
      <c r="N964" s="32" t="n">
        <v>0.1</v>
      </c>
      <c r="O964" s="30" t="s">
        <v>52</v>
      </c>
      <c r="P964" s="30" t="s">
        <v>47</v>
      </c>
      <c r="Q964" s="30" t="s">
        <v>86</v>
      </c>
      <c r="R964" s="25" t="n">
        <f aca="false">L964*M964*(1-N964)</f>
        <v>791.1</v>
      </c>
    </row>
    <row r="965" customFormat="false" ht="15" hidden="false" customHeight="false" outlineLevel="0" collapsed="false">
      <c r="A965" s="30" t="s">
        <v>1136</v>
      </c>
      <c r="B965" s="44" t="n">
        <v>45615</v>
      </c>
      <c r="C965" s="19" t="n">
        <f aca="false">YEAR(B965)</f>
        <v>2024</v>
      </c>
      <c r="D965" s="19" t="n">
        <f aca="false">MONTH(B965)</f>
        <v>11</v>
      </c>
      <c r="E965" s="30" t="str">
        <f aca="false">INDEX(Lists!$K$2:$K$13,MATCH(D965,Lists!$J$2:$J$13,0))</f>
        <v>نوفمبر</v>
      </c>
      <c r="F965" s="19" t="str">
        <f aca="false">"Q"&amp;ROUNDUP(D965/3,0)</f>
        <v>Q4</v>
      </c>
      <c r="G965" s="30" t="str">
        <f aca="false">INDEX(Lists!$N$2:$N$8,MATCH(WEEKDAY(B965,2),Lists!$M$2:$M$8,0))</f>
        <v>الثلاثاء</v>
      </c>
      <c r="H965" s="30" t="s">
        <v>46</v>
      </c>
      <c r="I965" s="19" t="str">
        <f aca="false">INDEX(Lists!$B$2:$B$6,MATCH(H965,Lists!$A$2:$A$6,0))</f>
        <v>المنطقة الوسطى</v>
      </c>
      <c r="J965" s="30" t="s">
        <v>105</v>
      </c>
      <c r="K965" s="30" t="s">
        <v>85</v>
      </c>
      <c r="L965" s="31" t="n">
        <v>1809</v>
      </c>
      <c r="M965" s="19" t="n">
        <v>1</v>
      </c>
      <c r="N965" s="32" t="n">
        <v>0.1</v>
      </c>
      <c r="O965" s="30" t="s">
        <v>52</v>
      </c>
      <c r="P965" s="30" t="s">
        <v>47</v>
      </c>
      <c r="Q965" s="30" t="s">
        <v>86</v>
      </c>
      <c r="R965" s="25" t="n">
        <f aca="false">L965*M965*(1-N965)</f>
        <v>1628.1</v>
      </c>
    </row>
    <row r="966" customFormat="false" ht="15" hidden="false" customHeight="false" outlineLevel="0" collapsed="false">
      <c r="A966" s="30" t="s">
        <v>1137</v>
      </c>
      <c r="B966" s="44" t="n">
        <v>45615</v>
      </c>
      <c r="C966" s="19" t="n">
        <f aca="false">YEAR(B966)</f>
        <v>2024</v>
      </c>
      <c r="D966" s="19" t="n">
        <f aca="false">MONTH(B966)</f>
        <v>11</v>
      </c>
      <c r="E966" s="30" t="str">
        <f aca="false">INDEX(Lists!$K$2:$K$13,MATCH(D966,Lists!$J$2:$J$13,0))</f>
        <v>نوفمبر</v>
      </c>
      <c r="F966" s="19" t="str">
        <f aca="false">"Q"&amp;ROUNDUP(D966/3,0)</f>
        <v>Q4</v>
      </c>
      <c r="G966" s="30" t="str">
        <f aca="false">INDEX(Lists!$N$2:$N$8,MATCH(WEEKDAY(B966,2),Lists!$M$2:$M$8,0))</f>
        <v>الثلاثاء</v>
      </c>
      <c r="H966" s="30" t="s">
        <v>57</v>
      </c>
      <c r="I966" s="19" t="str">
        <f aca="false">INDEX(Lists!$B$2:$B$6,MATCH(H966,Lists!$A$2:$A$6,0))</f>
        <v>المنطقة الغربية</v>
      </c>
      <c r="J966" s="30" t="s">
        <v>107</v>
      </c>
      <c r="K966" s="30" t="s">
        <v>114</v>
      </c>
      <c r="L966" s="31" t="n">
        <v>5609</v>
      </c>
      <c r="M966" s="19" t="n">
        <v>1</v>
      </c>
      <c r="N966" s="32" t="n">
        <v>0.15</v>
      </c>
      <c r="O966" s="30" t="s">
        <v>48</v>
      </c>
      <c r="P966" s="30" t="s">
        <v>47</v>
      </c>
      <c r="Q966" s="30" t="s">
        <v>86</v>
      </c>
      <c r="R966" s="25" t="n">
        <f aca="false">L966*M966*(1-N966)</f>
        <v>4767.65</v>
      </c>
    </row>
    <row r="967" customFormat="false" ht="15" hidden="false" customHeight="false" outlineLevel="0" collapsed="false">
      <c r="A967" s="30" t="s">
        <v>1138</v>
      </c>
      <c r="B967" s="44" t="n">
        <v>45615</v>
      </c>
      <c r="C967" s="19" t="n">
        <f aca="false">YEAR(B967)</f>
        <v>2024</v>
      </c>
      <c r="D967" s="19" t="n">
        <f aca="false">MONTH(B967)</f>
        <v>11</v>
      </c>
      <c r="E967" s="30" t="str">
        <f aca="false">INDEX(Lists!$K$2:$K$13,MATCH(D967,Lists!$J$2:$J$13,0))</f>
        <v>نوفمبر</v>
      </c>
      <c r="F967" s="19" t="str">
        <f aca="false">"Q"&amp;ROUNDUP(D967/3,0)</f>
        <v>Q4</v>
      </c>
      <c r="G967" s="30" t="str">
        <f aca="false">INDEX(Lists!$N$2:$N$8,MATCH(WEEKDAY(B967,2),Lists!$M$2:$M$8,0))</f>
        <v>الثلاثاء</v>
      </c>
      <c r="H967" s="30" t="s">
        <v>54</v>
      </c>
      <c r="I967" s="19" t="str">
        <f aca="false">INDEX(Lists!$B$2:$B$6,MATCH(H967,Lists!$A$2:$A$6,0))</f>
        <v>المنطقة الشرقية</v>
      </c>
      <c r="J967" s="30" t="s">
        <v>113</v>
      </c>
      <c r="K967" s="30" t="s">
        <v>95</v>
      </c>
      <c r="L967" s="31" t="n">
        <v>229</v>
      </c>
      <c r="M967" s="19" t="n">
        <v>1</v>
      </c>
      <c r="N967" s="32" t="n">
        <v>0.15</v>
      </c>
      <c r="O967" s="30" t="s">
        <v>48</v>
      </c>
      <c r="P967" s="30" t="s">
        <v>51</v>
      </c>
      <c r="Q967" s="30" t="s">
        <v>94</v>
      </c>
      <c r="R967" s="25" t="n">
        <f aca="false">L967*M967*(1-N967)</f>
        <v>194.65</v>
      </c>
    </row>
    <row r="968" customFormat="false" ht="15" hidden="false" customHeight="false" outlineLevel="0" collapsed="false">
      <c r="A968" s="30" t="s">
        <v>1139</v>
      </c>
      <c r="B968" s="44" t="n">
        <v>45615</v>
      </c>
      <c r="C968" s="19" t="n">
        <f aca="false">YEAR(B968)</f>
        <v>2024</v>
      </c>
      <c r="D968" s="19" t="n">
        <f aca="false">MONTH(B968)</f>
        <v>11</v>
      </c>
      <c r="E968" s="30" t="str">
        <f aca="false">INDEX(Lists!$K$2:$K$13,MATCH(D968,Lists!$J$2:$J$13,0))</f>
        <v>نوفمبر</v>
      </c>
      <c r="F968" s="19" t="str">
        <f aca="false">"Q"&amp;ROUNDUP(D968/3,0)</f>
        <v>Q4</v>
      </c>
      <c r="G968" s="30" t="str">
        <f aca="false">INDEX(Lists!$N$2:$N$8,MATCH(WEEKDAY(B968,2),Lists!$M$2:$M$8,0))</f>
        <v>الثلاثاء</v>
      </c>
      <c r="H968" s="30" t="s">
        <v>60</v>
      </c>
      <c r="I968" s="19" t="str">
        <f aca="false">INDEX(Lists!$B$2:$B$6,MATCH(H968,Lists!$A$2:$A$6,0))</f>
        <v>المنطقة الغربية</v>
      </c>
      <c r="J968" s="30" t="s">
        <v>105</v>
      </c>
      <c r="K968" s="30" t="s">
        <v>90</v>
      </c>
      <c r="L968" s="31" t="n">
        <v>4439</v>
      </c>
      <c r="M968" s="19" t="n">
        <v>1</v>
      </c>
      <c r="N968" s="32" t="n">
        <v>0</v>
      </c>
      <c r="O968" s="30" t="s">
        <v>55</v>
      </c>
      <c r="P968" s="30" t="s">
        <v>47</v>
      </c>
      <c r="Q968" s="30" t="s">
        <v>96</v>
      </c>
      <c r="R968" s="25" t="n">
        <f aca="false">L968*M968*(1-N968)</f>
        <v>4439</v>
      </c>
    </row>
    <row r="969" customFormat="false" ht="15" hidden="false" customHeight="false" outlineLevel="0" collapsed="false">
      <c r="A969" s="30" t="s">
        <v>1140</v>
      </c>
      <c r="B969" s="44" t="n">
        <v>45615</v>
      </c>
      <c r="C969" s="19" t="n">
        <f aca="false">YEAR(B969)</f>
        <v>2024</v>
      </c>
      <c r="D969" s="19" t="n">
        <f aca="false">MONTH(B969)</f>
        <v>11</v>
      </c>
      <c r="E969" s="30" t="str">
        <f aca="false">INDEX(Lists!$K$2:$K$13,MATCH(D969,Lists!$J$2:$J$13,0))</f>
        <v>نوفمبر</v>
      </c>
      <c r="F969" s="19" t="str">
        <f aca="false">"Q"&amp;ROUNDUP(D969/3,0)</f>
        <v>Q4</v>
      </c>
      <c r="G969" s="30" t="str">
        <f aca="false">INDEX(Lists!$N$2:$N$8,MATCH(WEEKDAY(B969,2),Lists!$M$2:$M$8,0))</f>
        <v>الثلاثاء</v>
      </c>
      <c r="H969" s="30" t="s">
        <v>50</v>
      </c>
      <c r="I969" s="19" t="str">
        <f aca="false">INDEX(Lists!$B$2:$B$6,MATCH(H969,Lists!$A$2:$A$6,0))</f>
        <v>المنطقة الغربية</v>
      </c>
      <c r="J969" s="30" t="s">
        <v>105</v>
      </c>
      <c r="K969" s="30" t="s">
        <v>90</v>
      </c>
      <c r="L969" s="31" t="n">
        <v>2419</v>
      </c>
      <c r="M969" s="19" t="n">
        <v>1</v>
      </c>
      <c r="N969" s="32" t="n">
        <v>0.1</v>
      </c>
      <c r="O969" s="30" t="s">
        <v>48</v>
      </c>
      <c r="P969" s="30" t="s">
        <v>47</v>
      </c>
      <c r="Q969" s="30" t="s">
        <v>92</v>
      </c>
      <c r="R969" s="25" t="n">
        <f aca="false">L969*M969*(1-N969)</f>
        <v>2177.1</v>
      </c>
    </row>
    <row r="970" customFormat="false" ht="15" hidden="false" customHeight="false" outlineLevel="0" collapsed="false">
      <c r="A970" s="30" t="s">
        <v>1141</v>
      </c>
      <c r="B970" s="44" t="n">
        <v>45616</v>
      </c>
      <c r="C970" s="19" t="n">
        <f aca="false">YEAR(B970)</f>
        <v>2024</v>
      </c>
      <c r="D970" s="19" t="n">
        <f aca="false">MONTH(B970)</f>
        <v>11</v>
      </c>
      <c r="E970" s="30" t="str">
        <f aca="false">INDEX(Lists!$K$2:$K$13,MATCH(D970,Lists!$J$2:$J$13,0))</f>
        <v>نوفمبر</v>
      </c>
      <c r="F970" s="19" t="str">
        <f aca="false">"Q"&amp;ROUNDUP(D970/3,0)</f>
        <v>Q4</v>
      </c>
      <c r="G970" s="30" t="str">
        <f aca="false">INDEX(Lists!$N$2:$N$8,MATCH(WEEKDAY(B970,2),Lists!$M$2:$M$8,0))</f>
        <v>الأربعاء</v>
      </c>
      <c r="H970" s="30" t="s">
        <v>50</v>
      </c>
      <c r="I970" s="19" t="str">
        <f aca="false">INDEX(Lists!$B$2:$B$6,MATCH(H970,Lists!$A$2:$A$6,0))</f>
        <v>المنطقة الغربية</v>
      </c>
      <c r="J970" s="30" t="s">
        <v>111</v>
      </c>
      <c r="K970" s="30" t="s">
        <v>122</v>
      </c>
      <c r="L970" s="31" t="n">
        <v>469</v>
      </c>
      <c r="M970" s="19" t="n">
        <v>2</v>
      </c>
      <c r="N970" s="32" t="n">
        <v>0.05</v>
      </c>
      <c r="O970" s="30" t="s">
        <v>55</v>
      </c>
      <c r="P970" s="30" t="s">
        <v>47</v>
      </c>
      <c r="Q970" s="30" t="s">
        <v>94</v>
      </c>
      <c r="R970" s="25" t="n">
        <f aca="false">L970*M970*(1-N970)</f>
        <v>891.1</v>
      </c>
    </row>
    <row r="971" customFormat="false" ht="15" hidden="false" customHeight="false" outlineLevel="0" collapsed="false">
      <c r="A971" s="30" t="s">
        <v>1142</v>
      </c>
      <c r="B971" s="44" t="n">
        <v>45616</v>
      </c>
      <c r="C971" s="19" t="n">
        <f aca="false">YEAR(B971)</f>
        <v>2024</v>
      </c>
      <c r="D971" s="19" t="n">
        <f aca="false">MONTH(B971)</f>
        <v>11</v>
      </c>
      <c r="E971" s="30" t="str">
        <f aca="false">INDEX(Lists!$K$2:$K$13,MATCH(D971,Lists!$J$2:$J$13,0))</f>
        <v>نوفمبر</v>
      </c>
      <c r="F971" s="19" t="str">
        <f aca="false">"Q"&amp;ROUNDUP(D971/3,0)</f>
        <v>Q4</v>
      </c>
      <c r="G971" s="30" t="str">
        <f aca="false">INDEX(Lists!$N$2:$N$8,MATCH(WEEKDAY(B971,2),Lists!$M$2:$M$8,0))</f>
        <v>الأربعاء</v>
      </c>
      <c r="H971" s="30" t="s">
        <v>46</v>
      </c>
      <c r="I971" s="19" t="str">
        <f aca="false">INDEX(Lists!$B$2:$B$6,MATCH(H971,Lists!$A$2:$A$6,0))</f>
        <v>المنطقة الوسطى</v>
      </c>
      <c r="J971" s="30" t="s">
        <v>105</v>
      </c>
      <c r="K971" s="30" t="s">
        <v>82</v>
      </c>
      <c r="L971" s="31" t="n">
        <v>2579</v>
      </c>
      <c r="M971" s="19" t="n">
        <v>1</v>
      </c>
      <c r="N971" s="32" t="n">
        <v>0</v>
      </c>
      <c r="O971" s="30" t="s">
        <v>48</v>
      </c>
      <c r="P971" s="30" t="s">
        <v>47</v>
      </c>
      <c r="Q971" s="30" t="s">
        <v>89</v>
      </c>
      <c r="R971" s="25" t="n">
        <f aca="false">L971*M971*(1-N971)</f>
        <v>2579</v>
      </c>
    </row>
    <row r="972" customFormat="false" ht="15" hidden="false" customHeight="false" outlineLevel="0" collapsed="false">
      <c r="A972" s="30" t="s">
        <v>1143</v>
      </c>
      <c r="B972" s="44" t="n">
        <v>45616</v>
      </c>
      <c r="C972" s="19" t="n">
        <f aca="false">YEAR(B972)</f>
        <v>2024</v>
      </c>
      <c r="D972" s="19" t="n">
        <f aca="false">MONTH(B972)</f>
        <v>11</v>
      </c>
      <c r="E972" s="30" t="str">
        <f aca="false">INDEX(Lists!$K$2:$K$13,MATCH(D972,Lists!$J$2:$J$13,0))</f>
        <v>نوفمبر</v>
      </c>
      <c r="F972" s="19" t="str">
        <f aca="false">"Q"&amp;ROUNDUP(D972/3,0)</f>
        <v>Q4</v>
      </c>
      <c r="G972" s="30" t="str">
        <f aca="false">INDEX(Lists!$N$2:$N$8,MATCH(WEEKDAY(B972,2),Lists!$M$2:$M$8,0))</f>
        <v>الأربعاء</v>
      </c>
      <c r="H972" s="30" t="s">
        <v>57</v>
      </c>
      <c r="I972" s="19" t="str">
        <f aca="false">INDEX(Lists!$B$2:$B$6,MATCH(H972,Lists!$A$2:$A$6,0))</f>
        <v>المنطقة الغربية</v>
      </c>
      <c r="J972" s="30" t="s">
        <v>107</v>
      </c>
      <c r="K972" s="30" t="s">
        <v>115</v>
      </c>
      <c r="L972" s="31" t="n">
        <v>6519</v>
      </c>
      <c r="M972" s="19" t="n">
        <v>1</v>
      </c>
      <c r="N972" s="32" t="n">
        <v>0</v>
      </c>
      <c r="O972" s="30" t="s">
        <v>48</v>
      </c>
      <c r="P972" s="30" t="s">
        <v>47</v>
      </c>
      <c r="Q972" s="30" t="s">
        <v>86</v>
      </c>
      <c r="R972" s="25" t="n">
        <f aca="false">L972*M972*(1-N972)</f>
        <v>6519</v>
      </c>
    </row>
    <row r="973" customFormat="false" ht="15" hidden="false" customHeight="false" outlineLevel="0" collapsed="false">
      <c r="A973" s="30" t="s">
        <v>1144</v>
      </c>
      <c r="B973" s="44" t="n">
        <v>45617</v>
      </c>
      <c r="C973" s="19" t="n">
        <f aca="false">YEAR(B973)</f>
        <v>2024</v>
      </c>
      <c r="D973" s="19" t="n">
        <f aca="false">MONTH(B973)</f>
        <v>11</v>
      </c>
      <c r="E973" s="30" t="str">
        <f aca="false">INDEX(Lists!$K$2:$K$13,MATCH(D973,Lists!$J$2:$J$13,0))</f>
        <v>نوفمبر</v>
      </c>
      <c r="F973" s="19" t="str">
        <f aca="false">"Q"&amp;ROUNDUP(D973/3,0)</f>
        <v>Q4</v>
      </c>
      <c r="G973" s="30" t="str">
        <f aca="false">INDEX(Lists!$N$2:$N$8,MATCH(WEEKDAY(B973,2),Lists!$M$2:$M$8,0))</f>
        <v>الخميس</v>
      </c>
      <c r="H973" s="30" t="s">
        <v>50</v>
      </c>
      <c r="I973" s="19" t="str">
        <f aca="false">INDEX(Lists!$B$2:$B$6,MATCH(H973,Lists!$A$2:$A$6,0))</f>
        <v>المنطقة الغربية</v>
      </c>
      <c r="J973" s="30" t="s">
        <v>107</v>
      </c>
      <c r="K973" s="30" t="s">
        <v>114</v>
      </c>
      <c r="L973" s="31" t="n">
        <v>3999</v>
      </c>
      <c r="M973" s="19" t="n">
        <v>5</v>
      </c>
      <c r="N973" s="32" t="n">
        <v>0</v>
      </c>
      <c r="O973" s="30" t="s">
        <v>55</v>
      </c>
      <c r="P973" s="30" t="s">
        <v>51</v>
      </c>
      <c r="Q973" s="30" t="s">
        <v>78</v>
      </c>
      <c r="R973" s="25" t="n">
        <f aca="false">L973*M973*(1-N973)</f>
        <v>19995</v>
      </c>
    </row>
    <row r="974" customFormat="false" ht="15" hidden="false" customHeight="false" outlineLevel="0" collapsed="false">
      <c r="A974" s="30" t="s">
        <v>1145</v>
      </c>
      <c r="B974" s="44" t="n">
        <v>45617</v>
      </c>
      <c r="C974" s="19" t="n">
        <f aca="false">YEAR(B974)</f>
        <v>2024</v>
      </c>
      <c r="D974" s="19" t="n">
        <f aca="false">MONTH(B974)</f>
        <v>11</v>
      </c>
      <c r="E974" s="30" t="str">
        <f aca="false">INDEX(Lists!$K$2:$K$13,MATCH(D974,Lists!$J$2:$J$13,0))</f>
        <v>نوفمبر</v>
      </c>
      <c r="F974" s="19" t="str">
        <f aca="false">"Q"&amp;ROUNDUP(D974/3,0)</f>
        <v>Q4</v>
      </c>
      <c r="G974" s="30" t="str">
        <f aca="false">INDEX(Lists!$N$2:$N$8,MATCH(WEEKDAY(B974,2),Lists!$M$2:$M$8,0))</f>
        <v>الخميس</v>
      </c>
      <c r="H974" s="30" t="s">
        <v>50</v>
      </c>
      <c r="I974" s="19" t="str">
        <f aca="false">INDEX(Lists!$B$2:$B$6,MATCH(H974,Lists!$A$2:$A$6,0))</f>
        <v>المنطقة الغربية</v>
      </c>
      <c r="J974" s="30" t="s">
        <v>105</v>
      </c>
      <c r="K974" s="30" t="s">
        <v>179</v>
      </c>
      <c r="L974" s="31" t="n">
        <v>1679</v>
      </c>
      <c r="M974" s="19" t="n">
        <v>1</v>
      </c>
      <c r="N974" s="32" t="n">
        <v>0</v>
      </c>
      <c r="O974" s="30" t="s">
        <v>48</v>
      </c>
      <c r="P974" s="30" t="s">
        <v>47</v>
      </c>
      <c r="Q974" s="30" t="s">
        <v>94</v>
      </c>
      <c r="R974" s="25" t="n">
        <f aca="false">L974*M974*(1-N974)</f>
        <v>1679</v>
      </c>
    </row>
    <row r="975" customFormat="false" ht="15" hidden="false" customHeight="false" outlineLevel="0" collapsed="false">
      <c r="A975" s="30" t="s">
        <v>1146</v>
      </c>
      <c r="B975" s="44" t="n">
        <v>45617</v>
      </c>
      <c r="C975" s="19" t="n">
        <f aca="false">YEAR(B975)</f>
        <v>2024</v>
      </c>
      <c r="D975" s="19" t="n">
        <f aca="false">MONTH(B975)</f>
        <v>11</v>
      </c>
      <c r="E975" s="30" t="str">
        <f aca="false">INDEX(Lists!$K$2:$K$13,MATCH(D975,Lists!$J$2:$J$13,0))</f>
        <v>نوفمبر</v>
      </c>
      <c r="F975" s="19" t="str">
        <f aca="false">"Q"&amp;ROUNDUP(D975/3,0)</f>
        <v>Q4</v>
      </c>
      <c r="G975" s="30" t="str">
        <f aca="false">INDEX(Lists!$N$2:$N$8,MATCH(WEEKDAY(B975,2),Lists!$M$2:$M$8,0))</f>
        <v>الخميس</v>
      </c>
      <c r="H975" s="30" t="s">
        <v>60</v>
      </c>
      <c r="I975" s="19" t="str">
        <f aca="false">INDEX(Lists!$B$2:$B$6,MATCH(H975,Lists!$A$2:$A$6,0))</f>
        <v>المنطقة الغربية</v>
      </c>
      <c r="J975" s="30" t="s">
        <v>105</v>
      </c>
      <c r="K975" s="30" t="s">
        <v>179</v>
      </c>
      <c r="L975" s="31" t="n">
        <v>2459</v>
      </c>
      <c r="M975" s="19" t="n">
        <v>1</v>
      </c>
      <c r="N975" s="32" t="n">
        <v>0</v>
      </c>
      <c r="O975" s="30" t="s">
        <v>48</v>
      </c>
      <c r="P975" s="30" t="s">
        <v>47</v>
      </c>
      <c r="Q975" s="30" t="s">
        <v>84</v>
      </c>
      <c r="R975" s="25" t="n">
        <f aca="false">L975*M975*(1-N975)</f>
        <v>2459</v>
      </c>
    </row>
    <row r="976" customFormat="false" ht="15" hidden="false" customHeight="false" outlineLevel="0" collapsed="false">
      <c r="A976" s="30" t="s">
        <v>1147</v>
      </c>
      <c r="B976" s="44" t="n">
        <v>45618</v>
      </c>
      <c r="C976" s="19" t="n">
        <f aca="false">YEAR(B976)</f>
        <v>2024</v>
      </c>
      <c r="D976" s="19" t="n">
        <f aca="false">MONTH(B976)</f>
        <v>11</v>
      </c>
      <c r="E976" s="30" t="str">
        <f aca="false">INDEX(Lists!$K$2:$K$13,MATCH(D976,Lists!$J$2:$J$13,0))</f>
        <v>نوفمبر</v>
      </c>
      <c r="F976" s="19" t="str">
        <f aca="false">"Q"&amp;ROUNDUP(D976/3,0)</f>
        <v>Q4</v>
      </c>
      <c r="G976" s="30" t="str">
        <f aca="false">INDEX(Lists!$N$2:$N$8,MATCH(WEEKDAY(B976,2),Lists!$M$2:$M$8,0))</f>
        <v>الجمعة</v>
      </c>
      <c r="H976" s="30" t="s">
        <v>54</v>
      </c>
      <c r="I976" s="19" t="str">
        <f aca="false">INDEX(Lists!$B$2:$B$6,MATCH(H976,Lists!$A$2:$A$6,0))</f>
        <v>المنطقة الشرقية</v>
      </c>
      <c r="J976" s="30" t="s">
        <v>105</v>
      </c>
      <c r="K976" s="30" t="s">
        <v>179</v>
      </c>
      <c r="L976" s="31" t="n">
        <v>2379</v>
      </c>
      <c r="M976" s="19" t="n">
        <v>2</v>
      </c>
      <c r="N976" s="32" t="n">
        <v>0.1</v>
      </c>
      <c r="O976" s="30" t="s">
        <v>48</v>
      </c>
      <c r="P976" s="30" t="s">
        <v>47</v>
      </c>
      <c r="Q976" s="30" t="s">
        <v>78</v>
      </c>
      <c r="R976" s="25" t="n">
        <f aca="false">L976*M976*(1-N976)</f>
        <v>4282.2</v>
      </c>
    </row>
    <row r="977" customFormat="false" ht="15" hidden="false" customHeight="false" outlineLevel="0" collapsed="false">
      <c r="A977" s="30" t="s">
        <v>1148</v>
      </c>
      <c r="B977" s="44" t="n">
        <v>45618</v>
      </c>
      <c r="C977" s="19" t="n">
        <f aca="false">YEAR(B977)</f>
        <v>2024</v>
      </c>
      <c r="D977" s="19" t="n">
        <f aca="false">MONTH(B977)</f>
        <v>11</v>
      </c>
      <c r="E977" s="30" t="str">
        <f aca="false">INDEX(Lists!$K$2:$K$13,MATCH(D977,Lists!$J$2:$J$13,0))</f>
        <v>نوفمبر</v>
      </c>
      <c r="F977" s="19" t="str">
        <f aca="false">"Q"&amp;ROUNDUP(D977/3,0)</f>
        <v>Q4</v>
      </c>
      <c r="G977" s="30" t="str">
        <f aca="false">INDEX(Lists!$N$2:$N$8,MATCH(WEEKDAY(B977,2),Lists!$M$2:$M$8,0))</f>
        <v>الجمعة</v>
      </c>
      <c r="H977" s="30" t="s">
        <v>46</v>
      </c>
      <c r="I977" s="19" t="str">
        <f aca="false">INDEX(Lists!$B$2:$B$6,MATCH(H977,Lists!$A$2:$A$6,0))</f>
        <v>المنطقة الوسطى</v>
      </c>
      <c r="J977" s="30" t="s">
        <v>105</v>
      </c>
      <c r="K977" s="30" t="s">
        <v>179</v>
      </c>
      <c r="L977" s="31" t="n">
        <v>2189</v>
      </c>
      <c r="M977" s="19" t="n">
        <v>10</v>
      </c>
      <c r="N977" s="32" t="n">
        <v>0</v>
      </c>
      <c r="O977" s="30" t="s">
        <v>52</v>
      </c>
      <c r="P977" s="30" t="s">
        <v>51</v>
      </c>
      <c r="Q977" s="30" t="s">
        <v>99</v>
      </c>
      <c r="R977" s="25" t="n">
        <f aca="false">L977*M977*(1-N977)</f>
        <v>21890</v>
      </c>
    </row>
    <row r="978" customFormat="false" ht="15" hidden="false" customHeight="false" outlineLevel="0" collapsed="false">
      <c r="A978" s="30" t="s">
        <v>1149</v>
      </c>
      <c r="B978" s="44" t="n">
        <v>45618</v>
      </c>
      <c r="C978" s="19" t="n">
        <f aca="false">YEAR(B978)</f>
        <v>2024</v>
      </c>
      <c r="D978" s="19" t="n">
        <f aca="false">MONTH(B978)</f>
        <v>11</v>
      </c>
      <c r="E978" s="30" t="str">
        <f aca="false">INDEX(Lists!$K$2:$K$13,MATCH(D978,Lists!$J$2:$J$13,0))</f>
        <v>نوفمبر</v>
      </c>
      <c r="F978" s="19" t="str">
        <f aca="false">"Q"&amp;ROUNDUP(D978/3,0)</f>
        <v>Q4</v>
      </c>
      <c r="G978" s="30" t="str">
        <f aca="false">INDEX(Lists!$N$2:$N$8,MATCH(WEEKDAY(B978,2),Lists!$M$2:$M$8,0))</f>
        <v>الجمعة</v>
      </c>
      <c r="H978" s="30" t="s">
        <v>50</v>
      </c>
      <c r="I978" s="19" t="str">
        <f aca="false">INDEX(Lists!$B$2:$B$6,MATCH(H978,Lists!$A$2:$A$6,0))</f>
        <v>المنطقة الغربية</v>
      </c>
      <c r="J978" s="30" t="s">
        <v>107</v>
      </c>
      <c r="K978" s="30" t="s">
        <v>272</v>
      </c>
      <c r="L978" s="31" t="n">
        <v>5929</v>
      </c>
      <c r="M978" s="19" t="n">
        <v>2</v>
      </c>
      <c r="N978" s="32" t="n">
        <v>0.15</v>
      </c>
      <c r="O978" s="30" t="s">
        <v>52</v>
      </c>
      <c r="P978" s="30" t="s">
        <v>47</v>
      </c>
      <c r="Q978" s="30" t="s">
        <v>94</v>
      </c>
      <c r="R978" s="25" t="n">
        <f aca="false">L978*M978*(1-N978)</f>
        <v>10079.3</v>
      </c>
    </row>
    <row r="979" customFormat="false" ht="15" hidden="false" customHeight="false" outlineLevel="0" collapsed="false">
      <c r="A979" s="30" t="s">
        <v>1150</v>
      </c>
      <c r="B979" s="44" t="n">
        <v>45618</v>
      </c>
      <c r="C979" s="19" t="n">
        <f aca="false">YEAR(B979)</f>
        <v>2024</v>
      </c>
      <c r="D979" s="19" t="n">
        <f aca="false">MONTH(B979)</f>
        <v>11</v>
      </c>
      <c r="E979" s="30" t="str">
        <f aca="false">INDEX(Lists!$K$2:$K$13,MATCH(D979,Lists!$J$2:$J$13,0))</f>
        <v>نوفمبر</v>
      </c>
      <c r="F979" s="19" t="str">
        <f aca="false">"Q"&amp;ROUNDUP(D979/3,0)</f>
        <v>Q4</v>
      </c>
      <c r="G979" s="30" t="str">
        <f aca="false">INDEX(Lists!$N$2:$N$8,MATCH(WEEKDAY(B979,2),Lists!$M$2:$M$8,0))</f>
        <v>الجمعة</v>
      </c>
      <c r="H979" s="30" t="s">
        <v>57</v>
      </c>
      <c r="I979" s="19" t="str">
        <f aca="false">INDEX(Lists!$B$2:$B$6,MATCH(H979,Lists!$A$2:$A$6,0))</f>
        <v>المنطقة الغربية</v>
      </c>
      <c r="J979" s="30" t="s">
        <v>113</v>
      </c>
      <c r="K979" s="30" t="s">
        <v>100</v>
      </c>
      <c r="L979" s="31" t="n">
        <v>469</v>
      </c>
      <c r="M979" s="19" t="n">
        <v>1</v>
      </c>
      <c r="N979" s="32" t="n">
        <v>0</v>
      </c>
      <c r="O979" s="30" t="s">
        <v>52</v>
      </c>
      <c r="P979" s="30" t="s">
        <v>47</v>
      </c>
      <c r="Q979" s="30" t="s">
        <v>86</v>
      </c>
      <c r="R979" s="25" t="n">
        <f aca="false">L979*M979*(1-N979)</f>
        <v>469</v>
      </c>
    </row>
    <row r="980" customFormat="false" ht="15" hidden="false" customHeight="false" outlineLevel="0" collapsed="false">
      <c r="A980" s="30" t="s">
        <v>1151</v>
      </c>
      <c r="B980" s="44" t="n">
        <v>45618</v>
      </c>
      <c r="C980" s="19" t="n">
        <f aca="false">YEAR(B980)</f>
        <v>2024</v>
      </c>
      <c r="D980" s="19" t="n">
        <f aca="false">MONTH(B980)</f>
        <v>11</v>
      </c>
      <c r="E980" s="30" t="str">
        <f aca="false">INDEX(Lists!$K$2:$K$13,MATCH(D980,Lists!$J$2:$J$13,0))</f>
        <v>نوفمبر</v>
      </c>
      <c r="F980" s="19" t="str">
        <f aca="false">"Q"&amp;ROUNDUP(D980/3,0)</f>
        <v>Q4</v>
      </c>
      <c r="G980" s="30" t="str">
        <f aca="false">INDEX(Lists!$N$2:$N$8,MATCH(WEEKDAY(B980,2),Lists!$M$2:$M$8,0))</f>
        <v>الجمعة</v>
      </c>
      <c r="H980" s="30" t="s">
        <v>50</v>
      </c>
      <c r="I980" s="19" t="str">
        <f aca="false">INDEX(Lists!$B$2:$B$6,MATCH(H980,Lists!$A$2:$A$6,0))</f>
        <v>المنطقة الغربية</v>
      </c>
      <c r="J980" s="30" t="s">
        <v>107</v>
      </c>
      <c r="K980" s="30" t="s">
        <v>115</v>
      </c>
      <c r="L980" s="31" t="n">
        <v>2179</v>
      </c>
      <c r="M980" s="19" t="n">
        <v>2</v>
      </c>
      <c r="N980" s="32" t="n">
        <v>0.05</v>
      </c>
      <c r="O980" s="30" t="s">
        <v>55</v>
      </c>
      <c r="P980" s="30" t="s">
        <v>47</v>
      </c>
      <c r="Q980" s="30" t="s">
        <v>78</v>
      </c>
      <c r="R980" s="25" t="n">
        <f aca="false">L980*M980*(1-N980)</f>
        <v>4140.1</v>
      </c>
    </row>
    <row r="981" customFormat="false" ht="15" hidden="false" customHeight="false" outlineLevel="0" collapsed="false">
      <c r="A981" s="30" t="s">
        <v>1152</v>
      </c>
      <c r="B981" s="44" t="n">
        <v>45619</v>
      </c>
      <c r="C981" s="19" t="n">
        <f aca="false">YEAR(B981)</f>
        <v>2024</v>
      </c>
      <c r="D981" s="19" t="n">
        <f aca="false">MONTH(B981)</f>
        <v>11</v>
      </c>
      <c r="E981" s="30" t="str">
        <f aca="false">INDEX(Lists!$K$2:$K$13,MATCH(D981,Lists!$J$2:$J$13,0))</f>
        <v>نوفمبر</v>
      </c>
      <c r="F981" s="19" t="str">
        <f aca="false">"Q"&amp;ROUNDUP(D981/3,0)</f>
        <v>Q4</v>
      </c>
      <c r="G981" s="30" t="str">
        <f aca="false">INDEX(Lists!$N$2:$N$8,MATCH(WEEKDAY(B981,2),Lists!$M$2:$M$8,0))</f>
        <v>السبت</v>
      </c>
      <c r="H981" s="30" t="s">
        <v>54</v>
      </c>
      <c r="I981" s="19" t="str">
        <f aca="false">INDEX(Lists!$B$2:$B$6,MATCH(H981,Lists!$A$2:$A$6,0))</f>
        <v>المنطقة الشرقية</v>
      </c>
      <c r="J981" s="30" t="s">
        <v>111</v>
      </c>
      <c r="K981" s="30" t="s">
        <v>108</v>
      </c>
      <c r="L981" s="31" t="n">
        <v>259</v>
      </c>
      <c r="M981" s="19" t="n">
        <v>1</v>
      </c>
      <c r="N981" s="32" t="n">
        <v>0.15</v>
      </c>
      <c r="O981" s="30" t="s">
        <v>52</v>
      </c>
      <c r="P981" s="30" t="s">
        <v>51</v>
      </c>
      <c r="Q981" s="30" t="s">
        <v>92</v>
      </c>
      <c r="R981" s="25" t="n">
        <f aca="false">L981*M981*(1-N981)</f>
        <v>220.15</v>
      </c>
    </row>
    <row r="982" customFormat="false" ht="15" hidden="false" customHeight="false" outlineLevel="0" collapsed="false">
      <c r="A982" s="30" t="s">
        <v>1153</v>
      </c>
      <c r="B982" s="44" t="n">
        <v>45619</v>
      </c>
      <c r="C982" s="19" t="n">
        <f aca="false">YEAR(B982)</f>
        <v>2024</v>
      </c>
      <c r="D982" s="19" t="n">
        <f aca="false">MONTH(B982)</f>
        <v>11</v>
      </c>
      <c r="E982" s="30" t="str">
        <f aca="false">INDEX(Lists!$K$2:$K$13,MATCH(D982,Lists!$J$2:$J$13,0))</f>
        <v>نوفمبر</v>
      </c>
      <c r="F982" s="19" t="str">
        <f aca="false">"Q"&amp;ROUNDUP(D982/3,0)</f>
        <v>Q4</v>
      </c>
      <c r="G982" s="30" t="str">
        <f aca="false">INDEX(Lists!$N$2:$N$8,MATCH(WEEKDAY(B982,2),Lists!$M$2:$M$8,0))</f>
        <v>السبت</v>
      </c>
      <c r="H982" s="30" t="s">
        <v>54</v>
      </c>
      <c r="I982" s="19" t="str">
        <f aca="false">INDEX(Lists!$B$2:$B$6,MATCH(H982,Lists!$A$2:$A$6,0))</f>
        <v>المنطقة الشرقية</v>
      </c>
      <c r="J982" s="30" t="s">
        <v>111</v>
      </c>
      <c r="K982" s="30" t="s">
        <v>108</v>
      </c>
      <c r="L982" s="31" t="n">
        <v>169</v>
      </c>
      <c r="M982" s="19" t="n">
        <v>1</v>
      </c>
      <c r="N982" s="32" t="n">
        <v>0</v>
      </c>
      <c r="O982" s="30" t="s">
        <v>55</v>
      </c>
      <c r="P982" s="30" t="s">
        <v>47</v>
      </c>
      <c r="Q982" s="30" t="s">
        <v>81</v>
      </c>
      <c r="R982" s="25" t="n">
        <f aca="false">L982*M982*(1-N982)</f>
        <v>169</v>
      </c>
    </row>
    <row r="983" customFormat="false" ht="15" hidden="false" customHeight="false" outlineLevel="0" collapsed="false">
      <c r="A983" s="30" t="s">
        <v>1154</v>
      </c>
      <c r="B983" s="44" t="n">
        <v>45619</v>
      </c>
      <c r="C983" s="19" t="n">
        <f aca="false">YEAR(B983)</f>
        <v>2024</v>
      </c>
      <c r="D983" s="19" t="n">
        <f aca="false">MONTH(B983)</f>
        <v>11</v>
      </c>
      <c r="E983" s="30" t="str">
        <f aca="false">INDEX(Lists!$K$2:$K$13,MATCH(D983,Lists!$J$2:$J$13,0))</f>
        <v>نوفمبر</v>
      </c>
      <c r="F983" s="19" t="str">
        <f aca="false">"Q"&amp;ROUNDUP(D983/3,0)</f>
        <v>Q4</v>
      </c>
      <c r="G983" s="30" t="str">
        <f aca="false">INDEX(Lists!$N$2:$N$8,MATCH(WEEKDAY(B983,2),Lists!$M$2:$M$8,0))</f>
        <v>السبت</v>
      </c>
      <c r="H983" s="30" t="s">
        <v>46</v>
      </c>
      <c r="I983" s="19" t="str">
        <f aca="false">INDEX(Lists!$B$2:$B$6,MATCH(H983,Lists!$A$2:$A$6,0))</f>
        <v>المنطقة الوسطى</v>
      </c>
      <c r="J983" s="30" t="s">
        <v>111</v>
      </c>
      <c r="K983" s="30" t="s">
        <v>122</v>
      </c>
      <c r="L983" s="31" t="n">
        <v>519</v>
      </c>
      <c r="M983" s="19" t="n">
        <v>1</v>
      </c>
      <c r="N983" s="32" t="n">
        <v>0</v>
      </c>
      <c r="O983" s="30" t="s">
        <v>55</v>
      </c>
      <c r="P983" s="30" t="s">
        <v>47</v>
      </c>
      <c r="Q983" s="30" t="s">
        <v>78</v>
      </c>
      <c r="R983" s="25" t="n">
        <f aca="false">L983*M983*(1-N983)</f>
        <v>519</v>
      </c>
    </row>
    <row r="984" customFormat="false" ht="15" hidden="false" customHeight="false" outlineLevel="0" collapsed="false">
      <c r="A984" s="30" t="s">
        <v>1155</v>
      </c>
      <c r="B984" s="44" t="n">
        <v>45619</v>
      </c>
      <c r="C984" s="19" t="n">
        <f aca="false">YEAR(B984)</f>
        <v>2024</v>
      </c>
      <c r="D984" s="19" t="n">
        <f aca="false">MONTH(B984)</f>
        <v>11</v>
      </c>
      <c r="E984" s="30" t="str">
        <f aca="false">INDEX(Lists!$K$2:$K$13,MATCH(D984,Lists!$J$2:$J$13,0))</f>
        <v>نوفمبر</v>
      </c>
      <c r="F984" s="19" t="str">
        <f aca="false">"Q"&amp;ROUNDUP(D984/3,0)</f>
        <v>Q4</v>
      </c>
      <c r="G984" s="30" t="str">
        <f aca="false">INDEX(Lists!$N$2:$N$8,MATCH(WEEKDAY(B984,2),Lists!$M$2:$M$8,0))</f>
        <v>السبت</v>
      </c>
      <c r="H984" s="30" t="s">
        <v>57</v>
      </c>
      <c r="I984" s="19" t="str">
        <f aca="false">INDEX(Lists!$B$2:$B$6,MATCH(H984,Lists!$A$2:$A$6,0))</f>
        <v>المنطقة الغربية</v>
      </c>
      <c r="J984" s="30" t="s">
        <v>109</v>
      </c>
      <c r="K984" s="30" t="s">
        <v>192</v>
      </c>
      <c r="L984" s="31" t="n">
        <v>269</v>
      </c>
      <c r="M984" s="19" t="n">
        <v>1</v>
      </c>
      <c r="N984" s="32" t="n">
        <v>0</v>
      </c>
      <c r="O984" s="30" t="s">
        <v>48</v>
      </c>
      <c r="P984" s="30" t="s">
        <v>47</v>
      </c>
      <c r="Q984" s="30" t="s">
        <v>78</v>
      </c>
      <c r="R984" s="25" t="n">
        <f aca="false">L984*M984*(1-N984)</f>
        <v>269</v>
      </c>
    </row>
    <row r="985" customFormat="false" ht="15" hidden="false" customHeight="false" outlineLevel="0" collapsed="false">
      <c r="A985" s="30" t="s">
        <v>1156</v>
      </c>
      <c r="B985" s="44" t="n">
        <v>45619</v>
      </c>
      <c r="C985" s="19" t="n">
        <f aca="false">YEAR(B985)</f>
        <v>2024</v>
      </c>
      <c r="D985" s="19" t="n">
        <f aca="false">MONTH(B985)</f>
        <v>11</v>
      </c>
      <c r="E985" s="30" t="str">
        <f aca="false">INDEX(Lists!$K$2:$K$13,MATCH(D985,Lists!$J$2:$J$13,0))</f>
        <v>نوفمبر</v>
      </c>
      <c r="F985" s="19" t="str">
        <f aca="false">"Q"&amp;ROUNDUP(D985/3,0)</f>
        <v>Q4</v>
      </c>
      <c r="G985" s="30" t="str">
        <f aca="false">INDEX(Lists!$N$2:$N$8,MATCH(WEEKDAY(B985,2),Lists!$M$2:$M$8,0))</f>
        <v>السبت</v>
      </c>
      <c r="H985" s="30" t="s">
        <v>50</v>
      </c>
      <c r="I985" s="19" t="str">
        <f aca="false">INDEX(Lists!$B$2:$B$6,MATCH(H985,Lists!$A$2:$A$6,0))</f>
        <v>المنطقة الغربية</v>
      </c>
      <c r="J985" s="30" t="s">
        <v>111</v>
      </c>
      <c r="K985" s="30" t="s">
        <v>118</v>
      </c>
      <c r="L985" s="31" t="n">
        <v>379</v>
      </c>
      <c r="M985" s="19" t="n">
        <v>4</v>
      </c>
      <c r="N985" s="32" t="n">
        <v>0.05</v>
      </c>
      <c r="O985" s="30" t="s">
        <v>52</v>
      </c>
      <c r="P985" s="30" t="s">
        <v>51</v>
      </c>
      <c r="Q985" s="30" t="s">
        <v>89</v>
      </c>
      <c r="R985" s="25" t="n">
        <f aca="false">L985*M985*(1-N985)</f>
        <v>1440.2</v>
      </c>
    </row>
    <row r="986" customFormat="false" ht="15" hidden="false" customHeight="false" outlineLevel="0" collapsed="false">
      <c r="A986" s="30" t="s">
        <v>1157</v>
      </c>
      <c r="B986" s="44" t="n">
        <v>45619</v>
      </c>
      <c r="C986" s="19" t="n">
        <f aca="false">YEAR(B986)</f>
        <v>2024</v>
      </c>
      <c r="D986" s="19" t="n">
        <f aca="false">MONTH(B986)</f>
        <v>11</v>
      </c>
      <c r="E986" s="30" t="str">
        <f aca="false">INDEX(Lists!$K$2:$K$13,MATCH(D986,Lists!$J$2:$J$13,0))</f>
        <v>نوفمبر</v>
      </c>
      <c r="F986" s="19" t="str">
        <f aca="false">"Q"&amp;ROUNDUP(D986/3,0)</f>
        <v>Q4</v>
      </c>
      <c r="G986" s="30" t="str">
        <f aca="false">INDEX(Lists!$N$2:$N$8,MATCH(WEEKDAY(B986,2),Lists!$M$2:$M$8,0))</f>
        <v>السبت</v>
      </c>
      <c r="H986" s="30" t="s">
        <v>46</v>
      </c>
      <c r="I986" s="19" t="str">
        <f aca="false">INDEX(Lists!$B$2:$B$6,MATCH(H986,Lists!$A$2:$A$6,0))</f>
        <v>المنطقة الوسطى</v>
      </c>
      <c r="J986" s="30" t="s">
        <v>111</v>
      </c>
      <c r="K986" s="30" t="s">
        <v>122</v>
      </c>
      <c r="L986" s="31" t="n">
        <v>149</v>
      </c>
      <c r="M986" s="19" t="n">
        <v>2</v>
      </c>
      <c r="N986" s="32" t="n">
        <v>0.15</v>
      </c>
      <c r="O986" s="30" t="s">
        <v>58</v>
      </c>
      <c r="P986" s="30" t="s">
        <v>51</v>
      </c>
      <c r="Q986" s="30" t="s">
        <v>84</v>
      </c>
      <c r="R986" s="25" t="n">
        <f aca="false">L986*M986*(1-N986)</f>
        <v>253.3</v>
      </c>
    </row>
    <row r="987" customFormat="false" ht="15" hidden="false" customHeight="false" outlineLevel="0" collapsed="false">
      <c r="A987" s="30" t="s">
        <v>1158</v>
      </c>
      <c r="B987" s="44" t="n">
        <v>45620</v>
      </c>
      <c r="C987" s="19" t="n">
        <f aca="false">YEAR(B987)</f>
        <v>2024</v>
      </c>
      <c r="D987" s="19" t="n">
        <f aca="false">MONTH(B987)</f>
        <v>11</v>
      </c>
      <c r="E987" s="30" t="str">
        <f aca="false">INDEX(Lists!$K$2:$K$13,MATCH(D987,Lists!$J$2:$J$13,0))</f>
        <v>نوفمبر</v>
      </c>
      <c r="F987" s="19" t="str">
        <f aca="false">"Q"&amp;ROUNDUP(D987/3,0)</f>
        <v>Q4</v>
      </c>
      <c r="G987" s="30" t="str">
        <f aca="false">INDEX(Lists!$N$2:$N$8,MATCH(WEEKDAY(B987,2),Lists!$M$2:$M$8,0))</f>
        <v>الأحد</v>
      </c>
      <c r="H987" s="30" t="s">
        <v>50</v>
      </c>
      <c r="I987" s="19" t="str">
        <f aca="false">INDEX(Lists!$B$2:$B$6,MATCH(H987,Lists!$A$2:$A$6,0))</f>
        <v>المنطقة الغربية</v>
      </c>
      <c r="J987" s="30" t="s">
        <v>105</v>
      </c>
      <c r="K987" s="30" t="s">
        <v>82</v>
      </c>
      <c r="L987" s="31" t="n">
        <v>3929</v>
      </c>
      <c r="M987" s="19" t="n">
        <v>6</v>
      </c>
      <c r="N987" s="32" t="n">
        <v>0</v>
      </c>
      <c r="O987" s="30" t="s">
        <v>58</v>
      </c>
      <c r="P987" s="30" t="s">
        <v>51</v>
      </c>
      <c r="Q987" s="30" t="s">
        <v>84</v>
      </c>
      <c r="R987" s="25" t="n">
        <f aca="false">L987*M987*(1-N987)</f>
        <v>23574</v>
      </c>
    </row>
    <row r="988" customFormat="false" ht="15" hidden="false" customHeight="false" outlineLevel="0" collapsed="false">
      <c r="A988" s="30" t="s">
        <v>1159</v>
      </c>
      <c r="B988" s="44" t="n">
        <v>45620</v>
      </c>
      <c r="C988" s="19" t="n">
        <f aca="false">YEAR(B988)</f>
        <v>2024</v>
      </c>
      <c r="D988" s="19" t="n">
        <f aca="false">MONTH(B988)</f>
        <v>11</v>
      </c>
      <c r="E988" s="30" t="str">
        <f aca="false">INDEX(Lists!$K$2:$K$13,MATCH(D988,Lists!$J$2:$J$13,0))</f>
        <v>نوفمبر</v>
      </c>
      <c r="F988" s="19" t="str">
        <f aca="false">"Q"&amp;ROUNDUP(D988/3,0)</f>
        <v>Q4</v>
      </c>
      <c r="G988" s="30" t="str">
        <f aca="false">INDEX(Lists!$N$2:$N$8,MATCH(WEEKDAY(B988,2),Lists!$M$2:$M$8,0))</f>
        <v>الأحد</v>
      </c>
      <c r="H988" s="30" t="s">
        <v>57</v>
      </c>
      <c r="I988" s="19" t="str">
        <f aca="false">INDEX(Lists!$B$2:$B$6,MATCH(H988,Lists!$A$2:$A$6,0))</f>
        <v>المنطقة الغربية</v>
      </c>
      <c r="J988" s="30" t="s">
        <v>109</v>
      </c>
      <c r="K988" s="30" t="s">
        <v>93</v>
      </c>
      <c r="L988" s="31" t="n">
        <v>239</v>
      </c>
      <c r="M988" s="19" t="n">
        <v>1</v>
      </c>
      <c r="N988" s="32" t="n">
        <v>0</v>
      </c>
      <c r="O988" s="30" t="s">
        <v>58</v>
      </c>
      <c r="P988" s="30" t="s">
        <v>51</v>
      </c>
      <c r="Q988" s="30" t="s">
        <v>89</v>
      </c>
      <c r="R988" s="25" t="n">
        <f aca="false">L988*M988*(1-N988)</f>
        <v>239</v>
      </c>
    </row>
    <row r="989" customFormat="false" ht="15" hidden="false" customHeight="false" outlineLevel="0" collapsed="false">
      <c r="A989" s="30" t="s">
        <v>1160</v>
      </c>
      <c r="B989" s="44" t="n">
        <v>45620</v>
      </c>
      <c r="C989" s="19" t="n">
        <f aca="false">YEAR(B989)</f>
        <v>2024</v>
      </c>
      <c r="D989" s="19" t="n">
        <f aca="false">MONTH(B989)</f>
        <v>11</v>
      </c>
      <c r="E989" s="30" t="str">
        <f aca="false">INDEX(Lists!$K$2:$K$13,MATCH(D989,Lists!$J$2:$J$13,0))</f>
        <v>نوفمبر</v>
      </c>
      <c r="F989" s="19" t="str">
        <f aca="false">"Q"&amp;ROUNDUP(D989/3,0)</f>
        <v>Q4</v>
      </c>
      <c r="G989" s="30" t="str">
        <f aca="false">INDEX(Lists!$N$2:$N$8,MATCH(WEEKDAY(B989,2),Lists!$M$2:$M$8,0))</f>
        <v>الأحد</v>
      </c>
      <c r="H989" s="30" t="s">
        <v>50</v>
      </c>
      <c r="I989" s="19" t="str">
        <f aca="false">INDEX(Lists!$B$2:$B$6,MATCH(H989,Lists!$A$2:$A$6,0))</f>
        <v>المنطقة الغربية</v>
      </c>
      <c r="J989" s="30" t="s">
        <v>107</v>
      </c>
      <c r="K989" s="30" t="s">
        <v>184</v>
      </c>
      <c r="L989" s="31" t="n">
        <v>2979</v>
      </c>
      <c r="M989" s="19" t="n">
        <v>1</v>
      </c>
      <c r="N989" s="32" t="n">
        <v>0.05</v>
      </c>
      <c r="O989" s="30" t="s">
        <v>48</v>
      </c>
      <c r="P989" s="30" t="s">
        <v>47</v>
      </c>
      <c r="Q989" s="30" t="s">
        <v>96</v>
      </c>
      <c r="R989" s="25" t="n">
        <f aca="false">L989*M989*(1-N989)</f>
        <v>2830.05</v>
      </c>
    </row>
    <row r="990" customFormat="false" ht="15" hidden="false" customHeight="false" outlineLevel="0" collapsed="false">
      <c r="A990" s="30" t="s">
        <v>1161</v>
      </c>
      <c r="B990" s="44" t="n">
        <v>45620</v>
      </c>
      <c r="C990" s="19" t="n">
        <f aca="false">YEAR(B990)</f>
        <v>2024</v>
      </c>
      <c r="D990" s="19" t="n">
        <f aca="false">MONTH(B990)</f>
        <v>11</v>
      </c>
      <c r="E990" s="30" t="str">
        <f aca="false">INDEX(Lists!$K$2:$K$13,MATCH(D990,Lists!$J$2:$J$13,0))</f>
        <v>نوفمبر</v>
      </c>
      <c r="F990" s="19" t="str">
        <f aca="false">"Q"&amp;ROUNDUP(D990/3,0)</f>
        <v>Q4</v>
      </c>
      <c r="G990" s="30" t="str">
        <f aca="false">INDEX(Lists!$N$2:$N$8,MATCH(WEEKDAY(B990,2),Lists!$M$2:$M$8,0))</f>
        <v>الأحد</v>
      </c>
      <c r="H990" s="30" t="s">
        <v>46</v>
      </c>
      <c r="I990" s="19" t="str">
        <f aca="false">INDEX(Lists!$B$2:$B$6,MATCH(H990,Lists!$A$2:$A$6,0))</f>
        <v>المنطقة الوسطى</v>
      </c>
      <c r="J990" s="30" t="s">
        <v>105</v>
      </c>
      <c r="K990" s="30" t="s">
        <v>85</v>
      </c>
      <c r="L990" s="31" t="n">
        <v>1909</v>
      </c>
      <c r="M990" s="19" t="n">
        <v>1</v>
      </c>
      <c r="N990" s="32" t="n">
        <v>0.05</v>
      </c>
      <c r="O990" s="30" t="s">
        <v>55</v>
      </c>
      <c r="P990" s="30" t="s">
        <v>47</v>
      </c>
      <c r="Q990" s="30" t="s">
        <v>76</v>
      </c>
      <c r="R990" s="25" t="n">
        <f aca="false">L990*M990*(1-N990)</f>
        <v>1813.55</v>
      </c>
    </row>
    <row r="991" customFormat="false" ht="15" hidden="false" customHeight="false" outlineLevel="0" collapsed="false">
      <c r="A991" s="30" t="s">
        <v>1162</v>
      </c>
      <c r="B991" s="44" t="n">
        <v>45620</v>
      </c>
      <c r="C991" s="19" t="n">
        <f aca="false">YEAR(B991)</f>
        <v>2024</v>
      </c>
      <c r="D991" s="19" t="n">
        <f aca="false">MONTH(B991)</f>
        <v>11</v>
      </c>
      <c r="E991" s="30" t="str">
        <f aca="false">INDEX(Lists!$K$2:$K$13,MATCH(D991,Lists!$J$2:$J$13,0))</f>
        <v>نوفمبر</v>
      </c>
      <c r="F991" s="19" t="str">
        <f aca="false">"Q"&amp;ROUNDUP(D991/3,0)</f>
        <v>Q4</v>
      </c>
      <c r="G991" s="30" t="str">
        <f aca="false">INDEX(Lists!$N$2:$N$8,MATCH(WEEKDAY(B991,2),Lists!$M$2:$M$8,0))</f>
        <v>الأحد</v>
      </c>
      <c r="H991" s="30" t="s">
        <v>46</v>
      </c>
      <c r="I991" s="19" t="str">
        <f aca="false">INDEX(Lists!$B$2:$B$6,MATCH(H991,Lists!$A$2:$A$6,0))</f>
        <v>المنطقة الوسطى</v>
      </c>
      <c r="J991" s="30" t="s">
        <v>113</v>
      </c>
      <c r="K991" s="30" t="s">
        <v>121</v>
      </c>
      <c r="L991" s="31" t="n">
        <v>779</v>
      </c>
      <c r="M991" s="19" t="n">
        <v>1</v>
      </c>
      <c r="N991" s="32" t="n">
        <v>0.05</v>
      </c>
      <c r="O991" s="30" t="s">
        <v>58</v>
      </c>
      <c r="P991" s="30" t="s">
        <v>47</v>
      </c>
      <c r="Q991" s="30" t="s">
        <v>89</v>
      </c>
      <c r="R991" s="25" t="n">
        <f aca="false">L991*M991*(1-N991)</f>
        <v>740.05</v>
      </c>
    </row>
    <row r="992" customFormat="false" ht="15" hidden="false" customHeight="false" outlineLevel="0" collapsed="false">
      <c r="A992" s="30" t="s">
        <v>1163</v>
      </c>
      <c r="B992" s="44" t="n">
        <v>45621</v>
      </c>
      <c r="C992" s="19" t="n">
        <f aca="false">YEAR(B992)</f>
        <v>2024</v>
      </c>
      <c r="D992" s="19" t="n">
        <f aca="false">MONTH(B992)</f>
        <v>11</v>
      </c>
      <c r="E992" s="30" t="str">
        <f aca="false">INDEX(Lists!$K$2:$K$13,MATCH(D992,Lists!$J$2:$J$13,0))</f>
        <v>نوفمبر</v>
      </c>
      <c r="F992" s="19" t="str">
        <f aca="false">"Q"&amp;ROUNDUP(D992/3,0)</f>
        <v>Q4</v>
      </c>
      <c r="G992" s="30" t="str">
        <f aca="false">INDEX(Lists!$N$2:$N$8,MATCH(WEEKDAY(B992,2),Lists!$M$2:$M$8,0))</f>
        <v>الإثنين</v>
      </c>
      <c r="H992" s="30" t="s">
        <v>54</v>
      </c>
      <c r="I992" s="19" t="str">
        <f aca="false">INDEX(Lists!$B$2:$B$6,MATCH(H992,Lists!$A$2:$A$6,0))</f>
        <v>المنطقة الشرقية</v>
      </c>
      <c r="J992" s="30" t="s">
        <v>105</v>
      </c>
      <c r="K992" s="30" t="s">
        <v>79</v>
      </c>
      <c r="L992" s="31" t="n">
        <v>2309</v>
      </c>
      <c r="M992" s="19" t="n">
        <v>1</v>
      </c>
      <c r="N992" s="32" t="n">
        <v>0.2</v>
      </c>
      <c r="O992" s="30" t="s">
        <v>52</v>
      </c>
      <c r="P992" s="30" t="s">
        <v>51</v>
      </c>
      <c r="Q992" s="30" t="s">
        <v>96</v>
      </c>
      <c r="R992" s="25" t="n">
        <f aca="false">L992*M992*(1-N992)</f>
        <v>1847.2</v>
      </c>
    </row>
    <row r="993" customFormat="false" ht="15" hidden="false" customHeight="false" outlineLevel="0" collapsed="false">
      <c r="A993" s="30" t="s">
        <v>1164</v>
      </c>
      <c r="B993" s="44" t="n">
        <v>45621</v>
      </c>
      <c r="C993" s="19" t="n">
        <f aca="false">YEAR(B993)</f>
        <v>2024</v>
      </c>
      <c r="D993" s="19" t="n">
        <f aca="false">MONTH(B993)</f>
        <v>11</v>
      </c>
      <c r="E993" s="30" t="str">
        <f aca="false">INDEX(Lists!$K$2:$K$13,MATCH(D993,Lists!$J$2:$J$13,0))</f>
        <v>نوفمبر</v>
      </c>
      <c r="F993" s="19" t="str">
        <f aca="false">"Q"&amp;ROUNDUP(D993/3,0)</f>
        <v>Q4</v>
      </c>
      <c r="G993" s="30" t="str">
        <f aca="false">INDEX(Lists!$N$2:$N$8,MATCH(WEEKDAY(B993,2),Lists!$M$2:$M$8,0))</f>
        <v>الإثنين</v>
      </c>
      <c r="H993" s="30" t="s">
        <v>46</v>
      </c>
      <c r="I993" s="19" t="str">
        <f aca="false">INDEX(Lists!$B$2:$B$6,MATCH(H993,Lists!$A$2:$A$6,0))</f>
        <v>المنطقة الوسطى</v>
      </c>
      <c r="J993" s="30" t="s">
        <v>109</v>
      </c>
      <c r="K993" s="30" t="s">
        <v>93</v>
      </c>
      <c r="L993" s="31" t="n">
        <v>89</v>
      </c>
      <c r="M993" s="19" t="n">
        <v>2</v>
      </c>
      <c r="N993" s="32" t="n">
        <v>0.1</v>
      </c>
      <c r="O993" s="30" t="s">
        <v>55</v>
      </c>
      <c r="P993" s="30" t="s">
        <v>47</v>
      </c>
      <c r="Q993" s="30" t="s">
        <v>86</v>
      </c>
      <c r="R993" s="25" t="n">
        <f aca="false">L993*M993*(1-N993)</f>
        <v>160.2</v>
      </c>
    </row>
    <row r="994" customFormat="false" ht="15" hidden="false" customHeight="false" outlineLevel="0" collapsed="false">
      <c r="A994" s="30" t="s">
        <v>1165</v>
      </c>
      <c r="B994" s="44" t="n">
        <v>45621</v>
      </c>
      <c r="C994" s="19" t="n">
        <f aca="false">YEAR(B994)</f>
        <v>2024</v>
      </c>
      <c r="D994" s="19" t="n">
        <f aca="false">MONTH(B994)</f>
        <v>11</v>
      </c>
      <c r="E994" s="30" t="str">
        <f aca="false">INDEX(Lists!$K$2:$K$13,MATCH(D994,Lists!$J$2:$J$13,0))</f>
        <v>نوفمبر</v>
      </c>
      <c r="F994" s="19" t="str">
        <f aca="false">"Q"&amp;ROUNDUP(D994/3,0)</f>
        <v>Q4</v>
      </c>
      <c r="G994" s="30" t="str">
        <f aca="false">INDEX(Lists!$N$2:$N$8,MATCH(WEEKDAY(B994,2),Lists!$M$2:$M$8,0))</f>
        <v>الإثنين</v>
      </c>
      <c r="H994" s="30" t="s">
        <v>46</v>
      </c>
      <c r="I994" s="19" t="str">
        <f aca="false">INDEX(Lists!$B$2:$B$6,MATCH(H994,Lists!$A$2:$A$6,0))</f>
        <v>المنطقة الوسطى</v>
      </c>
      <c r="J994" s="30" t="s">
        <v>105</v>
      </c>
      <c r="K994" s="30" t="s">
        <v>85</v>
      </c>
      <c r="L994" s="31" t="n">
        <v>1209</v>
      </c>
      <c r="M994" s="19" t="n">
        <v>1</v>
      </c>
      <c r="N994" s="32" t="n">
        <v>0.1</v>
      </c>
      <c r="O994" s="30" t="s">
        <v>55</v>
      </c>
      <c r="P994" s="30" t="s">
        <v>47</v>
      </c>
      <c r="Q994" s="30" t="s">
        <v>96</v>
      </c>
      <c r="R994" s="25" t="n">
        <f aca="false">L994*M994*(1-N994)</f>
        <v>1088.1</v>
      </c>
    </row>
    <row r="995" customFormat="false" ht="15" hidden="false" customHeight="false" outlineLevel="0" collapsed="false">
      <c r="A995" s="30" t="s">
        <v>1166</v>
      </c>
      <c r="B995" s="44" t="n">
        <v>45622</v>
      </c>
      <c r="C995" s="19" t="n">
        <f aca="false">YEAR(B995)</f>
        <v>2024</v>
      </c>
      <c r="D995" s="19" t="n">
        <f aca="false">MONTH(B995)</f>
        <v>11</v>
      </c>
      <c r="E995" s="30" t="str">
        <f aca="false">INDEX(Lists!$K$2:$K$13,MATCH(D995,Lists!$J$2:$J$13,0))</f>
        <v>نوفمبر</v>
      </c>
      <c r="F995" s="19" t="str">
        <f aca="false">"Q"&amp;ROUNDUP(D995/3,0)</f>
        <v>Q4</v>
      </c>
      <c r="G995" s="30" t="str">
        <f aca="false">INDEX(Lists!$N$2:$N$8,MATCH(WEEKDAY(B995,2),Lists!$M$2:$M$8,0))</f>
        <v>الثلاثاء</v>
      </c>
      <c r="H995" s="30" t="s">
        <v>46</v>
      </c>
      <c r="I995" s="19" t="str">
        <f aca="false">INDEX(Lists!$B$2:$B$6,MATCH(H995,Lists!$A$2:$A$6,0))</f>
        <v>المنطقة الوسطى</v>
      </c>
      <c r="J995" s="30" t="s">
        <v>105</v>
      </c>
      <c r="K995" s="30" t="s">
        <v>90</v>
      </c>
      <c r="L995" s="31" t="n">
        <v>2519</v>
      </c>
      <c r="M995" s="19" t="n">
        <v>2</v>
      </c>
      <c r="N995" s="32" t="n">
        <v>0.15</v>
      </c>
      <c r="O995" s="30" t="s">
        <v>52</v>
      </c>
      <c r="P995" s="30" t="s">
        <v>47</v>
      </c>
      <c r="Q995" s="30" t="s">
        <v>94</v>
      </c>
      <c r="R995" s="25" t="n">
        <f aca="false">L995*M995*(1-N995)</f>
        <v>4282.3</v>
      </c>
    </row>
    <row r="996" customFormat="false" ht="15" hidden="false" customHeight="false" outlineLevel="0" collapsed="false">
      <c r="A996" s="30" t="s">
        <v>1167</v>
      </c>
      <c r="B996" s="44" t="n">
        <v>45622</v>
      </c>
      <c r="C996" s="19" t="n">
        <f aca="false">YEAR(B996)</f>
        <v>2024</v>
      </c>
      <c r="D996" s="19" t="n">
        <f aca="false">MONTH(B996)</f>
        <v>11</v>
      </c>
      <c r="E996" s="30" t="str">
        <f aca="false">INDEX(Lists!$K$2:$K$13,MATCH(D996,Lists!$J$2:$J$13,0))</f>
        <v>نوفمبر</v>
      </c>
      <c r="F996" s="19" t="str">
        <f aca="false">"Q"&amp;ROUNDUP(D996/3,0)</f>
        <v>Q4</v>
      </c>
      <c r="G996" s="30" t="str">
        <f aca="false">INDEX(Lists!$N$2:$N$8,MATCH(WEEKDAY(B996,2),Lists!$M$2:$M$8,0))</f>
        <v>الثلاثاء</v>
      </c>
      <c r="H996" s="30" t="s">
        <v>60</v>
      </c>
      <c r="I996" s="19" t="str">
        <f aca="false">INDEX(Lists!$B$2:$B$6,MATCH(H996,Lists!$A$2:$A$6,0))</f>
        <v>المنطقة الغربية</v>
      </c>
      <c r="J996" s="30" t="s">
        <v>109</v>
      </c>
      <c r="K996" s="30" t="s">
        <v>110</v>
      </c>
      <c r="L996" s="31" t="n">
        <v>99</v>
      </c>
      <c r="M996" s="19" t="n">
        <v>8</v>
      </c>
      <c r="N996" s="32" t="n">
        <v>0</v>
      </c>
      <c r="O996" s="30" t="s">
        <v>55</v>
      </c>
      <c r="P996" s="30" t="s">
        <v>51</v>
      </c>
      <c r="Q996" s="30" t="s">
        <v>94</v>
      </c>
      <c r="R996" s="25" t="n">
        <f aca="false">L996*M996*(1-N996)</f>
        <v>792</v>
      </c>
    </row>
    <row r="997" customFormat="false" ht="15" hidden="false" customHeight="false" outlineLevel="0" collapsed="false">
      <c r="A997" s="30" t="s">
        <v>1168</v>
      </c>
      <c r="B997" s="44" t="n">
        <v>45622</v>
      </c>
      <c r="C997" s="19" t="n">
        <f aca="false">YEAR(B997)</f>
        <v>2024</v>
      </c>
      <c r="D997" s="19" t="n">
        <f aca="false">MONTH(B997)</f>
        <v>11</v>
      </c>
      <c r="E997" s="30" t="str">
        <f aca="false">INDEX(Lists!$K$2:$K$13,MATCH(D997,Lists!$J$2:$J$13,0))</f>
        <v>نوفمبر</v>
      </c>
      <c r="F997" s="19" t="str">
        <f aca="false">"Q"&amp;ROUNDUP(D997/3,0)</f>
        <v>Q4</v>
      </c>
      <c r="G997" s="30" t="str">
        <f aca="false">INDEX(Lists!$N$2:$N$8,MATCH(WEEKDAY(B997,2),Lists!$M$2:$M$8,0))</f>
        <v>الثلاثاء</v>
      </c>
      <c r="H997" s="30" t="s">
        <v>50</v>
      </c>
      <c r="I997" s="19" t="str">
        <f aca="false">INDEX(Lists!$B$2:$B$6,MATCH(H997,Lists!$A$2:$A$6,0))</f>
        <v>المنطقة الغربية</v>
      </c>
      <c r="J997" s="30" t="s">
        <v>109</v>
      </c>
      <c r="K997" s="30" t="s">
        <v>192</v>
      </c>
      <c r="L997" s="31" t="n">
        <v>229</v>
      </c>
      <c r="M997" s="19" t="n">
        <v>1</v>
      </c>
      <c r="N997" s="32" t="n">
        <v>0</v>
      </c>
      <c r="O997" s="30" t="s">
        <v>52</v>
      </c>
      <c r="P997" s="30" t="s">
        <v>51</v>
      </c>
      <c r="Q997" s="30" t="s">
        <v>89</v>
      </c>
      <c r="R997" s="25" t="n">
        <f aca="false">L997*M997*(1-N997)</f>
        <v>229</v>
      </c>
    </row>
    <row r="998" customFormat="false" ht="15" hidden="false" customHeight="false" outlineLevel="0" collapsed="false">
      <c r="A998" s="30" t="s">
        <v>1169</v>
      </c>
      <c r="B998" s="44" t="n">
        <v>45622</v>
      </c>
      <c r="C998" s="19" t="n">
        <f aca="false">YEAR(B998)</f>
        <v>2024</v>
      </c>
      <c r="D998" s="19" t="n">
        <f aca="false">MONTH(B998)</f>
        <v>11</v>
      </c>
      <c r="E998" s="30" t="str">
        <f aca="false">INDEX(Lists!$K$2:$K$13,MATCH(D998,Lists!$J$2:$J$13,0))</f>
        <v>نوفمبر</v>
      </c>
      <c r="F998" s="19" t="str">
        <f aca="false">"Q"&amp;ROUNDUP(D998/3,0)</f>
        <v>Q4</v>
      </c>
      <c r="G998" s="30" t="str">
        <f aca="false">INDEX(Lists!$N$2:$N$8,MATCH(WEEKDAY(B998,2),Lists!$M$2:$M$8,0))</f>
        <v>الثلاثاء</v>
      </c>
      <c r="H998" s="30" t="s">
        <v>46</v>
      </c>
      <c r="I998" s="19" t="str">
        <f aca="false">INDEX(Lists!$B$2:$B$6,MATCH(H998,Lists!$A$2:$A$6,0))</f>
        <v>المنطقة الوسطى</v>
      </c>
      <c r="J998" s="30" t="s">
        <v>111</v>
      </c>
      <c r="K998" s="30" t="s">
        <v>120</v>
      </c>
      <c r="L998" s="31" t="n">
        <v>329</v>
      </c>
      <c r="M998" s="19" t="n">
        <v>1</v>
      </c>
      <c r="N998" s="32" t="n">
        <v>0.1</v>
      </c>
      <c r="O998" s="30" t="s">
        <v>48</v>
      </c>
      <c r="P998" s="30" t="s">
        <v>47</v>
      </c>
      <c r="Q998" s="30" t="s">
        <v>78</v>
      </c>
      <c r="R998" s="25" t="n">
        <f aca="false">L998*M998*(1-N998)</f>
        <v>296.1</v>
      </c>
    </row>
    <row r="999" customFormat="false" ht="15" hidden="false" customHeight="false" outlineLevel="0" collapsed="false">
      <c r="A999" s="30" t="s">
        <v>1170</v>
      </c>
      <c r="B999" s="44" t="n">
        <v>45622</v>
      </c>
      <c r="C999" s="19" t="n">
        <f aca="false">YEAR(B999)</f>
        <v>2024</v>
      </c>
      <c r="D999" s="19" t="n">
        <f aca="false">MONTH(B999)</f>
        <v>11</v>
      </c>
      <c r="E999" s="30" t="str">
        <f aca="false">INDEX(Lists!$K$2:$K$13,MATCH(D999,Lists!$J$2:$J$13,0))</f>
        <v>نوفمبر</v>
      </c>
      <c r="F999" s="19" t="str">
        <f aca="false">"Q"&amp;ROUNDUP(D999/3,0)</f>
        <v>Q4</v>
      </c>
      <c r="G999" s="30" t="str">
        <f aca="false">INDEX(Lists!$N$2:$N$8,MATCH(WEEKDAY(B999,2),Lists!$M$2:$M$8,0))</f>
        <v>الثلاثاء</v>
      </c>
      <c r="H999" s="30" t="s">
        <v>50</v>
      </c>
      <c r="I999" s="19" t="str">
        <f aca="false">INDEX(Lists!$B$2:$B$6,MATCH(H999,Lists!$A$2:$A$6,0))</f>
        <v>المنطقة الغربية</v>
      </c>
      <c r="J999" s="30" t="s">
        <v>105</v>
      </c>
      <c r="K999" s="30" t="s">
        <v>85</v>
      </c>
      <c r="L999" s="31" t="n">
        <v>4019</v>
      </c>
      <c r="M999" s="19" t="n">
        <v>1</v>
      </c>
      <c r="N999" s="32" t="n">
        <v>0</v>
      </c>
      <c r="O999" s="30" t="s">
        <v>48</v>
      </c>
      <c r="P999" s="30" t="s">
        <v>47</v>
      </c>
      <c r="Q999" s="30" t="s">
        <v>89</v>
      </c>
      <c r="R999" s="25" t="n">
        <f aca="false">L999*M999*(1-N999)</f>
        <v>4019</v>
      </c>
    </row>
    <row r="1000" customFormat="false" ht="15" hidden="false" customHeight="false" outlineLevel="0" collapsed="false">
      <c r="A1000" s="30" t="s">
        <v>1171</v>
      </c>
      <c r="B1000" s="44" t="n">
        <v>45622</v>
      </c>
      <c r="C1000" s="19" t="n">
        <f aca="false">YEAR(B1000)</f>
        <v>2024</v>
      </c>
      <c r="D1000" s="19" t="n">
        <f aca="false">MONTH(B1000)</f>
        <v>11</v>
      </c>
      <c r="E1000" s="30" t="str">
        <f aca="false">INDEX(Lists!$K$2:$K$13,MATCH(D1000,Lists!$J$2:$J$13,0))</f>
        <v>نوفمبر</v>
      </c>
      <c r="F1000" s="19" t="str">
        <f aca="false">"Q"&amp;ROUNDUP(D1000/3,0)</f>
        <v>Q4</v>
      </c>
      <c r="G1000" s="30" t="str">
        <f aca="false">INDEX(Lists!$N$2:$N$8,MATCH(WEEKDAY(B1000,2),Lists!$M$2:$M$8,0))</f>
        <v>الثلاثاء</v>
      </c>
      <c r="H1000" s="30" t="s">
        <v>57</v>
      </c>
      <c r="I1000" s="19" t="str">
        <f aca="false">INDEX(Lists!$B$2:$B$6,MATCH(H1000,Lists!$A$2:$A$6,0))</f>
        <v>المنطقة الغربية</v>
      </c>
      <c r="J1000" s="30" t="s">
        <v>109</v>
      </c>
      <c r="K1000" s="30" t="s">
        <v>171</v>
      </c>
      <c r="L1000" s="31" t="n">
        <v>59</v>
      </c>
      <c r="M1000" s="19" t="n">
        <v>1</v>
      </c>
      <c r="N1000" s="32" t="n">
        <v>0</v>
      </c>
      <c r="O1000" s="30" t="s">
        <v>52</v>
      </c>
      <c r="P1000" s="30" t="s">
        <v>47</v>
      </c>
      <c r="Q1000" s="30" t="s">
        <v>78</v>
      </c>
      <c r="R1000" s="25" t="n">
        <f aca="false">L1000*M1000*(1-N1000)</f>
        <v>59</v>
      </c>
    </row>
    <row r="1001" customFormat="false" ht="15" hidden="false" customHeight="false" outlineLevel="0" collapsed="false">
      <c r="A1001" s="30" t="s">
        <v>1172</v>
      </c>
      <c r="B1001" s="44" t="n">
        <v>45623</v>
      </c>
      <c r="C1001" s="19" t="n">
        <f aca="false">YEAR(B1001)</f>
        <v>2024</v>
      </c>
      <c r="D1001" s="19" t="n">
        <f aca="false">MONTH(B1001)</f>
        <v>11</v>
      </c>
      <c r="E1001" s="30" t="str">
        <f aca="false">INDEX(Lists!$K$2:$K$13,MATCH(D1001,Lists!$J$2:$J$13,0))</f>
        <v>نوفمبر</v>
      </c>
      <c r="F1001" s="19" t="str">
        <f aca="false">"Q"&amp;ROUNDUP(D1001/3,0)</f>
        <v>Q4</v>
      </c>
      <c r="G1001" s="30" t="str">
        <f aca="false">INDEX(Lists!$N$2:$N$8,MATCH(WEEKDAY(B1001,2),Lists!$M$2:$M$8,0))</f>
        <v>الأربعاء</v>
      </c>
      <c r="H1001" s="30" t="s">
        <v>57</v>
      </c>
      <c r="I1001" s="19" t="str">
        <f aca="false">INDEX(Lists!$B$2:$B$6,MATCH(H1001,Lists!$A$2:$A$6,0))</f>
        <v>المنطقة الغربية</v>
      </c>
      <c r="J1001" s="30" t="s">
        <v>109</v>
      </c>
      <c r="K1001" s="30" t="s">
        <v>110</v>
      </c>
      <c r="L1001" s="31" t="n">
        <v>59</v>
      </c>
      <c r="M1001" s="19" t="n">
        <v>2</v>
      </c>
      <c r="N1001" s="32" t="n">
        <v>0.05</v>
      </c>
      <c r="O1001" s="30" t="s">
        <v>48</v>
      </c>
      <c r="P1001" s="30" t="s">
        <v>47</v>
      </c>
      <c r="Q1001" s="30" t="s">
        <v>86</v>
      </c>
      <c r="R1001" s="25" t="n">
        <f aca="false">L1001*M1001*(1-N1001)</f>
        <v>112.1</v>
      </c>
    </row>
    <row r="1002" customFormat="false" ht="15" hidden="false" customHeight="false" outlineLevel="0" collapsed="false">
      <c r="A1002" s="30" t="s">
        <v>1173</v>
      </c>
      <c r="B1002" s="44" t="n">
        <v>45623</v>
      </c>
      <c r="C1002" s="19" t="n">
        <f aca="false">YEAR(B1002)</f>
        <v>2024</v>
      </c>
      <c r="D1002" s="19" t="n">
        <f aca="false">MONTH(B1002)</f>
        <v>11</v>
      </c>
      <c r="E1002" s="30" t="str">
        <f aca="false">INDEX(Lists!$K$2:$K$13,MATCH(D1002,Lists!$J$2:$J$13,0))</f>
        <v>نوفمبر</v>
      </c>
      <c r="F1002" s="19" t="str">
        <f aca="false">"Q"&amp;ROUNDUP(D1002/3,0)</f>
        <v>Q4</v>
      </c>
      <c r="G1002" s="30" t="str">
        <f aca="false">INDEX(Lists!$N$2:$N$8,MATCH(WEEKDAY(B1002,2),Lists!$M$2:$M$8,0))</f>
        <v>الأربعاء</v>
      </c>
      <c r="H1002" s="30" t="s">
        <v>54</v>
      </c>
      <c r="I1002" s="19" t="str">
        <f aca="false">INDEX(Lists!$B$2:$B$6,MATCH(H1002,Lists!$A$2:$A$6,0))</f>
        <v>المنطقة الشرقية</v>
      </c>
      <c r="J1002" s="30" t="s">
        <v>105</v>
      </c>
      <c r="K1002" s="30" t="s">
        <v>85</v>
      </c>
      <c r="L1002" s="31" t="n">
        <v>889</v>
      </c>
      <c r="M1002" s="19" t="n">
        <v>1</v>
      </c>
      <c r="N1002" s="32" t="n">
        <v>0.15</v>
      </c>
      <c r="O1002" s="30" t="s">
        <v>52</v>
      </c>
      <c r="P1002" s="30" t="s">
        <v>51</v>
      </c>
      <c r="Q1002" s="30" t="s">
        <v>81</v>
      </c>
      <c r="R1002" s="25" t="n">
        <f aca="false">L1002*M1002*(1-N1002)</f>
        <v>755.65</v>
      </c>
    </row>
    <row r="1003" customFormat="false" ht="15" hidden="false" customHeight="false" outlineLevel="0" collapsed="false">
      <c r="A1003" s="30" t="s">
        <v>1174</v>
      </c>
      <c r="B1003" s="44" t="n">
        <v>45624</v>
      </c>
      <c r="C1003" s="19" t="n">
        <f aca="false">YEAR(B1003)</f>
        <v>2024</v>
      </c>
      <c r="D1003" s="19" t="n">
        <f aca="false">MONTH(B1003)</f>
        <v>11</v>
      </c>
      <c r="E1003" s="30" t="str">
        <f aca="false">INDEX(Lists!$K$2:$K$13,MATCH(D1003,Lists!$J$2:$J$13,0))</f>
        <v>نوفمبر</v>
      </c>
      <c r="F1003" s="19" t="str">
        <f aca="false">"Q"&amp;ROUNDUP(D1003/3,0)</f>
        <v>Q4</v>
      </c>
      <c r="G1003" s="30" t="str">
        <f aca="false">INDEX(Lists!$N$2:$N$8,MATCH(WEEKDAY(B1003,2),Lists!$M$2:$M$8,0))</f>
        <v>الخميس</v>
      </c>
      <c r="H1003" s="30" t="s">
        <v>50</v>
      </c>
      <c r="I1003" s="19" t="str">
        <f aca="false">INDEX(Lists!$B$2:$B$6,MATCH(H1003,Lists!$A$2:$A$6,0))</f>
        <v>المنطقة الغربية</v>
      </c>
      <c r="J1003" s="30" t="s">
        <v>107</v>
      </c>
      <c r="K1003" s="30" t="s">
        <v>114</v>
      </c>
      <c r="L1003" s="31" t="n">
        <v>2239</v>
      </c>
      <c r="M1003" s="19" t="n">
        <v>2</v>
      </c>
      <c r="N1003" s="32" t="n">
        <v>0</v>
      </c>
      <c r="O1003" s="30" t="s">
        <v>52</v>
      </c>
      <c r="P1003" s="30" t="s">
        <v>47</v>
      </c>
      <c r="Q1003" s="30" t="s">
        <v>92</v>
      </c>
      <c r="R1003" s="25" t="n">
        <f aca="false">L1003*M1003*(1-N1003)</f>
        <v>4478</v>
      </c>
    </row>
    <row r="1004" customFormat="false" ht="15" hidden="false" customHeight="false" outlineLevel="0" collapsed="false">
      <c r="A1004" s="30" t="s">
        <v>1175</v>
      </c>
      <c r="B1004" s="44" t="n">
        <v>45624</v>
      </c>
      <c r="C1004" s="19" t="n">
        <f aca="false">YEAR(B1004)</f>
        <v>2024</v>
      </c>
      <c r="D1004" s="19" t="n">
        <f aca="false">MONTH(B1004)</f>
        <v>11</v>
      </c>
      <c r="E1004" s="30" t="str">
        <f aca="false">INDEX(Lists!$K$2:$K$13,MATCH(D1004,Lists!$J$2:$J$13,0))</f>
        <v>نوفمبر</v>
      </c>
      <c r="F1004" s="19" t="str">
        <f aca="false">"Q"&amp;ROUNDUP(D1004/3,0)</f>
        <v>Q4</v>
      </c>
      <c r="G1004" s="30" t="str">
        <f aca="false">INDEX(Lists!$N$2:$N$8,MATCH(WEEKDAY(B1004,2),Lists!$M$2:$M$8,0))</f>
        <v>الخميس</v>
      </c>
      <c r="H1004" s="30" t="s">
        <v>50</v>
      </c>
      <c r="I1004" s="19" t="str">
        <f aca="false">INDEX(Lists!$B$2:$B$6,MATCH(H1004,Lists!$A$2:$A$6,0))</f>
        <v>المنطقة الغربية</v>
      </c>
      <c r="J1004" s="30" t="s">
        <v>111</v>
      </c>
      <c r="K1004" s="30" t="s">
        <v>118</v>
      </c>
      <c r="L1004" s="31" t="n">
        <v>289</v>
      </c>
      <c r="M1004" s="19" t="n">
        <v>1</v>
      </c>
      <c r="N1004" s="32" t="n">
        <v>0</v>
      </c>
      <c r="O1004" s="30" t="s">
        <v>48</v>
      </c>
      <c r="P1004" s="30" t="s">
        <v>47</v>
      </c>
      <c r="Q1004" s="30" t="s">
        <v>94</v>
      </c>
      <c r="R1004" s="25" t="n">
        <f aca="false">L1004*M1004*(1-N1004)</f>
        <v>289</v>
      </c>
    </row>
    <row r="1005" customFormat="false" ht="15" hidden="false" customHeight="false" outlineLevel="0" collapsed="false">
      <c r="A1005" s="30" t="s">
        <v>1176</v>
      </c>
      <c r="B1005" s="44" t="n">
        <v>45624</v>
      </c>
      <c r="C1005" s="19" t="n">
        <f aca="false">YEAR(B1005)</f>
        <v>2024</v>
      </c>
      <c r="D1005" s="19" t="n">
        <f aca="false">MONTH(B1005)</f>
        <v>11</v>
      </c>
      <c r="E1005" s="30" t="str">
        <f aca="false">INDEX(Lists!$K$2:$K$13,MATCH(D1005,Lists!$J$2:$J$13,0))</f>
        <v>نوفمبر</v>
      </c>
      <c r="F1005" s="19" t="str">
        <f aca="false">"Q"&amp;ROUNDUP(D1005/3,0)</f>
        <v>Q4</v>
      </c>
      <c r="G1005" s="30" t="str">
        <f aca="false">INDEX(Lists!$N$2:$N$8,MATCH(WEEKDAY(B1005,2),Lists!$M$2:$M$8,0))</f>
        <v>الخميس</v>
      </c>
      <c r="H1005" s="30" t="s">
        <v>50</v>
      </c>
      <c r="I1005" s="19" t="str">
        <f aca="false">INDEX(Lists!$B$2:$B$6,MATCH(H1005,Lists!$A$2:$A$6,0))</f>
        <v>المنطقة الغربية</v>
      </c>
      <c r="J1005" s="30" t="s">
        <v>105</v>
      </c>
      <c r="K1005" s="30" t="s">
        <v>85</v>
      </c>
      <c r="L1005" s="31" t="n">
        <v>889</v>
      </c>
      <c r="M1005" s="19" t="n">
        <v>1</v>
      </c>
      <c r="N1005" s="32" t="n">
        <v>0</v>
      </c>
      <c r="O1005" s="30" t="s">
        <v>48</v>
      </c>
      <c r="P1005" s="30" t="s">
        <v>47</v>
      </c>
      <c r="Q1005" s="30" t="s">
        <v>99</v>
      </c>
      <c r="R1005" s="25" t="n">
        <f aca="false">L1005*M1005*(1-N1005)</f>
        <v>889</v>
      </c>
    </row>
    <row r="1006" customFormat="false" ht="15" hidden="false" customHeight="false" outlineLevel="0" collapsed="false">
      <c r="A1006" s="30" t="s">
        <v>1177</v>
      </c>
      <c r="B1006" s="44" t="n">
        <v>45624</v>
      </c>
      <c r="C1006" s="19" t="n">
        <f aca="false">YEAR(B1006)</f>
        <v>2024</v>
      </c>
      <c r="D1006" s="19" t="n">
        <f aca="false">MONTH(B1006)</f>
        <v>11</v>
      </c>
      <c r="E1006" s="30" t="str">
        <f aca="false">INDEX(Lists!$K$2:$K$13,MATCH(D1006,Lists!$J$2:$J$13,0))</f>
        <v>نوفمبر</v>
      </c>
      <c r="F1006" s="19" t="str">
        <f aca="false">"Q"&amp;ROUNDUP(D1006/3,0)</f>
        <v>Q4</v>
      </c>
      <c r="G1006" s="30" t="str">
        <f aca="false">INDEX(Lists!$N$2:$N$8,MATCH(WEEKDAY(B1006,2),Lists!$M$2:$M$8,0))</f>
        <v>الخميس</v>
      </c>
      <c r="H1006" s="30" t="s">
        <v>50</v>
      </c>
      <c r="I1006" s="19" t="str">
        <f aca="false">INDEX(Lists!$B$2:$B$6,MATCH(H1006,Lists!$A$2:$A$6,0))</f>
        <v>المنطقة الغربية</v>
      </c>
      <c r="J1006" s="30" t="s">
        <v>109</v>
      </c>
      <c r="K1006" s="30" t="s">
        <v>171</v>
      </c>
      <c r="L1006" s="31" t="n">
        <v>339</v>
      </c>
      <c r="M1006" s="19" t="n">
        <v>1</v>
      </c>
      <c r="N1006" s="32" t="n">
        <v>0.1</v>
      </c>
      <c r="O1006" s="30" t="s">
        <v>48</v>
      </c>
      <c r="P1006" s="30" t="s">
        <v>47</v>
      </c>
      <c r="Q1006" s="30" t="s">
        <v>84</v>
      </c>
      <c r="R1006" s="25" t="n">
        <f aca="false">L1006*M1006*(1-N1006)</f>
        <v>305.1</v>
      </c>
    </row>
    <row r="1007" customFormat="false" ht="15" hidden="false" customHeight="false" outlineLevel="0" collapsed="false">
      <c r="A1007" s="30" t="s">
        <v>1178</v>
      </c>
      <c r="B1007" s="44" t="n">
        <v>45624</v>
      </c>
      <c r="C1007" s="19" t="n">
        <f aca="false">YEAR(B1007)</f>
        <v>2024</v>
      </c>
      <c r="D1007" s="19" t="n">
        <f aca="false">MONTH(B1007)</f>
        <v>11</v>
      </c>
      <c r="E1007" s="30" t="str">
        <f aca="false">INDEX(Lists!$K$2:$K$13,MATCH(D1007,Lists!$J$2:$J$13,0))</f>
        <v>نوفمبر</v>
      </c>
      <c r="F1007" s="19" t="str">
        <f aca="false">"Q"&amp;ROUNDUP(D1007/3,0)</f>
        <v>Q4</v>
      </c>
      <c r="G1007" s="30" t="str">
        <f aca="false">INDEX(Lists!$N$2:$N$8,MATCH(WEEKDAY(B1007,2),Lists!$M$2:$M$8,0))</f>
        <v>الخميس</v>
      </c>
      <c r="H1007" s="30" t="s">
        <v>46</v>
      </c>
      <c r="I1007" s="19" t="str">
        <f aca="false">INDEX(Lists!$B$2:$B$6,MATCH(H1007,Lists!$A$2:$A$6,0))</f>
        <v>المنطقة الوسطى</v>
      </c>
      <c r="J1007" s="30" t="s">
        <v>109</v>
      </c>
      <c r="K1007" s="30" t="s">
        <v>175</v>
      </c>
      <c r="L1007" s="31" t="n">
        <v>59</v>
      </c>
      <c r="M1007" s="19" t="n">
        <v>2</v>
      </c>
      <c r="N1007" s="32" t="n">
        <v>0.05</v>
      </c>
      <c r="O1007" s="30" t="s">
        <v>52</v>
      </c>
      <c r="P1007" s="30" t="s">
        <v>47</v>
      </c>
      <c r="Q1007" s="30" t="s">
        <v>94</v>
      </c>
      <c r="R1007" s="25" t="n">
        <f aca="false">L1007*M1007*(1-N1007)</f>
        <v>112.1</v>
      </c>
    </row>
    <row r="1008" customFormat="false" ht="15" hidden="false" customHeight="false" outlineLevel="0" collapsed="false">
      <c r="A1008" s="30" t="s">
        <v>1179</v>
      </c>
      <c r="B1008" s="44" t="n">
        <v>45625</v>
      </c>
      <c r="C1008" s="19" t="n">
        <f aca="false">YEAR(B1008)</f>
        <v>2024</v>
      </c>
      <c r="D1008" s="19" t="n">
        <f aca="false">MONTH(B1008)</f>
        <v>11</v>
      </c>
      <c r="E1008" s="30" t="str">
        <f aca="false">INDEX(Lists!$K$2:$K$13,MATCH(D1008,Lists!$J$2:$J$13,0))</f>
        <v>نوفمبر</v>
      </c>
      <c r="F1008" s="19" t="str">
        <f aca="false">"Q"&amp;ROUNDUP(D1008/3,0)</f>
        <v>Q4</v>
      </c>
      <c r="G1008" s="30" t="str">
        <f aca="false">INDEX(Lists!$N$2:$N$8,MATCH(WEEKDAY(B1008,2),Lists!$M$2:$M$8,0))</f>
        <v>الجمعة</v>
      </c>
      <c r="H1008" s="30" t="s">
        <v>50</v>
      </c>
      <c r="I1008" s="19" t="str">
        <f aca="false">INDEX(Lists!$B$2:$B$6,MATCH(H1008,Lists!$A$2:$A$6,0))</f>
        <v>المنطقة الغربية</v>
      </c>
      <c r="J1008" s="30" t="s">
        <v>107</v>
      </c>
      <c r="K1008" s="30" t="s">
        <v>184</v>
      </c>
      <c r="L1008" s="31" t="n">
        <v>4429</v>
      </c>
      <c r="M1008" s="19" t="n">
        <v>2</v>
      </c>
      <c r="N1008" s="32" t="n">
        <v>0.15</v>
      </c>
      <c r="O1008" s="30" t="s">
        <v>48</v>
      </c>
      <c r="P1008" s="30" t="s">
        <v>47</v>
      </c>
      <c r="Q1008" s="30" t="s">
        <v>76</v>
      </c>
      <c r="R1008" s="25" t="n">
        <f aca="false">L1008*M1008*(1-N1008)</f>
        <v>7529.3</v>
      </c>
    </row>
    <row r="1009" customFormat="false" ht="15" hidden="false" customHeight="false" outlineLevel="0" collapsed="false">
      <c r="A1009" s="30" t="s">
        <v>1180</v>
      </c>
      <c r="B1009" s="44" t="n">
        <v>45625</v>
      </c>
      <c r="C1009" s="19" t="n">
        <f aca="false">YEAR(B1009)</f>
        <v>2024</v>
      </c>
      <c r="D1009" s="19" t="n">
        <f aca="false">MONTH(B1009)</f>
        <v>11</v>
      </c>
      <c r="E1009" s="30" t="str">
        <f aca="false">INDEX(Lists!$K$2:$K$13,MATCH(D1009,Lists!$J$2:$J$13,0))</f>
        <v>نوفمبر</v>
      </c>
      <c r="F1009" s="19" t="str">
        <f aca="false">"Q"&amp;ROUNDUP(D1009/3,0)</f>
        <v>Q4</v>
      </c>
      <c r="G1009" s="30" t="str">
        <f aca="false">INDEX(Lists!$N$2:$N$8,MATCH(WEEKDAY(B1009,2),Lists!$M$2:$M$8,0))</f>
        <v>الجمعة</v>
      </c>
      <c r="H1009" s="30" t="s">
        <v>50</v>
      </c>
      <c r="I1009" s="19" t="str">
        <f aca="false">INDEX(Lists!$B$2:$B$6,MATCH(H1009,Lists!$A$2:$A$6,0))</f>
        <v>المنطقة الغربية</v>
      </c>
      <c r="J1009" s="30" t="s">
        <v>105</v>
      </c>
      <c r="K1009" s="30" t="s">
        <v>179</v>
      </c>
      <c r="L1009" s="31" t="n">
        <v>4149</v>
      </c>
      <c r="M1009" s="19" t="n">
        <v>1</v>
      </c>
      <c r="N1009" s="32" t="n">
        <v>0.2</v>
      </c>
      <c r="O1009" s="30" t="s">
        <v>58</v>
      </c>
      <c r="P1009" s="30" t="s">
        <v>47</v>
      </c>
      <c r="Q1009" s="30" t="s">
        <v>96</v>
      </c>
      <c r="R1009" s="25" t="n">
        <f aca="false">L1009*M1009*(1-N1009)</f>
        <v>3319.2</v>
      </c>
    </row>
    <row r="1010" customFormat="false" ht="15" hidden="false" customHeight="false" outlineLevel="0" collapsed="false">
      <c r="A1010" s="30" t="s">
        <v>1181</v>
      </c>
      <c r="B1010" s="44" t="n">
        <v>45625</v>
      </c>
      <c r="C1010" s="19" t="n">
        <f aca="false">YEAR(B1010)</f>
        <v>2024</v>
      </c>
      <c r="D1010" s="19" t="n">
        <f aca="false">MONTH(B1010)</f>
        <v>11</v>
      </c>
      <c r="E1010" s="30" t="str">
        <f aca="false">INDEX(Lists!$K$2:$K$13,MATCH(D1010,Lists!$J$2:$J$13,0))</f>
        <v>نوفمبر</v>
      </c>
      <c r="F1010" s="19" t="str">
        <f aca="false">"Q"&amp;ROUNDUP(D1010/3,0)</f>
        <v>Q4</v>
      </c>
      <c r="G1010" s="30" t="str">
        <f aca="false">INDEX(Lists!$N$2:$N$8,MATCH(WEEKDAY(B1010,2),Lists!$M$2:$M$8,0))</f>
        <v>الجمعة</v>
      </c>
      <c r="H1010" s="30" t="s">
        <v>50</v>
      </c>
      <c r="I1010" s="19" t="str">
        <f aca="false">INDEX(Lists!$B$2:$B$6,MATCH(H1010,Lists!$A$2:$A$6,0))</f>
        <v>المنطقة الغربية</v>
      </c>
      <c r="J1010" s="30" t="s">
        <v>113</v>
      </c>
      <c r="K1010" s="30" t="s">
        <v>100</v>
      </c>
      <c r="L1010" s="31" t="n">
        <v>729</v>
      </c>
      <c r="M1010" s="19" t="n">
        <v>1</v>
      </c>
      <c r="N1010" s="32" t="n">
        <v>0</v>
      </c>
      <c r="O1010" s="30" t="s">
        <v>55</v>
      </c>
      <c r="P1010" s="30" t="s">
        <v>47</v>
      </c>
      <c r="Q1010" s="30" t="s">
        <v>84</v>
      </c>
      <c r="R1010" s="25" t="n">
        <f aca="false">L1010*M1010*(1-N1010)</f>
        <v>729</v>
      </c>
    </row>
    <row r="1011" customFormat="false" ht="15" hidden="false" customHeight="false" outlineLevel="0" collapsed="false">
      <c r="A1011" s="30" t="s">
        <v>1182</v>
      </c>
      <c r="B1011" s="44" t="n">
        <v>45625</v>
      </c>
      <c r="C1011" s="19" t="n">
        <f aca="false">YEAR(B1011)</f>
        <v>2024</v>
      </c>
      <c r="D1011" s="19" t="n">
        <f aca="false">MONTH(B1011)</f>
        <v>11</v>
      </c>
      <c r="E1011" s="30" t="str">
        <f aca="false">INDEX(Lists!$K$2:$K$13,MATCH(D1011,Lists!$J$2:$J$13,0))</f>
        <v>نوفمبر</v>
      </c>
      <c r="F1011" s="19" t="str">
        <f aca="false">"Q"&amp;ROUNDUP(D1011/3,0)</f>
        <v>Q4</v>
      </c>
      <c r="G1011" s="30" t="str">
        <f aca="false">INDEX(Lists!$N$2:$N$8,MATCH(WEEKDAY(B1011,2),Lists!$M$2:$M$8,0))</f>
        <v>الجمعة</v>
      </c>
      <c r="H1011" s="30" t="s">
        <v>46</v>
      </c>
      <c r="I1011" s="19" t="str">
        <f aca="false">INDEX(Lists!$B$2:$B$6,MATCH(H1011,Lists!$A$2:$A$6,0))</f>
        <v>المنطقة الوسطى</v>
      </c>
      <c r="J1011" s="30" t="s">
        <v>109</v>
      </c>
      <c r="K1011" s="30" t="s">
        <v>175</v>
      </c>
      <c r="L1011" s="31" t="n">
        <v>319</v>
      </c>
      <c r="M1011" s="19" t="n">
        <v>3</v>
      </c>
      <c r="N1011" s="32" t="n">
        <v>0</v>
      </c>
      <c r="O1011" s="30" t="s">
        <v>58</v>
      </c>
      <c r="P1011" s="30" t="s">
        <v>47</v>
      </c>
      <c r="Q1011" s="30" t="s">
        <v>89</v>
      </c>
      <c r="R1011" s="25" t="n">
        <f aca="false">L1011*M1011*(1-N1011)</f>
        <v>957</v>
      </c>
    </row>
    <row r="1012" customFormat="false" ht="15" hidden="false" customHeight="false" outlineLevel="0" collapsed="false">
      <c r="A1012" s="30" t="s">
        <v>1183</v>
      </c>
      <c r="B1012" s="44" t="n">
        <v>45626</v>
      </c>
      <c r="C1012" s="19" t="n">
        <f aca="false">YEAR(B1012)</f>
        <v>2024</v>
      </c>
      <c r="D1012" s="19" t="n">
        <f aca="false">MONTH(B1012)</f>
        <v>11</v>
      </c>
      <c r="E1012" s="30" t="str">
        <f aca="false">INDEX(Lists!$K$2:$K$13,MATCH(D1012,Lists!$J$2:$J$13,0))</f>
        <v>نوفمبر</v>
      </c>
      <c r="F1012" s="19" t="str">
        <f aca="false">"Q"&amp;ROUNDUP(D1012/3,0)</f>
        <v>Q4</v>
      </c>
      <c r="G1012" s="30" t="str">
        <f aca="false">INDEX(Lists!$N$2:$N$8,MATCH(WEEKDAY(B1012,2),Lists!$M$2:$M$8,0))</f>
        <v>السبت</v>
      </c>
      <c r="H1012" s="30" t="s">
        <v>46</v>
      </c>
      <c r="I1012" s="19" t="str">
        <f aca="false">INDEX(Lists!$B$2:$B$6,MATCH(H1012,Lists!$A$2:$A$6,0))</f>
        <v>المنطقة الوسطى</v>
      </c>
      <c r="J1012" s="30" t="s">
        <v>107</v>
      </c>
      <c r="K1012" s="30" t="s">
        <v>184</v>
      </c>
      <c r="L1012" s="31" t="n">
        <v>6449</v>
      </c>
      <c r="M1012" s="19" t="n">
        <v>1</v>
      </c>
      <c r="N1012" s="32" t="n">
        <v>0</v>
      </c>
      <c r="O1012" s="30" t="s">
        <v>55</v>
      </c>
      <c r="P1012" s="30" t="s">
        <v>47</v>
      </c>
      <c r="Q1012" s="30" t="s">
        <v>94</v>
      </c>
      <c r="R1012" s="25" t="n">
        <f aca="false">L1012*M1012*(1-N1012)</f>
        <v>6449</v>
      </c>
    </row>
    <row r="1013" customFormat="false" ht="15" hidden="false" customHeight="false" outlineLevel="0" collapsed="false">
      <c r="A1013" s="30" t="s">
        <v>1184</v>
      </c>
      <c r="B1013" s="44" t="n">
        <v>45626</v>
      </c>
      <c r="C1013" s="19" t="n">
        <f aca="false">YEAR(B1013)</f>
        <v>2024</v>
      </c>
      <c r="D1013" s="19" t="n">
        <f aca="false">MONTH(B1013)</f>
        <v>11</v>
      </c>
      <c r="E1013" s="30" t="str">
        <f aca="false">INDEX(Lists!$K$2:$K$13,MATCH(D1013,Lists!$J$2:$J$13,0))</f>
        <v>نوفمبر</v>
      </c>
      <c r="F1013" s="19" t="str">
        <f aca="false">"Q"&amp;ROUNDUP(D1013/3,0)</f>
        <v>Q4</v>
      </c>
      <c r="G1013" s="30" t="str">
        <f aca="false">INDEX(Lists!$N$2:$N$8,MATCH(WEEKDAY(B1013,2),Lists!$M$2:$M$8,0))</f>
        <v>السبت</v>
      </c>
      <c r="H1013" s="30" t="s">
        <v>50</v>
      </c>
      <c r="I1013" s="19" t="str">
        <f aca="false">INDEX(Lists!$B$2:$B$6,MATCH(H1013,Lists!$A$2:$A$6,0))</f>
        <v>المنطقة الغربية</v>
      </c>
      <c r="J1013" s="30" t="s">
        <v>109</v>
      </c>
      <c r="K1013" s="30" t="s">
        <v>192</v>
      </c>
      <c r="L1013" s="31" t="n">
        <v>79</v>
      </c>
      <c r="M1013" s="19" t="n">
        <v>1</v>
      </c>
      <c r="N1013" s="32" t="n">
        <v>0</v>
      </c>
      <c r="O1013" s="30" t="s">
        <v>48</v>
      </c>
      <c r="P1013" s="30" t="s">
        <v>47</v>
      </c>
      <c r="Q1013" s="30" t="s">
        <v>84</v>
      </c>
      <c r="R1013" s="25" t="n">
        <f aca="false">L1013*M1013*(1-N1013)</f>
        <v>79</v>
      </c>
    </row>
    <row r="1014" customFormat="false" ht="15" hidden="false" customHeight="false" outlineLevel="0" collapsed="false">
      <c r="A1014" s="30" t="s">
        <v>1185</v>
      </c>
      <c r="B1014" s="44" t="n">
        <v>45627</v>
      </c>
      <c r="C1014" s="19" t="n">
        <f aca="false">YEAR(B1014)</f>
        <v>2024</v>
      </c>
      <c r="D1014" s="19" t="n">
        <f aca="false">MONTH(B1014)</f>
        <v>12</v>
      </c>
      <c r="E1014" s="30" t="str">
        <f aca="false">INDEX(Lists!$K$2:$K$13,MATCH(D1014,Lists!$J$2:$J$13,0))</f>
        <v>ديسمبر</v>
      </c>
      <c r="F1014" s="19" t="str">
        <f aca="false">"Q"&amp;ROUNDUP(D1014/3,0)</f>
        <v>Q4</v>
      </c>
      <c r="G1014" s="30" t="str">
        <f aca="false">INDEX(Lists!$N$2:$N$8,MATCH(WEEKDAY(B1014,2),Lists!$M$2:$M$8,0))</f>
        <v>الأحد</v>
      </c>
      <c r="H1014" s="30" t="s">
        <v>57</v>
      </c>
      <c r="I1014" s="19" t="str">
        <f aca="false">INDEX(Lists!$B$2:$B$6,MATCH(H1014,Lists!$A$2:$A$6,0))</f>
        <v>المنطقة الغربية</v>
      </c>
      <c r="J1014" s="30" t="s">
        <v>113</v>
      </c>
      <c r="K1014" s="30" t="s">
        <v>121</v>
      </c>
      <c r="L1014" s="31" t="n">
        <v>689</v>
      </c>
      <c r="M1014" s="19" t="n">
        <v>1</v>
      </c>
      <c r="N1014" s="32" t="n">
        <v>0.05</v>
      </c>
      <c r="O1014" s="30" t="s">
        <v>48</v>
      </c>
      <c r="P1014" s="30" t="s">
        <v>47</v>
      </c>
      <c r="Q1014" s="30" t="s">
        <v>78</v>
      </c>
      <c r="R1014" s="25" t="n">
        <f aca="false">L1014*M1014*(1-N1014)</f>
        <v>654.55</v>
      </c>
    </row>
    <row r="1015" customFormat="false" ht="15" hidden="false" customHeight="false" outlineLevel="0" collapsed="false">
      <c r="A1015" s="30" t="s">
        <v>1186</v>
      </c>
      <c r="B1015" s="44" t="n">
        <v>45627</v>
      </c>
      <c r="C1015" s="19" t="n">
        <f aca="false">YEAR(B1015)</f>
        <v>2024</v>
      </c>
      <c r="D1015" s="19" t="n">
        <f aca="false">MONTH(B1015)</f>
        <v>12</v>
      </c>
      <c r="E1015" s="30" t="str">
        <f aca="false">INDEX(Lists!$K$2:$K$13,MATCH(D1015,Lists!$J$2:$J$13,0))</f>
        <v>ديسمبر</v>
      </c>
      <c r="F1015" s="19" t="str">
        <f aca="false">"Q"&amp;ROUNDUP(D1015/3,0)</f>
        <v>Q4</v>
      </c>
      <c r="G1015" s="30" t="str">
        <f aca="false">INDEX(Lists!$N$2:$N$8,MATCH(WEEKDAY(B1015,2),Lists!$M$2:$M$8,0))</f>
        <v>الأحد</v>
      </c>
      <c r="H1015" s="30" t="s">
        <v>50</v>
      </c>
      <c r="I1015" s="19" t="str">
        <f aca="false">INDEX(Lists!$B$2:$B$6,MATCH(H1015,Lists!$A$2:$A$6,0))</f>
        <v>المنطقة الغربية</v>
      </c>
      <c r="J1015" s="30" t="s">
        <v>111</v>
      </c>
      <c r="K1015" s="30" t="s">
        <v>120</v>
      </c>
      <c r="L1015" s="31" t="n">
        <v>419</v>
      </c>
      <c r="M1015" s="19" t="n">
        <v>6</v>
      </c>
      <c r="N1015" s="32" t="n">
        <v>0.05</v>
      </c>
      <c r="O1015" s="30" t="s">
        <v>52</v>
      </c>
      <c r="P1015" s="30" t="s">
        <v>51</v>
      </c>
      <c r="Q1015" s="30" t="s">
        <v>76</v>
      </c>
      <c r="R1015" s="25" t="n">
        <f aca="false">L1015*M1015*(1-N1015)</f>
        <v>2388.3</v>
      </c>
    </row>
    <row r="1016" customFormat="false" ht="15" hidden="false" customHeight="false" outlineLevel="0" collapsed="false">
      <c r="A1016" s="30" t="s">
        <v>1187</v>
      </c>
      <c r="B1016" s="44" t="n">
        <v>45628</v>
      </c>
      <c r="C1016" s="19" t="n">
        <f aca="false">YEAR(B1016)</f>
        <v>2024</v>
      </c>
      <c r="D1016" s="19" t="n">
        <f aca="false">MONTH(B1016)</f>
        <v>12</v>
      </c>
      <c r="E1016" s="30" t="str">
        <f aca="false">INDEX(Lists!$K$2:$K$13,MATCH(D1016,Lists!$J$2:$J$13,0))</f>
        <v>ديسمبر</v>
      </c>
      <c r="F1016" s="19" t="str">
        <f aca="false">"Q"&amp;ROUNDUP(D1016/3,0)</f>
        <v>Q4</v>
      </c>
      <c r="G1016" s="30" t="str">
        <f aca="false">INDEX(Lists!$N$2:$N$8,MATCH(WEEKDAY(B1016,2),Lists!$M$2:$M$8,0))</f>
        <v>الإثنين</v>
      </c>
      <c r="H1016" s="30" t="s">
        <v>57</v>
      </c>
      <c r="I1016" s="19" t="str">
        <f aca="false">INDEX(Lists!$B$2:$B$6,MATCH(H1016,Lists!$A$2:$A$6,0))</f>
        <v>المنطقة الغربية</v>
      </c>
      <c r="J1016" s="30" t="s">
        <v>109</v>
      </c>
      <c r="K1016" s="30" t="s">
        <v>192</v>
      </c>
      <c r="L1016" s="31" t="n">
        <v>219</v>
      </c>
      <c r="M1016" s="19" t="n">
        <v>2</v>
      </c>
      <c r="N1016" s="32" t="n">
        <v>0</v>
      </c>
      <c r="O1016" s="30" t="s">
        <v>48</v>
      </c>
      <c r="P1016" s="30" t="s">
        <v>51</v>
      </c>
      <c r="Q1016" s="30" t="s">
        <v>92</v>
      </c>
      <c r="R1016" s="25" t="n">
        <f aca="false">L1016*M1016*(1-N1016)</f>
        <v>438</v>
      </c>
    </row>
    <row r="1017" customFormat="false" ht="15" hidden="false" customHeight="false" outlineLevel="0" collapsed="false">
      <c r="A1017" s="30" t="s">
        <v>1188</v>
      </c>
      <c r="B1017" s="44" t="n">
        <v>45628</v>
      </c>
      <c r="C1017" s="19" t="n">
        <f aca="false">YEAR(B1017)</f>
        <v>2024</v>
      </c>
      <c r="D1017" s="19" t="n">
        <f aca="false">MONTH(B1017)</f>
        <v>12</v>
      </c>
      <c r="E1017" s="30" t="str">
        <f aca="false">INDEX(Lists!$K$2:$K$13,MATCH(D1017,Lists!$J$2:$J$13,0))</f>
        <v>ديسمبر</v>
      </c>
      <c r="F1017" s="19" t="str">
        <f aca="false">"Q"&amp;ROUNDUP(D1017/3,0)</f>
        <v>Q4</v>
      </c>
      <c r="G1017" s="30" t="str">
        <f aca="false">INDEX(Lists!$N$2:$N$8,MATCH(WEEKDAY(B1017,2),Lists!$M$2:$M$8,0))</f>
        <v>الإثنين</v>
      </c>
      <c r="H1017" s="30" t="s">
        <v>46</v>
      </c>
      <c r="I1017" s="19" t="str">
        <f aca="false">INDEX(Lists!$B$2:$B$6,MATCH(H1017,Lists!$A$2:$A$6,0))</f>
        <v>المنطقة الوسطى</v>
      </c>
      <c r="J1017" s="30" t="s">
        <v>113</v>
      </c>
      <c r="K1017" s="30" t="s">
        <v>95</v>
      </c>
      <c r="L1017" s="31" t="n">
        <v>779</v>
      </c>
      <c r="M1017" s="19" t="n">
        <v>1</v>
      </c>
      <c r="N1017" s="32" t="n">
        <v>0.1</v>
      </c>
      <c r="O1017" s="30" t="s">
        <v>48</v>
      </c>
      <c r="P1017" s="30" t="s">
        <v>47</v>
      </c>
      <c r="Q1017" s="30" t="s">
        <v>99</v>
      </c>
      <c r="R1017" s="25" t="n">
        <f aca="false">L1017*M1017*(1-N1017)</f>
        <v>701.1</v>
      </c>
    </row>
    <row r="1018" customFormat="false" ht="15" hidden="false" customHeight="false" outlineLevel="0" collapsed="false">
      <c r="A1018" s="30" t="s">
        <v>1189</v>
      </c>
      <c r="B1018" s="44" t="n">
        <v>45628</v>
      </c>
      <c r="C1018" s="19" t="n">
        <f aca="false">YEAR(B1018)</f>
        <v>2024</v>
      </c>
      <c r="D1018" s="19" t="n">
        <f aca="false">MONTH(B1018)</f>
        <v>12</v>
      </c>
      <c r="E1018" s="30" t="str">
        <f aca="false">INDEX(Lists!$K$2:$K$13,MATCH(D1018,Lists!$J$2:$J$13,0))</f>
        <v>ديسمبر</v>
      </c>
      <c r="F1018" s="19" t="str">
        <f aca="false">"Q"&amp;ROUNDUP(D1018/3,0)</f>
        <v>Q4</v>
      </c>
      <c r="G1018" s="30" t="str">
        <f aca="false">INDEX(Lists!$N$2:$N$8,MATCH(WEEKDAY(B1018,2),Lists!$M$2:$M$8,0))</f>
        <v>الإثنين</v>
      </c>
      <c r="H1018" s="30" t="s">
        <v>46</v>
      </c>
      <c r="I1018" s="19" t="str">
        <f aca="false">INDEX(Lists!$B$2:$B$6,MATCH(H1018,Lists!$A$2:$A$6,0))</f>
        <v>المنطقة الوسطى</v>
      </c>
      <c r="J1018" s="30" t="s">
        <v>109</v>
      </c>
      <c r="K1018" s="30" t="s">
        <v>192</v>
      </c>
      <c r="L1018" s="31" t="n">
        <v>49</v>
      </c>
      <c r="M1018" s="19" t="n">
        <v>1</v>
      </c>
      <c r="N1018" s="32" t="n">
        <v>0</v>
      </c>
      <c r="O1018" s="30" t="s">
        <v>48</v>
      </c>
      <c r="P1018" s="30" t="s">
        <v>47</v>
      </c>
      <c r="Q1018" s="30" t="s">
        <v>96</v>
      </c>
      <c r="R1018" s="25" t="n">
        <f aca="false">L1018*M1018*(1-N1018)</f>
        <v>49</v>
      </c>
    </row>
    <row r="1019" customFormat="false" ht="15" hidden="false" customHeight="false" outlineLevel="0" collapsed="false">
      <c r="A1019" s="30" t="s">
        <v>1190</v>
      </c>
      <c r="B1019" s="44" t="n">
        <v>45629</v>
      </c>
      <c r="C1019" s="19" t="n">
        <f aca="false">YEAR(B1019)</f>
        <v>2024</v>
      </c>
      <c r="D1019" s="19" t="n">
        <f aca="false">MONTH(B1019)</f>
        <v>12</v>
      </c>
      <c r="E1019" s="30" t="str">
        <f aca="false">INDEX(Lists!$K$2:$K$13,MATCH(D1019,Lists!$J$2:$J$13,0))</f>
        <v>ديسمبر</v>
      </c>
      <c r="F1019" s="19" t="str">
        <f aca="false">"Q"&amp;ROUNDUP(D1019/3,0)</f>
        <v>Q4</v>
      </c>
      <c r="G1019" s="30" t="str">
        <f aca="false">INDEX(Lists!$N$2:$N$8,MATCH(WEEKDAY(B1019,2),Lists!$M$2:$M$8,0))</f>
        <v>الثلاثاء</v>
      </c>
      <c r="H1019" s="30" t="s">
        <v>50</v>
      </c>
      <c r="I1019" s="19" t="str">
        <f aca="false">INDEX(Lists!$B$2:$B$6,MATCH(H1019,Lists!$A$2:$A$6,0))</f>
        <v>المنطقة الغربية</v>
      </c>
      <c r="J1019" s="30" t="s">
        <v>105</v>
      </c>
      <c r="K1019" s="30" t="s">
        <v>179</v>
      </c>
      <c r="L1019" s="31" t="n">
        <v>1329</v>
      </c>
      <c r="M1019" s="19" t="n">
        <v>1</v>
      </c>
      <c r="N1019" s="32" t="n">
        <v>0.05</v>
      </c>
      <c r="O1019" s="30" t="s">
        <v>48</v>
      </c>
      <c r="P1019" s="30" t="s">
        <v>47</v>
      </c>
      <c r="Q1019" s="30" t="s">
        <v>81</v>
      </c>
      <c r="R1019" s="25" t="n">
        <f aca="false">L1019*M1019*(1-N1019)</f>
        <v>1262.55</v>
      </c>
    </row>
    <row r="1020" customFormat="false" ht="15" hidden="false" customHeight="false" outlineLevel="0" collapsed="false">
      <c r="A1020" s="30" t="s">
        <v>1191</v>
      </c>
      <c r="B1020" s="44" t="n">
        <v>45630</v>
      </c>
      <c r="C1020" s="19" t="n">
        <f aca="false">YEAR(B1020)</f>
        <v>2024</v>
      </c>
      <c r="D1020" s="19" t="n">
        <f aca="false">MONTH(B1020)</f>
        <v>12</v>
      </c>
      <c r="E1020" s="30" t="str">
        <f aca="false">INDEX(Lists!$K$2:$K$13,MATCH(D1020,Lists!$J$2:$J$13,0))</f>
        <v>ديسمبر</v>
      </c>
      <c r="F1020" s="19" t="str">
        <f aca="false">"Q"&amp;ROUNDUP(D1020/3,0)</f>
        <v>Q4</v>
      </c>
      <c r="G1020" s="30" t="str">
        <f aca="false">INDEX(Lists!$N$2:$N$8,MATCH(WEEKDAY(B1020,2),Lists!$M$2:$M$8,0))</f>
        <v>الأربعاء</v>
      </c>
      <c r="H1020" s="30" t="s">
        <v>54</v>
      </c>
      <c r="I1020" s="19" t="str">
        <f aca="false">INDEX(Lists!$B$2:$B$6,MATCH(H1020,Lists!$A$2:$A$6,0))</f>
        <v>المنطقة الشرقية</v>
      </c>
      <c r="J1020" s="30" t="s">
        <v>111</v>
      </c>
      <c r="K1020" s="30" t="s">
        <v>122</v>
      </c>
      <c r="L1020" s="31" t="n">
        <v>219</v>
      </c>
      <c r="M1020" s="19" t="n">
        <v>1</v>
      </c>
      <c r="N1020" s="32" t="n">
        <v>0</v>
      </c>
      <c r="O1020" s="30" t="s">
        <v>52</v>
      </c>
      <c r="P1020" s="30" t="s">
        <v>47</v>
      </c>
      <c r="Q1020" s="30" t="s">
        <v>84</v>
      </c>
      <c r="R1020" s="25" t="n">
        <f aca="false">L1020*M1020*(1-N1020)</f>
        <v>219</v>
      </c>
    </row>
    <row r="1021" customFormat="false" ht="15" hidden="false" customHeight="false" outlineLevel="0" collapsed="false">
      <c r="A1021" s="30" t="s">
        <v>1192</v>
      </c>
      <c r="B1021" s="44" t="n">
        <v>45630</v>
      </c>
      <c r="C1021" s="19" t="n">
        <f aca="false">YEAR(B1021)</f>
        <v>2024</v>
      </c>
      <c r="D1021" s="19" t="n">
        <f aca="false">MONTH(B1021)</f>
        <v>12</v>
      </c>
      <c r="E1021" s="30" t="str">
        <f aca="false">INDEX(Lists!$K$2:$K$13,MATCH(D1021,Lists!$J$2:$J$13,0))</f>
        <v>ديسمبر</v>
      </c>
      <c r="F1021" s="19" t="str">
        <f aca="false">"Q"&amp;ROUNDUP(D1021/3,0)</f>
        <v>Q4</v>
      </c>
      <c r="G1021" s="30" t="str">
        <f aca="false">INDEX(Lists!$N$2:$N$8,MATCH(WEEKDAY(B1021,2),Lists!$M$2:$M$8,0))</f>
        <v>الأربعاء</v>
      </c>
      <c r="H1021" s="30" t="s">
        <v>54</v>
      </c>
      <c r="I1021" s="19" t="str">
        <f aca="false">INDEX(Lists!$B$2:$B$6,MATCH(H1021,Lists!$A$2:$A$6,0))</f>
        <v>المنطقة الشرقية</v>
      </c>
      <c r="J1021" s="30" t="s">
        <v>105</v>
      </c>
      <c r="K1021" s="30" t="s">
        <v>85</v>
      </c>
      <c r="L1021" s="31" t="n">
        <v>4159</v>
      </c>
      <c r="M1021" s="19" t="n">
        <v>1</v>
      </c>
      <c r="N1021" s="32" t="n">
        <v>0.05</v>
      </c>
      <c r="O1021" s="30" t="s">
        <v>48</v>
      </c>
      <c r="P1021" s="30" t="s">
        <v>51</v>
      </c>
      <c r="Q1021" s="30" t="s">
        <v>99</v>
      </c>
      <c r="R1021" s="25" t="n">
        <f aca="false">L1021*M1021*(1-N1021)</f>
        <v>3951.05</v>
      </c>
    </row>
    <row r="1022" customFormat="false" ht="15" hidden="false" customHeight="false" outlineLevel="0" collapsed="false">
      <c r="A1022" s="30" t="s">
        <v>1193</v>
      </c>
      <c r="B1022" s="44" t="n">
        <v>45630</v>
      </c>
      <c r="C1022" s="19" t="n">
        <f aca="false">YEAR(B1022)</f>
        <v>2024</v>
      </c>
      <c r="D1022" s="19" t="n">
        <f aca="false">MONTH(B1022)</f>
        <v>12</v>
      </c>
      <c r="E1022" s="30" t="str">
        <f aca="false">INDEX(Lists!$K$2:$K$13,MATCH(D1022,Lists!$J$2:$J$13,0))</f>
        <v>ديسمبر</v>
      </c>
      <c r="F1022" s="19" t="str">
        <f aca="false">"Q"&amp;ROUNDUP(D1022/3,0)</f>
        <v>Q4</v>
      </c>
      <c r="G1022" s="30" t="str">
        <f aca="false">INDEX(Lists!$N$2:$N$8,MATCH(WEEKDAY(B1022,2),Lists!$M$2:$M$8,0))</f>
        <v>الأربعاء</v>
      </c>
      <c r="H1022" s="30" t="s">
        <v>57</v>
      </c>
      <c r="I1022" s="19" t="str">
        <f aca="false">INDEX(Lists!$B$2:$B$6,MATCH(H1022,Lists!$A$2:$A$6,0))</f>
        <v>المنطقة الغربية</v>
      </c>
      <c r="J1022" s="30" t="s">
        <v>111</v>
      </c>
      <c r="K1022" s="30" t="s">
        <v>122</v>
      </c>
      <c r="L1022" s="31" t="n">
        <v>399</v>
      </c>
      <c r="M1022" s="19" t="n">
        <v>1</v>
      </c>
      <c r="N1022" s="32" t="n">
        <v>0.05</v>
      </c>
      <c r="O1022" s="30" t="s">
        <v>52</v>
      </c>
      <c r="P1022" s="30" t="s">
        <v>47</v>
      </c>
      <c r="Q1022" s="30" t="s">
        <v>81</v>
      </c>
      <c r="R1022" s="25" t="n">
        <f aca="false">L1022*M1022*(1-N1022)</f>
        <v>379.05</v>
      </c>
    </row>
    <row r="1023" customFormat="false" ht="15" hidden="false" customHeight="false" outlineLevel="0" collapsed="false">
      <c r="A1023" s="30" t="s">
        <v>1194</v>
      </c>
      <c r="B1023" s="44" t="n">
        <v>45630</v>
      </c>
      <c r="C1023" s="19" t="n">
        <f aca="false">YEAR(B1023)</f>
        <v>2024</v>
      </c>
      <c r="D1023" s="19" t="n">
        <f aca="false">MONTH(B1023)</f>
        <v>12</v>
      </c>
      <c r="E1023" s="30" t="str">
        <f aca="false">INDEX(Lists!$K$2:$K$13,MATCH(D1023,Lists!$J$2:$J$13,0))</f>
        <v>ديسمبر</v>
      </c>
      <c r="F1023" s="19" t="str">
        <f aca="false">"Q"&amp;ROUNDUP(D1023/3,0)</f>
        <v>Q4</v>
      </c>
      <c r="G1023" s="30" t="str">
        <f aca="false">INDEX(Lists!$N$2:$N$8,MATCH(WEEKDAY(B1023,2),Lists!$M$2:$M$8,0))</f>
        <v>الأربعاء</v>
      </c>
      <c r="H1023" s="30" t="s">
        <v>60</v>
      </c>
      <c r="I1023" s="19" t="str">
        <f aca="false">INDEX(Lists!$B$2:$B$6,MATCH(H1023,Lists!$A$2:$A$6,0))</f>
        <v>المنطقة الغربية</v>
      </c>
      <c r="J1023" s="30" t="s">
        <v>109</v>
      </c>
      <c r="K1023" s="30" t="s">
        <v>171</v>
      </c>
      <c r="L1023" s="31" t="n">
        <v>239</v>
      </c>
      <c r="M1023" s="19" t="n">
        <v>3</v>
      </c>
      <c r="N1023" s="32" t="n">
        <v>0.15</v>
      </c>
      <c r="O1023" s="30" t="s">
        <v>55</v>
      </c>
      <c r="P1023" s="30" t="s">
        <v>47</v>
      </c>
      <c r="Q1023" s="30" t="s">
        <v>96</v>
      </c>
      <c r="R1023" s="25" t="n">
        <f aca="false">L1023*M1023*(1-N1023)</f>
        <v>609.45</v>
      </c>
    </row>
    <row r="1024" customFormat="false" ht="15" hidden="false" customHeight="false" outlineLevel="0" collapsed="false">
      <c r="A1024" s="30" t="s">
        <v>1195</v>
      </c>
      <c r="B1024" s="44" t="n">
        <v>45631</v>
      </c>
      <c r="C1024" s="19" t="n">
        <f aca="false">YEAR(B1024)</f>
        <v>2024</v>
      </c>
      <c r="D1024" s="19" t="n">
        <f aca="false">MONTH(B1024)</f>
        <v>12</v>
      </c>
      <c r="E1024" s="30" t="str">
        <f aca="false">INDEX(Lists!$K$2:$K$13,MATCH(D1024,Lists!$J$2:$J$13,0))</f>
        <v>ديسمبر</v>
      </c>
      <c r="F1024" s="19" t="str">
        <f aca="false">"Q"&amp;ROUNDUP(D1024/3,0)</f>
        <v>Q4</v>
      </c>
      <c r="G1024" s="30" t="str">
        <f aca="false">INDEX(Lists!$N$2:$N$8,MATCH(WEEKDAY(B1024,2),Lists!$M$2:$M$8,0))</f>
        <v>الخميس</v>
      </c>
      <c r="H1024" s="30" t="s">
        <v>50</v>
      </c>
      <c r="I1024" s="19" t="str">
        <f aca="false">INDEX(Lists!$B$2:$B$6,MATCH(H1024,Lists!$A$2:$A$6,0))</f>
        <v>المنطقة الغربية</v>
      </c>
      <c r="J1024" s="30" t="s">
        <v>105</v>
      </c>
      <c r="K1024" s="30" t="s">
        <v>85</v>
      </c>
      <c r="L1024" s="31" t="n">
        <v>1789</v>
      </c>
      <c r="M1024" s="19" t="n">
        <v>1</v>
      </c>
      <c r="N1024" s="32" t="n">
        <v>0</v>
      </c>
      <c r="O1024" s="30" t="s">
        <v>52</v>
      </c>
      <c r="P1024" s="30" t="s">
        <v>47</v>
      </c>
      <c r="Q1024" s="30" t="s">
        <v>96</v>
      </c>
      <c r="R1024" s="25" t="n">
        <f aca="false">L1024*M1024*(1-N1024)</f>
        <v>1789</v>
      </c>
    </row>
    <row r="1025" customFormat="false" ht="15" hidden="false" customHeight="false" outlineLevel="0" collapsed="false">
      <c r="A1025" s="30" t="s">
        <v>1196</v>
      </c>
      <c r="B1025" s="44" t="n">
        <v>45631</v>
      </c>
      <c r="C1025" s="19" t="n">
        <f aca="false">YEAR(B1025)</f>
        <v>2024</v>
      </c>
      <c r="D1025" s="19" t="n">
        <f aca="false">MONTH(B1025)</f>
        <v>12</v>
      </c>
      <c r="E1025" s="30" t="str">
        <f aca="false">INDEX(Lists!$K$2:$K$13,MATCH(D1025,Lists!$J$2:$J$13,0))</f>
        <v>ديسمبر</v>
      </c>
      <c r="F1025" s="19" t="str">
        <f aca="false">"Q"&amp;ROUNDUP(D1025/3,0)</f>
        <v>Q4</v>
      </c>
      <c r="G1025" s="30" t="str">
        <f aca="false">INDEX(Lists!$N$2:$N$8,MATCH(WEEKDAY(B1025,2),Lists!$M$2:$M$8,0))</f>
        <v>الخميس</v>
      </c>
      <c r="H1025" s="30" t="s">
        <v>57</v>
      </c>
      <c r="I1025" s="19" t="str">
        <f aca="false">INDEX(Lists!$B$2:$B$6,MATCH(H1025,Lists!$A$2:$A$6,0))</f>
        <v>المنطقة الغربية</v>
      </c>
      <c r="J1025" s="30" t="s">
        <v>109</v>
      </c>
      <c r="K1025" s="30" t="s">
        <v>192</v>
      </c>
      <c r="L1025" s="31" t="n">
        <v>349</v>
      </c>
      <c r="M1025" s="19" t="n">
        <v>1</v>
      </c>
      <c r="N1025" s="32" t="n">
        <v>0</v>
      </c>
      <c r="O1025" s="30" t="s">
        <v>52</v>
      </c>
      <c r="P1025" s="30" t="s">
        <v>47</v>
      </c>
      <c r="Q1025" s="30" t="s">
        <v>84</v>
      </c>
      <c r="R1025" s="25" t="n">
        <f aca="false">L1025*M1025*(1-N1025)</f>
        <v>349</v>
      </c>
    </row>
    <row r="1026" customFormat="false" ht="15" hidden="false" customHeight="false" outlineLevel="0" collapsed="false">
      <c r="A1026" s="30" t="s">
        <v>1197</v>
      </c>
      <c r="B1026" s="44" t="n">
        <v>45631</v>
      </c>
      <c r="C1026" s="19" t="n">
        <f aca="false">YEAR(B1026)</f>
        <v>2024</v>
      </c>
      <c r="D1026" s="19" t="n">
        <f aca="false">MONTH(B1026)</f>
        <v>12</v>
      </c>
      <c r="E1026" s="30" t="str">
        <f aca="false">INDEX(Lists!$K$2:$K$13,MATCH(D1026,Lists!$J$2:$J$13,0))</f>
        <v>ديسمبر</v>
      </c>
      <c r="F1026" s="19" t="str">
        <f aca="false">"Q"&amp;ROUNDUP(D1026/3,0)</f>
        <v>Q4</v>
      </c>
      <c r="G1026" s="30" t="str">
        <f aca="false">INDEX(Lists!$N$2:$N$8,MATCH(WEEKDAY(B1026,2),Lists!$M$2:$M$8,0))</f>
        <v>الخميس</v>
      </c>
      <c r="H1026" s="30" t="s">
        <v>50</v>
      </c>
      <c r="I1026" s="19" t="str">
        <f aca="false">INDEX(Lists!$B$2:$B$6,MATCH(H1026,Lists!$A$2:$A$6,0))</f>
        <v>المنطقة الغربية</v>
      </c>
      <c r="J1026" s="30" t="s">
        <v>111</v>
      </c>
      <c r="K1026" s="30" t="s">
        <v>108</v>
      </c>
      <c r="L1026" s="31" t="n">
        <v>309</v>
      </c>
      <c r="M1026" s="19" t="n">
        <v>1</v>
      </c>
      <c r="N1026" s="32" t="n">
        <v>0</v>
      </c>
      <c r="O1026" s="30" t="s">
        <v>52</v>
      </c>
      <c r="P1026" s="30" t="s">
        <v>47</v>
      </c>
      <c r="Q1026" s="30" t="s">
        <v>78</v>
      </c>
      <c r="R1026" s="25" t="n">
        <f aca="false">L1026*M1026*(1-N1026)</f>
        <v>309</v>
      </c>
    </row>
    <row r="1027" customFormat="false" ht="15" hidden="false" customHeight="false" outlineLevel="0" collapsed="false">
      <c r="A1027" s="30" t="s">
        <v>1198</v>
      </c>
      <c r="B1027" s="44" t="n">
        <v>45631</v>
      </c>
      <c r="C1027" s="19" t="n">
        <f aca="false">YEAR(B1027)</f>
        <v>2024</v>
      </c>
      <c r="D1027" s="19" t="n">
        <f aca="false">MONTH(B1027)</f>
        <v>12</v>
      </c>
      <c r="E1027" s="30" t="str">
        <f aca="false">INDEX(Lists!$K$2:$K$13,MATCH(D1027,Lists!$J$2:$J$13,0))</f>
        <v>ديسمبر</v>
      </c>
      <c r="F1027" s="19" t="str">
        <f aca="false">"Q"&amp;ROUNDUP(D1027/3,0)</f>
        <v>Q4</v>
      </c>
      <c r="G1027" s="30" t="str">
        <f aca="false">INDEX(Lists!$N$2:$N$8,MATCH(WEEKDAY(B1027,2),Lists!$M$2:$M$8,0))</f>
        <v>الخميس</v>
      </c>
      <c r="H1027" s="30" t="s">
        <v>46</v>
      </c>
      <c r="I1027" s="19" t="str">
        <f aca="false">INDEX(Lists!$B$2:$B$6,MATCH(H1027,Lists!$A$2:$A$6,0))</f>
        <v>المنطقة الوسطى</v>
      </c>
      <c r="J1027" s="30" t="s">
        <v>105</v>
      </c>
      <c r="K1027" s="30" t="s">
        <v>82</v>
      </c>
      <c r="L1027" s="31" t="n">
        <v>1119</v>
      </c>
      <c r="M1027" s="19" t="n">
        <v>2</v>
      </c>
      <c r="N1027" s="32" t="n">
        <v>0</v>
      </c>
      <c r="O1027" s="30" t="s">
        <v>52</v>
      </c>
      <c r="P1027" s="30" t="s">
        <v>51</v>
      </c>
      <c r="Q1027" s="30" t="s">
        <v>96</v>
      </c>
      <c r="R1027" s="25" t="n">
        <f aca="false">L1027*M1027*(1-N1027)</f>
        <v>2238</v>
      </c>
    </row>
    <row r="1028" customFormat="false" ht="15" hidden="false" customHeight="false" outlineLevel="0" collapsed="false">
      <c r="A1028" s="30" t="s">
        <v>1199</v>
      </c>
      <c r="B1028" s="44" t="n">
        <v>45631</v>
      </c>
      <c r="C1028" s="19" t="n">
        <f aca="false">YEAR(B1028)</f>
        <v>2024</v>
      </c>
      <c r="D1028" s="19" t="n">
        <f aca="false">MONTH(B1028)</f>
        <v>12</v>
      </c>
      <c r="E1028" s="30" t="str">
        <f aca="false">INDEX(Lists!$K$2:$K$13,MATCH(D1028,Lists!$J$2:$J$13,0))</f>
        <v>ديسمبر</v>
      </c>
      <c r="F1028" s="19" t="str">
        <f aca="false">"Q"&amp;ROUNDUP(D1028/3,0)</f>
        <v>Q4</v>
      </c>
      <c r="G1028" s="30" t="str">
        <f aca="false">INDEX(Lists!$N$2:$N$8,MATCH(WEEKDAY(B1028,2),Lists!$M$2:$M$8,0))</f>
        <v>الخميس</v>
      </c>
      <c r="H1028" s="30" t="s">
        <v>57</v>
      </c>
      <c r="I1028" s="19" t="str">
        <f aca="false">INDEX(Lists!$B$2:$B$6,MATCH(H1028,Lists!$A$2:$A$6,0))</f>
        <v>المنطقة الغربية</v>
      </c>
      <c r="J1028" s="30" t="s">
        <v>109</v>
      </c>
      <c r="K1028" s="30" t="s">
        <v>93</v>
      </c>
      <c r="L1028" s="31" t="n">
        <v>49</v>
      </c>
      <c r="M1028" s="19" t="n">
        <v>6</v>
      </c>
      <c r="N1028" s="32" t="n">
        <v>0.1</v>
      </c>
      <c r="O1028" s="30" t="s">
        <v>52</v>
      </c>
      <c r="P1028" s="30" t="s">
        <v>51</v>
      </c>
      <c r="Q1028" s="30" t="s">
        <v>84</v>
      </c>
      <c r="R1028" s="25" t="n">
        <f aca="false">L1028*M1028*(1-N1028)</f>
        <v>264.6</v>
      </c>
    </row>
    <row r="1029" customFormat="false" ht="15" hidden="false" customHeight="false" outlineLevel="0" collapsed="false">
      <c r="A1029" s="30" t="s">
        <v>1200</v>
      </c>
      <c r="B1029" s="44" t="n">
        <v>45631</v>
      </c>
      <c r="C1029" s="19" t="n">
        <f aca="false">YEAR(B1029)</f>
        <v>2024</v>
      </c>
      <c r="D1029" s="19" t="n">
        <f aca="false">MONTH(B1029)</f>
        <v>12</v>
      </c>
      <c r="E1029" s="30" t="str">
        <f aca="false">INDEX(Lists!$K$2:$K$13,MATCH(D1029,Lists!$J$2:$J$13,0))</f>
        <v>ديسمبر</v>
      </c>
      <c r="F1029" s="19" t="str">
        <f aca="false">"Q"&amp;ROUNDUP(D1029/3,0)</f>
        <v>Q4</v>
      </c>
      <c r="G1029" s="30" t="str">
        <f aca="false">INDEX(Lists!$N$2:$N$8,MATCH(WEEKDAY(B1029,2),Lists!$M$2:$M$8,0))</f>
        <v>الخميس</v>
      </c>
      <c r="H1029" s="30" t="s">
        <v>46</v>
      </c>
      <c r="I1029" s="19" t="str">
        <f aca="false">INDEX(Lists!$B$2:$B$6,MATCH(H1029,Lists!$A$2:$A$6,0))</f>
        <v>المنطقة الوسطى</v>
      </c>
      <c r="J1029" s="30" t="s">
        <v>109</v>
      </c>
      <c r="K1029" s="30" t="s">
        <v>93</v>
      </c>
      <c r="L1029" s="31" t="n">
        <v>159</v>
      </c>
      <c r="M1029" s="19" t="n">
        <v>1</v>
      </c>
      <c r="N1029" s="32" t="n">
        <v>0</v>
      </c>
      <c r="O1029" s="30" t="s">
        <v>52</v>
      </c>
      <c r="P1029" s="30" t="s">
        <v>47</v>
      </c>
      <c r="Q1029" s="30" t="s">
        <v>92</v>
      </c>
      <c r="R1029" s="25" t="n">
        <f aca="false">L1029*M1029*(1-N1029)</f>
        <v>159</v>
      </c>
    </row>
    <row r="1030" customFormat="false" ht="15" hidden="false" customHeight="false" outlineLevel="0" collapsed="false">
      <c r="A1030" s="30" t="s">
        <v>1201</v>
      </c>
      <c r="B1030" s="44" t="n">
        <v>45632</v>
      </c>
      <c r="C1030" s="19" t="n">
        <f aca="false">YEAR(B1030)</f>
        <v>2024</v>
      </c>
      <c r="D1030" s="19" t="n">
        <f aca="false">MONTH(B1030)</f>
        <v>12</v>
      </c>
      <c r="E1030" s="30" t="str">
        <f aca="false">INDEX(Lists!$K$2:$K$13,MATCH(D1030,Lists!$J$2:$J$13,0))</f>
        <v>ديسمبر</v>
      </c>
      <c r="F1030" s="19" t="str">
        <f aca="false">"Q"&amp;ROUNDUP(D1030/3,0)</f>
        <v>Q4</v>
      </c>
      <c r="G1030" s="30" t="str">
        <f aca="false">INDEX(Lists!$N$2:$N$8,MATCH(WEEKDAY(B1030,2),Lists!$M$2:$M$8,0))</f>
        <v>الجمعة</v>
      </c>
      <c r="H1030" s="30" t="s">
        <v>46</v>
      </c>
      <c r="I1030" s="19" t="str">
        <f aca="false">INDEX(Lists!$B$2:$B$6,MATCH(H1030,Lists!$A$2:$A$6,0))</f>
        <v>المنطقة الوسطى</v>
      </c>
      <c r="J1030" s="30" t="s">
        <v>109</v>
      </c>
      <c r="K1030" s="30" t="s">
        <v>93</v>
      </c>
      <c r="L1030" s="31" t="n">
        <v>99</v>
      </c>
      <c r="M1030" s="19" t="n">
        <v>1</v>
      </c>
      <c r="N1030" s="32" t="n">
        <v>0</v>
      </c>
      <c r="O1030" s="30" t="s">
        <v>55</v>
      </c>
      <c r="P1030" s="30" t="s">
        <v>47</v>
      </c>
      <c r="Q1030" s="30" t="s">
        <v>94</v>
      </c>
      <c r="R1030" s="25" t="n">
        <f aca="false">L1030*M1030*(1-N1030)</f>
        <v>99</v>
      </c>
    </row>
    <row r="1031" customFormat="false" ht="15" hidden="false" customHeight="false" outlineLevel="0" collapsed="false">
      <c r="A1031" s="30" t="s">
        <v>1202</v>
      </c>
      <c r="B1031" s="44" t="n">
        <v>45632</v>
      </c>
      <c r="C1031" s="19" t="n">
        <f aca="false">YEAR(B1031)</f>
        <v>2024</v>
      </c>
      <c r="D1031" s="19" t="n">
        <f aca="false">MONTH(B1031)</f>
        <v>12</v>
      </c>
      <c r="E1031" s="30" t="str">
        <f aca="false">INDEX(Lists!$K$2:$K$13,MATCH(D1031,Lists!$J$2:$J$13,0))</f>
        <v>ديسمبر</v>
      </c>
      <c r="F1031" s="19" t="str">
        <f aca="false">"Q"&amp;ROUNDUP(D1031/3,0)</f>
        <v>Q4</v>
      </c>
      <c r="G1031" s="30" t="str">
        <f aca="false">INDEX(Lists!$N$2:$N$8,MATCH(WEEKDAY(B1031,2),Lists!$M$2:$M$8,0))</f>
        <v>الجمعة</v>
      </c>
      <c r="H1031" s="30" t="s">
        <v>46</v>
      </c>
      <c r="I1031" s="19" t="str">
        <f aca="false">INDEX(Lists!$B$2:$B$6,MATCH(H1031,Lists!$A$2:$A$6,0))</f>
        <v>المنطقة الوسطى</v>
      </c>
      <c r="J1031" s="30" t="s">
        <v>113</v>
      </c>
      <c r="K1031" s="30" t="s">
        <v>100</v>
      </c>
      <c r="L1031" s="31" t="n">
        <v>299</v>
      </c>
      <c r="M1031" s="19" t="n">
        <v>5</v>
      </c>
      <c r="N1031" s="32" t="n">
        <v>0.1</v>
      </c>
      <c r="O1031" s="30" t="s">
        <v>48</v>
      </c>
      <c r="P1031" s="30" t="s">
        <v>51</v>
      </c>
      <c r="Q1031" s="30" t="s">
        <v>81</v>
      </c>
      <c r="R1031" s="25" t="n">
        <f aca="false">L1031*M1031*(1-N1031)</f>
        <v>1345.5</v>
      </c>
    </row>
    <row r="1032" customFormat="false" ht="15" hidden="false" customHeight="false" outlineLevel="0" collapsed="false">
      <c r="A1032" s="30" t="s">
        <v>1203</v>
      </c>
      <c r="B1032" s="44" t="n">
        <v>45632</v>
      </c>
      <c r="C1032" s="19" t="n">
        <f aca="false">YEAR(B1032)</f>
        <v>2024</v>
      </c>
      <c r="D1032" s="19" t="n">
        <f aca="false">MONTH(B1032)</f>
        <v>12</v>
      </c>
      <c r="E1032" s="30" t="str">
        <f aca="false">INDEX(Lists!$K$2:$K$13,MATCH(D1032,Lists!$J$2:$J$13,0))</f>
        <v>ديسمبر</v>
      </c>
      <c r="F1032" s="19" t="str">
        <f aca="false">"Q"&amp;ROUNDUP(D1032/3,0)</f>
        <v>Q4</v>
      </c>
      <c r="G1032" s="30" t="str">
        <f aca="false">INDEX(Lists!$N$2:$N$8,MATCH(WEEKDAY(B1032,2),Lists!$M$2:$M$8,0))</f>
        <v>الجمعة</v>
      </c>
      <c r="H1032" s="30" t="s">
        <v>54</v>
      </c>
      <c r="I1032" s="19" t="str">
        <f aca="false">INDEX(Lists!$B$2:$B$6,MATCH(H1032,Lists!$A$2:$A$6,0))</f>
        <v>المنطقة الشرقية</v>
      </c>
      <c r="J1032" s="30" t="s">
        <v>109</v>
      </c>
      <c r="K1032" s="30" t="s">
        <v>175</v>
      </c>
      <c r="L1032" s="31" t="n">
        <v>159</v>
      </c>
      <c r="M1032" s="19" t="n">
        <v>1</v>
      </c>
      <c r="N1032" s="32" t="n">
        <v>0.05</v>
      </c>
      <c r="O1032" s="30" t="s">
        <v>52</v>
      </c>
      <c r="P1032" s="30" t="s">
        <v>47</v>
      </c>
      <c r="Q1032" s="30" t="s">
        <v>99</v>
      </c>
      <c r="R1032" s="25" t="n">
        <f aca="false">L1032*M1032*(1-N1032)</f>
        <v>151.05</v>
      </c>
    </row>
    <row r="1033" customFormat="false" ht="15" hidden="false" customHeight="false" outlineLevel="0" collapsed="false">
      <c r="A1033" s="30" t="s">
        <v>1204</v>
      </c>
      <c r="B1033" s="44" t="n">
        <v>45632</v>
      </c>
      <c r="C1033" s="19" t="n">
        <f aca="false">YEAR(B1033)</f>
        <v>2024</v>
      </c>
      <c r="D1033" s="19" t="n">
        <f aca="false">MONTH(B1033)</f>
        <v>12</v>
      </c>
      <c r="E1033" s="30" t="str">
        <f aca="false">INDEX(Lists!$K$2:$K$13,MATCH(D1033,Lists!$J$2:$J$13,0))</f>
        <v>ديسمبر</v>
      </c>
      <c r="F1033" s="19" t="str">
        <f aca="false">"Q"&amp;ROUNDUP(D1033/3,0)</f>
        <v>Q4</v>
      </c>
      <c r="G1033" s="30" t="str">
        <f aca="false">INDEX(Lists!$N$2:$N$8,MATCH(WEEKDAY(B1033,2),Lists!$M$2:$M$8,0))</f>
        <v>الجمعة</v>
      </c>
      <c r="H1033" s="30" t="s">
        <v>46</v>
      </c>
      <c r="I1033" s="19" t="str">
        <f aca="false">INDEX(Lists!$B$2:$B$6,MATCH(H1033,Lists!$A$2:$A$6,0))</f>
        <v>المنطقة الوسطى</v>
      </c>
      <c r="J1033" s="30" t="s">
        <v>111</v>
      </c>
      <c r="K1033" s="30" t="s">
        <v>118</v>
      </c>
      <c r="L1033" s="31" t="n">
        <v>319</v>
      </c>
      <c r="M1033" s="19" t="n">
        <v>5</v>
      </c>
      <c r="N1033" s="32" t="n">
        <v>0.1</v>
      </c>
      <c r="O1033" s="30" t="s">
        <v>52</v>
      </c>
      <c r="P1033" s="30" t="s">
        <v>51</v>
      </c>
      <c r="Q1033" s="30" t="s">
        <v>84</v>
      </c>
      <c r="R1033" s="25" t="n">
        <f aca="false">L1033*M1033*(1-N1033)</f>
        <v>1435.5</v>
      </c>
    </row>
    <row r="1034" customFormat="false" ht="15" hidden="false" customHeight="false" outlineLevel="0" collapsed="false">
      <c r="A1034" s="30" t="s">
        <v>1205</v>
      </c>
      <c r="B1034" s="44" t="n">
        <v>45632</v>
      </c>
      <c r="C1034" s="19" t="n">
        <f aca="false">YEAR(B1034)</f>
        <v>2024</v>
      </c>
      <c r="D1034" s="19" t="n">
        <f aca="false">MONTH(B1034)</f>
        <v>12</v>
      </c>
      <c r="E1034" s="30" t="str">
        <f aca="false">INDEX(Lists!$K$2:$K$13,MATCH(D1034,Lists!$J$2:$J$13,0))</f>
        <v>ديسمبر</v>
      </c>
      <c r="F1034" s="19" t="str">
        <f aca="false">"Q"&amp;ROUNDUP(D1034/3,0)</f>
        <v>Q4</v>
      </c>
      <c r="G1034" s="30" t="str">
        <f aca="false">INDEX(Lists!$N$2:$N$8,MATCH(WEEKDAY(B1034,2),Lists!$M$2:$M$8,0))</f>
        <v>الجمعة</v>
      </c>
      <c r="H1034" s="30" t="s">
        <v>46</v>
      </c>
      <c r="I1034" s="19" t="str">
        <f aca="false">INDEX(Lists!$B$2:$B$6,MATCH(H1034,Lists!$A$2:$A$6,0))</f>
        <v>المنطقة الوسطى</v>
      </c>
      <c r="J1034" s="30" t="s">
        <v>107</v>
      </c>
      <c r="K1034" s="30" t="s">
        <v>115</v>
      </c>
      <c r="L1034" s="31" t="n">
        <v>6869</v>
      </c>
      <c r="M1034" s="19" t="n">
        <v>1</v>
      </c>
      <c r="N1034" s="32" t="n">
        <v>0</v>
      </c>
      <c r="O1034" s="30" t="s">
        <v>48</v>
      </c>
      <c r="P1034" s="30" t="s">
        <v>47</v>
      </c>
      <c r="Q1034" s="30" t="s">
        <v>96</v>
      </c>
      <c r="R1034" s="25" t="n">
        <f aca="false">L1034*M1034*(1-N1034)</f>
        <v>6869</v>
      </c>
    </row>
    <row r="1035" customFormat="false" ht="15" hidden="false" customHeight="false" outlineLevel="0" collapsed="false">
      <c r="A1035" s="30" t="s">
        <v>1206</v>
      </c>
      <c r="B1035" s="44" t="n">
        <v>45633</v>
      </c>
      <c r="C1035" s="19" t="n">
        <f aca="false">YEAR(B1035)</f>
        <v>2024</v>
      </c>
      <c r="D1035" s="19" t="n">
        <f aca="false">MONTH(B1035)</f>
        <v>12</v>
      </c>
      <c r="E1035" s="30" t="str">
        <f aca="false">INDEX(Lists!$K$2:$K$13,MATCH(D1035,Lists!$J$2:$J$13,0))</f>
        <v>ديسمبر</v>
      </c>
      <c r="F1035" s="19" t="str">
        <f aca="false">"Q"&amp;ROUNDUP(D1035/3,0)</f>
        <v>Q4</v>
      </c>
      <c r="G1035" s="30" t="str">
        <f aca="false">INDEX(Lists!$N$2:$N$8,MATCH(WEEKDAY(B1035,2),Lists!$M$2:$M$8,0))</f>
        <v>السبت</v>
      </c>
      <c r="H1035" s="30" t="s">
        <v>60</v>
      </c>
      <c r="I1035" s="19" t="str">
        <f aca="false">INDEX(Lists!$B$2:$B$6,MATCH(H1035,Lists!$A$2:$A$6,0))</f>
        <v>المنطقة الغربية</v>
      </c>
      <c r="J1035" s="30" t="s">
        <v>105</v>
      </c>
      <c r="K1035" s="30" t="s">
        <v>179</v>
      </c>
      <c r="L1035" s="31" t="n">
        <v>3609</v>
      </c>
      <c r="M1035" s="19" t="n">
        <v>1</v>
      </c>
      <c r="N1035" s="32" t="n">
        <v>0.1</v>
      </c>
      <c r="O1035" s="30" t="s">
        <v>58</v>
      </c>
      <c r="P1035" s="30" t="s">
        <v>47</v>
      </c>
      <c r="Q1035" s="30" t="s">
        <v>81</v>
      </c>
      <c r="R1035" s="25" t="n">
        <f aca="false">L1035*M1035*(1-N1035)</f>
        <v>3248.1</v>
      </c>
    </row>
    <row r="1036" customFormat="false" ht="15" hidden="false" customHeight="false" outlineLevel="0" collapsed="false">
      <c r="A1036" s="30" t="s">
        <v>1207</v>
      </c>
      <c r="B1036" s="44" t="n">
        <v>45633</v>
      </c>
      <c r="C1036" s="19" t="n">
        <f aca="false">YEAR(B1036)</f>
        <v>2024</v>
      </c>
      <c r="D1036" s="19" t="n">
        <f aca="false">MONTH(B1036)</f>
        <v>12</v>
      </c>
      <c r="E1036" s="30" t="str">
        <f aca="false">INDEX(Lists!$K$2:$K$13,MATCH(D1036,Lists!$J$2:$J$13,0))</f>
        <v>ديسمبر</v>
      </c>
      <c r="F1036" s="19" t="str">
        <f aca="false">"Q"&amp;ROUNDUP(D1036/3,0)</f>
        <v>Q4</v>
      </c>
      <c r="G1036" s="30" t="str">
        <f aca="false">INDEX(Lists!$N$2:$N$8,MATCH(WEEKDAY(B1036,2),Lists!$M$2:$M$8,0))</f>
        <v>السبت</v>
      </c>
      <c r="H1036" s="30" t="s">
        <v>46</v>
      </c>
      <c r="I1036" s="19" t="str">
        <f aca="false">INDEX(Lists!$B$2:$B$6,MATCH(H1036,Lists!$A$2:$A$6,0))</f>
        <v>المنطقة الوسطى</v>
      </c>
      <c r="J1036" s="30" t="s">
        <v>105</v>
      </c>
      <c r="K1036" s="30" t="s">
        <v>179</v>
      </c>
      <c r="L1036" s="31" t="n">
        <v>1569</v>
      </c>
      <c r="M1036" s="19" t="n">
        <v>2</v>
      </c>
      <c r="N1036" s="32" t="n">
        <v>0</v>
      </c>
      <c r="O1036" s="30" t="s">
        <v>52</v>
      </c>
      <c r="P1036" s="30" t="s">
        <v>47</v>
      </c>
      <c r="Q1036" s="30" t="s">
        <v>92</v>
      </c>
      <c r="R1036" s="25" t="n">
        <f aca="false">L1036*M1036*(1-N1036)</f>
        <v>3138</v>
      </c>
    </row>
    <row r="1037" customFormat="false" ht="15" hidden="false" customHeight="false" outlineLevel="0" collapsed="false">
      <c r="A1037" s="30" t="s">
        <v>1208</v>
      </c>
      <c r="B1037" s="44" t="n">
        <v>45633</v>
      </c>
      <c r="C1037" s="19" t="n">
        <f aca="false">YEAR(B1037)</f>
        <v>2024</v>
      </c>
      <c r="D1037" s="19" t="n">
        <f aca="false">MONTH(B1037)</f>
        <v>12</v>
      </c>
      <c r="E1037" s="30" t="str">
        <f aca="false">INDEX(Lists!$K$2:$K$13,MATCH(D1037,Lists!$J$2:$J$13,0))</f>
        <v>ديسمبر</v>
      </c>
      <c r="F1037" s="19" t="str">
        <f aca="false">"Q"&amp;ROUNDUP(D1037/3,0)</f>
        <v>Q4</v>
      </c>
      <c r="G1037" s="30" t="str">
        <f aca="false">INDEX(Lists!$N$2:$N$8,MATCH(WEEKDAY(B1037,2),Lists!$M$2:$M$8,0))</f>
        <v>السبت</v>
      </c>
      <c r="H1037" s="30" t="s">
        <v>54</v>
      </c>
      <c r="I1037" s="19" t="str">
        <f aca="false">INDEX(Lists!$B$2:$B$6,MATCH(H1037,Lists!$A$2:$A$6,0))</f>
        <v>المنطقة الشرقية</v>
      </c>
      <c r="J1037" s="30" t="s">
        <v>109</v>
      </c>
      <c r="K1037" s="30" t="s">
        <v>171</v>
      </c>
      <c r="L1037" s="31" t="n">
        <v>139</v>
      </c>
      <c r="M1037" s="19" t="n">
        <v>1</v>
      </c>
      <c r="N1037" s="32" t="n">
        <v>0</v>
      </c>
      <c r="O1037" s="30" t="s">
        <v>48</v>
      </c>
      <c r="P1037" s="30" t="s">
        <v>47</v>
      </c>
      <c r="Q1037" s="30" t="s">
        <v>96</v>
      </c>
      <c r="R1037" s="25" t="n">
        <f aca="false">L1037*M1037*(1-N1037)</f>
        <v>139</v>
      </c>
    </row>
    <row r="1038" customFormat="false" ht="15" hidden="false" customHeight="false" outlineLevel="0" collapsed="false">
      <c r="A1038" s="30" t="s">
        <v>1209</v>
      </c>
      <c r="B1038" s="44" t="n">
        <v>45633</v>
      </c>
      <c r="C1038" s="19" t="n">
        <f aca="false">YEAR(B1038)</f>
        <v>2024</v>
      </c>
      <c r="D1038" s="19" t="n">
        <f aca="false">MONTH(B1038)</f>
        <v>12</v>
      </c>
      <c r="E1038" s="30" t="str">
        <f aca="false">INDEX(Lists!$K$2:$K$13,MATCH(D1038,Lists!$J$2:$J$13,0))</f>
        <v>ديسمبر</v>
      </c>
      <c r="F1038" s="19" t="str">
        <f aca="false">"Q"&amp;ROUNDUP(D1038/3,0)</f>
        <v>Q4</v>
      </c>
      <c r="G1038" s="30" t="str">
        <f aca="false">INDEX(Lists!$N$2:$N$8,MATCH(WEEKDAY(B1038,2),Lists!$M$2:$M$8,0))</f>
        <v>السبت</v>
      </c>
      <c r="H1038" s="30" t="s">
        <v>46</v>
      </c>
      <c r="I1038" s="19" t="str">
        <f aca="false">INDEX(Lists!$B$2:$B$6,MATCH(H1038,Lists!$A$2:$A$6,0))</f>
        <v>المنطقة الوسطى</v>
      </c>
      <c r="J1038" s="30" t="s">
        <v>109</v>
      </c>
      <c r="K1038" s="30" t="s">
        <v>93</v>
      </c>
      <c r="L1038" s="31" t="n">
        <v>299</v>
      </c>
      <c r="M1038" s="19" t="n">
        <v>2</v>
      </c>
      <c r="N1038" s="32" t="n">
        <v>0</v>
      </c>
      <c r="O1038" s="30" t="s">
        <v>55</v>
      </c>
      <c r="P1038" s="30" t="s">
        <v>47</v>
      </c>
      <c r="Q1038" s="30" t="s">
        <v>81</v>
      </c>
      <c r="R1038" s="25" t="n">
        <f aca="false">L1038*M1038*(1-N1038)</f>
        <v>598</v>
      </c>
    </row>
    <row r="1039" customFormat="false" ht="15" hidden="false" customHeight="false" outlineLevel="0" collapsed="false">
      <c r="A1039" s="30" t="s">
        <v>1210</v>
      </c>
      <c r="B1039" s="44" t="n">
        <v>45633</v>
      </c>
      <c r="C1039" s="19" t="n">
        <f aca="false">YEAR(B1039)</f>
        <v>2024</v>
      </c>
      <c r="D1039" s="19" t="n">
        <f aca="false">MONTH(B1039)</f>
        <v>12</v>
      </c>
      <c r="E1039" s="30" t="str">
        <f aca="false">INDEX(Lists!$K$2:$K$13,MATCH(D1039,Lists!$J$2:$J$13,0))</f>
        <v>ديسمبر</v>
      </c>
      <c r="F1039" s="19" t="str">
        <f aca="false">"Q"&amp;ROUNDUP(D1039/3,0)</f>
        <v>Q4</v>
      </c>
      <c r="G1039" s="30" t="str">
        <f aca="false">INDEX(Lists!$N$2:$N$8,MATCH(WEEKDAY(B1039,2),Lists!$M$2:$M$8,0))</f>
        <v>السبت</v>
      </c>
      <c r="H1039" s="30" t="s">
        <v>60</v>
      </c>
      <c r="I1039" s="19" t="str">
        <f aca="false">INDEX(Lists!$B$2:$B$6,MATCH(H1039,Lists!$A$2:$A$6,0))</f>
        <v>المنطقة الغربية</v>
      </c>
      <c r="J1039" s="30" t="s">
        <v>109</v>
      </c>
      <c r="K1039" s="30" t="s">
        <v>110</v>
      </c>
      <c r="L1039" s="31" t="n">
        <v>179</v>
      </c>
      <c r="M1039" s="19" t="n">
        <v>5</v>
      </c>
      <c r="N1039" s="32" t="n">
        <v>0</v>
      </c>
      <c r="O1039" s="30" t="s">
        <v>52</v>
      </c>
      <c r="P1039" s="30" t="s">
        <v>51</v>
      </c>
      <c r="Q1039" s="30" t="s">
        <v>84</v>
      </c>
      <c r="R1039" s="25" t="n">
        <f aca="false">L1039*M1039*(1-N1039)</f>
        <v>895</v>
      </c>
    </row>
    <row r="1040" customFormat="false" ht="15" hidden="false" customHeight="false" outlineLevel="0" collapsed="false">
      <c r="A1040" s="30" t="s">
        <v>1211</v>
      </c>
      <c r="B1040" s="44" t="n">
        <v>45633</v>
      </c>
      <c r="C1040" s="19" t="n">
        <f aca="false">YEAR(B1040)</f>
        <v>2024</v>
      </c>
      <c r="D1040" s="19" t="n">
        <f aca="false">MONTH(B1040)</f>
        <v>12</v>
      </c>
      <c r="E1040" s="30" t="str">
        <f aca="false">INDEX(Lists!$K$2:$K$13,MATCH(D1040,Lists!$J$2:$J$13,0))</f>
        <v>ديسمبر</v>
      </c>
      <c r="F1040" s="19" t="str">
        <f aca="false">"Q"&amp;ROUNDUP(D1040/3,0)</f>
        <v>Q4</v>
      </c>
      <c r="G1040" s="30" t="str">
        <f aca="false">INDEX(Lists!$N$2:$N$8,MATCH(WEEKDAY(B1040,2),Lists!$M$2:$M$8,0))</f>
        <v>السبت</v>
      </c>
      <c r="H1040" s="30" t="s">
        <v>54</v>
      </c>
      <c r="I1040" s="19" t="str">
        <f aca="false">INDEX(Lists!$B$2:$B$6,MATCH(H1040,Lists!$A$2:$A$6,0))</f>
        <v>المنطقة الشرقية</v>
      </c>
      <c r="J1040" s="30" t="s">
        <v>109</v>
      </c>
      <c r="K1040" s="30" t="s">
        <v>93</v>
      </c>
      <c r="L1040" s="31" t="n">
        <v>119</v>
      </c>
      <c r="M1040" s="19" t="n">
        <v>2</v>
      </c>
      <c r="N1040" s="32" t="n">
        <v>0.05</v>
      </c>
      <c r="O1040" s="30" t="s">
        <v>55</v>
      </c>
      <c r="P1040" s="30" t="s">
        <v>47</v>
      </c>
      <c r="Q1040" s="30" t="s">
        <v>99</v>
      </c>
      <c r="R1040" s="25" t="n">
        <f aca="false">L1040*M1040*(1-N1040)</f>
        <v>226.1</v>
      </c>
    </row>
    <row r="1041" customFormat="false" ht="15" hidden="false" customHeight="false" outlineLevel="0" collapsed="false">
      <c r="A1041" s="30" t="s">
        <v>1212</v>
      </c>
      <c r="B1041" s="44" t="n">
        <v>45634</v>
      </c>
      <c r="C1041" s="19" t="n">
        <f aca="false">YEAR(B1041)</f>
        <v>2024</v>
      </c>
      <c r="D1041" s="19" t="n">
        <f aca="false">MONTH(B1041)</f>
        <v>12</v>
      </c>
      <c r="E1041" s="30" t="str">
        <f aca="false">INDEX(Lists!$K$2:$K$13,MATCH(D1041,Lists!$J$2:$J$13,0))</f>
        <v>ديسمبر</v>
      </c>
      <c r="F1041" s="19" t="str">
        <f aca="false">"Q"&amp;ROUNDUP(D1041/3,0)</f>
        <v>Q4</v>
      </c>
      <c r="G1041" s="30" t="str">
        <f aca="false">INDEX(Lists!$N$2:$N$8,MATCH(WEEKDAY(B1041,2),Lists!$M$2:$M$8,0))</f>
        <v>الأحد</v>
      </c>
      <c r="H1041" s="30" t="s">
        <v>46</v>
      </c>
      <c r="I1041" s="19" t="str">
        <f aca="false">INDEX(Lists!$B$2:$B$6,MATCH(H1041,Lists!$A$2:$A$6,0))</f>
        <v>المنطقة الوسطى</v>
      </c>
      <c r="J1041" s="30" t="s">
        <v>109</v>
      </c>
      <c r="K1041" s="30" t="s">
        <v>175</v>
      </c>
      <c r="L1041" s="31" t="n">
        <v>319</v>
      </c>
      <c r="M1041" s="19" t="n">
        <v>1</v>
      </c>
      <c r="N1041" s="32" t="n">
        <v>0</v>
      </c>
      <c r="O1041" s="30" t="s">
        <v>48</v>
      </c>
      <c r="P1041" s="30" t="s">
        <v>47</v>
      </c>
      <c r="Q1041" s="30" t="s">
        <v>76</v>
      </c>
      <c r="R1041" s="25" t="n">
        <f aca="false">L1041*M1041*(1-N1041)</f>
        <v>319</v>
      </c>
    </row>
    <row r="1042" customFormat="false" ht="15" hidden="false" customHeight="false" outlineLevel="0" collapsed="false">
      <c r="A1042" s="30" t="s">
        <v>1213</v>
      </c>
      <c r="B1042" s="44" t="n">
        <v>45634</v>
      </c>
      <c r="C1042" s="19" t="n">
        <f aca="false">YEAR(B1042)</f>
        <v>2024</v>
      </c>
      <c r="D1042" s="19" t="n">
        <f aca="false">MONTH(B1042)</f>
        <v>12</v>
      </c>
      <c r="E1042" s="30" t="str">
        <f aca="false">INDEX(Lists!$K$2:$K$13,MATCH(D1042,Lists!$J$2:$J$13,0))</f>
        <v>ديسمبر</v>
      </c>
      <c r="F1042" s="19" t="str">
        <f aca="false">"Q"&amp;ROUNDUP(D1042/3,0)</f>
        <v>Q4</v>
      </c>
      <c r="G1042" s="30" t="str">
        <f aca="false">INDEX(Lists!$N$2:$N$8,MATCH(WEEKDAY(B1042,2),Lists!$M$2:$M$8,0))</f>
        <v>الأحد</v>
      </c>
      <c r="H1042" s="30" t="s">
        <v>46</v>
      </c>
      <c r="I1042" s="19" t="str">
        <f aca="false">INDEX(Lists!$B$2:$B$6,MATCH(H1042,Lists!$A$2:$A$6,0))</f>
        <v>المنطقة الوسطى</v>
      </c>
      <c r="J1042" s="30" t="s">
        <v>105</v>
      </c>
      <c r="K1042" s="30" t="s">
        <v>90</v>
      </c>
      <c r="L1042" s="31" t="n">
        <v>2029</v>
      </c>
      <c r="M1042" s="19" t="n">
        <v>1</v>
      </c>
      <c r="N1042" s="32" t="n">
        <v>0.05</v>
      </c>
      <c r="O1042" s="30" t="s">
        <v>52</v>
      </c>
      <c r="P1042" s="30" t="s">
        <v>47</v>
      </c>
      <c r="Q1042" s="30" t="s">
        <v>86</v>
      </c>
      <c r="R1042" s="25" t="n">
        <f aca="false">L1042*M1042*(1-N1042)</f>
        <v>1927.55</v>
      </c>
    </row>
    <row r="1043" customFormat="false" ht="15" hidden="false" customHeight="false" outlineLevel="0" collapsed="false">
      <c r="A1043" s="30" t="s">
        <v>1214</v>
      </c>
      <c r="B1043" s="44" t="n">
        <v>45635</v>
      </c>
      <c r="C1043" s="19" t="n">
        <f aca="false">YEAR(B1043)</f>
        <v>2024</v>
      </c>
      <c r="D1043" s="19" t="n">
        <f aca="false">MONTH(B1043)</f>
        <v>12</v>
      </c>
      <c r="E1043" s="30" t="str">
        <f aca="false">INDEX(Lists!$K$2:$K$13,MATCH(D1043,Lists!$J$2:$J$13,0))</f>
        <v>ديسمبر</v>
      </c>
      <c r="F1043" s="19" t="str">
        <f aca="false">"Q"&amp;ROUNDUP(D1043/3,0)</f>
        <v>Q4</v>
      </c>
      <c r="G1043" s="30" t="str">
        <f aca="false">INDEX(Lists!$N$2:$N$8,MATCH(WEEKDAY(B1043,2),Lists!$M$2:$M$8,0))</f>
        <v>الإثنين</v>
      </c>
      <c r="H1043" s="30" t="s">
        <v>50</v>
      </c>
      <c r="I1043" s="19" t="str">
        <f aca="false">INDEX(Lists!$B$2:$B$6,MATCH(H1043,Lists!$A$2:$A$6,0))</f>
        <v>المنطقة الغربية</v>
      </c>
      <c r="J1043" s="30" t="s">
        <v>113</v>
      </c>
      <c r="K1043" s="30" t="s">
        <v>95</v>
      </c>
      <c r="L1043" s="31" t="n">
        <v>379</v>
      </c>
      <c r="M1043" s="19" t="n">
        <v>1</v>
      </c>
      <c r="N1043" s="32" t="n">
        <v>0</v>
      </c>
      <c r="O1043" s="30" t="s">
        <v>58</v>
      </c>
      <c r="P1043" s="30" t="s">
        <v>47</v>
      </c>
      <c r="Q1043" s="30" t="s">
        <v>99</v>
      </c>
      <c r="R1043" s="25" t="n">
        <f aca="false">L1043*M1043*(1-N1043)</f>
        <v>379</v>
      </c>
    </row>
    <row r="1044" customFormat="false" ht="15" hidden="false" customHeight="false" outlineLevel="0" collapsed="false">
      <c r="A1044" s="30" t="s">
        <v>1215</v>
      </c>
      <c r="B1044" s="44" t="n">
        <v>45635</v>
      </c>
      <c r="C1044" s="19" t="n">
        <f aca="false">YEAR(B1044)</f>
        <v>2024</v>
      </c>
      <c r="D1044" s="19" t="n">
        <f aca="false">MONTH(B1044)</f>
        <v>12</v>
      </c>
      <c r="E1044" s="30" t="str">
        <f aca="false">INDEX(Lists!$K$2:$K$13,MATCH(D1044,Lists!$J$2:$J$13,0))</f>
        <v>ديسمبر</v>
      </c>
      <c r="F1044" s="19" t="str">
        <f aca="false">"Q"&amp;ROUNDUP(D1044/3,0)</f>
        <v>Q4</v>
      </c>
      <c r="G1044" s="30" t="str">
        <f aca="false">INDEX(Lists!$N$2:$N$8,MATCH(WEEKDAY(B1044,2),Lists!$M$2:$M$8,0))</f>
        <v>الإثنين</v>
      </c>
      <c r="H1044" s="30" t="s">
        <v>60</v>
      </c>
      <c r="I1044" s="19" t="str">
        <f aca="false">INDEX(Lists!$B$2:$B$6,MATCH(H1044,Lists!$A$2:$A$6,0))</f>
        <v>المنطقة الغربية</v>
      </c>
      <c r="J1044" s="30" t="s">
        <v>107</v>
      </c>
      <c r="K1044" s="30" t="s">
        <v>115</v>
      </c>
      <c r="L1044" s="31" t="n">
        <v>4809</v>
      </c>
      <c r="M1044" s="19" t="n">
        <v>3</v>
      </c>
      <c r="N1044" s="32" t="n">
        <v>0.2</v>
      </c>
      <c r="O1044" s="30" t="s">
        <v>52</v>
      </c>
      <c r="P1044" s="30" t="s">
        <v>47</v>
      </c>
      <c r="Q1044" s="30" t="s">
        <v>92</v>
      </c>
      <c r="R1044" s="25" t="n">
        <f aca="false">L1044*M1044*(1-N1044)</f>
        <v>11541.6</v>
      </c>
    </row>
    <row r="1045" customFormat="false" ht="15" hidden="false" customHeight="false" outlineLevel="0" collapsed="false">
      <c r="A1045" s="30" t="s">
        <v>1216</v>
      </c>
      <c r="B1045" s="44" t="n">
        <v>45636</v>
      </c>
      <c r="C1045" s="19" t="n">
        <f aca="false">YEAR(B1045)</f>
        <v>2024</v>
      </c>
      <c r="D1045" s="19" t="n">
        <f aca="false">MONTH(B1045)</f>
        <v>12</v>
      </c>
      <c r="E1045" s="30" t="str">
        <f aca="false">INDEX(Lists!$K$2:$K$13,MATCH(D1045,Lists!$J$2:$J$13,0))</f>
        <v>ديسمبر</v>
      </c>
      <c r="F1045" s="19" t="str">
        <f aca="false">"Q"&amp;ROUNDUP(D1045/3,0)</f>
        <v>Q4</v>
      </c>
      <c r="G1045" s="30" t="str">
        <f aca="false">INDEX(Lists!$N$2:$N$8,MATCH(WEEKDAY(B1045,2),Lists!$M$2:$M$8,0))</f>
        <v>الثلاثاء</v>
      </c>
      <c r="H1045" s="30" t="s">
        <v>50</v>
      </c>
      <c r="I1045" s="19" t="str">
        <f aca="false">INDEX(Lists!$B$2:$B$6,MATCH(H1045,Lists!$A$2:$A$6,0))</f>
        <v>المنطقة الغربية</v>
      </c>
      <c r="J1045" s="30" t="s">
        <v>109</v>
      </c>
      <c r="K1045" s="30" t="s">
        <v>192</v>
      </c>
      <c r="L1045" s="31" t="n">
        <v>119</v>
      </c>
      <c r="M1045" s="19" t="n">
        <v>1</v>
      </c>
      <c r="N1045" s="32" t="n">
        <v>0</v>
      </c>
      <c r="O1045" s="30" t="s">
        <v>52</v>
      </c>
      <c r="P1045" s="30" t="s">
        <v>47</v>
      </c>
      <c r="Q1045" s="30" t="s">
        <v>78</v>
      </c>
      <c r="R1045" s="25" t="n">
        <f aca="false">L1045*M1045*(1-N1045)</f>
        <v>119</v>
      </c>
    </row>
    <row r="1046" customFormat="false" ht="15" hidden="false" customHeight="false" outlineLevel="0" collapsed="false">
      <c r="A1046" s="30" t="s">
        <v>1217</v>
      </c>
      <c r="B1046" s="44" t="n">
        <v>45636</v>
      </c>
      <c r="C1046" s="19" t="n">
        <f aca="false">YEAR(B1046)</f>
        <v>2024</v>
      </c>
      <c r="D1046" s="19" t="n">
        <f aca="false">MONTH(B1046)</f>
        <v>12</v>
      </c>
      <c r="E1046" s="30" t="str">
        <f aca="false">INDEX(Lists!$K$2:$K$13,MATCH(D1046,Lists!$J$2:$J$13,0))</f>
        <v>ديسمبر</v>
      </c>
      <c r="F1046" s="19" t="str">
        <f aca="false">"Q"&amp;ROUNDUP(D1046/3,0)</f>
        <v>Q4</v>
      </c>
      <c r="G1046" s="30" t="str">
        <f aca="false">INDEX(Lists!$N$2:$N$8,MATCH(WEEKDAY(B1046,2),Lists!$M$2:$M$8,0))</f>
        <v>الثلاثاء</v>
      </c>
      <c r="H1046" s="30" t="s">
        <v>50</v>
      </c>
      <c r="I1046" s="19" t="str">
        <f aca="false">INDEX(Lists!$B$2:$B$6,MATCH(H1046,Lists!$A$2:$A$6,0))</f>
        <v>المنطقة الغربية</v>
      </c>
      <c r="J1046" s="30" t="s">
        <v>105</v>
      </c>
      <c r="K1046" s="30" t="s">
        <v>179</v>
      </c>
      <c r="L1046" s="31" t="n">
        <v>3079</v>
      </c>
      <c r="M1046" s="19" t="n">
        <v>1</v>
      </c>
      <c r="N1046" s="32" t="n">
        <v>0.05</v>
      </c>
      <c r="O1046" s="30" t="s">
        <v>55</v>
      </c>
      <c r="P1046" s="30" t="s">
        <v>47</v>
      </c>
      <c r="Q1046" s="30" t="s">
        <v>78</v>
      </c>
      <c r="R1046" s="25" t="n">
        <f aca="false">L1046*M1046*(1-N1046)</f>
        <v>2925.05</v>
      </c>
    </row>
    <row r="1047" customFormat="false" ht="15" hidden="false" customHeight="false" outlineLevel="0" collapsed="false">
      <c r="A1047" s="30" t="s">
        <v>1218</v>
      </c>
      <c r="B1047" s="44" t="n">
        <v>45636</v>
      </c>
      <c r="C1047" s="19" t="n">
        <f aca="false">YEAR(B1047)</f>
        <v>2024</v>
      </c>
      <c r="D1047" s="19" t="n">
        <f aca="false">MONTH(B1047)</f>
        <v>12</v>
      </c>
      <c r="E1047" s="30" t="str">
        <f aca="false">INDEX(Lists!$K$2:$K$13,MATCH(D1047,Lists!$J$2:$J$13,0))</f>
        <v>ديسمبر</v>
      </c>
      <c r="F1047" s="19" t="str">
        <f aca="false">"Q"&amp;ROUNDUP(D1047/3,0)</f>
        <v>Q4</v>
      </c>
      <c r="G1047" s="30" t="str">
        <f aca="false">INDEX(Lists!$N$2:$N$8,MATCH(WEEKDAY(B1047,2),Lists!$M$2:$M$8,0))</f>
        <v>الثلاثاء</v>
      </c>
      <c r="H1047" s="30" t="s">
        <v>46</v>
      </c>
      <c r="I1047" s="19" t="str">
        <f aca="false">INDEX(Lists!$B$2:$B$6,MATCH(H1047,Lists!$A$2:$A$6,0))</f>
        <v>المنطقة الوسطى</v>
      </c>
      <c r="J1047" s="30" t="s">
        <v>111</v>
      </c>
      <c r="K1047" s="30" t="s">
        <v>122</v>
      </c>
      <c r="L1047" s="31" t="n">
        <v>469</v>
      </c>
      <c r="M1047" s="19" t="n">
        <v>1</v>
      </c>
      <c r="N1047" s="32" t="n">
        <v>0</v>
      </c>
      <c r="O1047" s="30" t="s">
        <v>48</v>
      </c>
      <c r="P1047" s="30" t="s">
        <v>47</v>
      </c>
      <c r="Q1047" s="30" t="s">
        <v>81</v>
      </c>
      <c r="R1047" s="25" t="n">
        <f aca="false">L1047*M1047*(1-N1047)</f>
        <v>469</v>
      </c>
    </row>
    <row r="1048" customFormat="false" ht="15" hidden="false" customHeight="false" outlineLevel="0" collapsed="false">
      <c r="A1048" s="30" t="s">
        <v>1219</v>
      </c>
      <c r="B1048" s="44" t="n">
        <v>45636</v>
      </c>
      <c r="C1048" s="19" t="n">
        <f aca="false">YEAR(B1048)</f>
        <v>2024</v>
      </c>
      <c r="D1048" s="19" t="n">
        <f aca="false">MONTH(B1048)</f>
        <v>12</v>
      </c>
      <c r="E1048" s="30" t="str">
        <f aca="false">INDEX(Lists!$K$2:$K$13,MATCH(D1048,Lists!$J$2:$J$13,0))</f>
        <v>ديسمبر</v>
      </c>
      <c r="F1048" s="19" t="str">
        <f aca="false">"Q"&amp;ROUNDUP(D1048/3,0)</f>
        <v>Q4</v>
      </c>
      <c r="G1048" s="30" t="str">
        <f aca="false">INDEX(Lists!$N$2:$N$8,MATCH(WEEKDAY(B1048,2),Lists!$M$2:$M$8,0))</f>
        <v>الثلاثاء</v>
      </c>
      <c r="H1048" s="30" t="s">
        <v>46</v>
      </c>
      <c r="I1048" s="19" t="str">
        <f aca="false">INDEX(Lists!$B$2:$B$6,MATCH(H1048,Lists!$A$2:$A$6,0))</f>
        <v>المنطقة الوسطى</v>
      </c>
      <c r="J1048" s="30" t="s">
        <v>107</v>
      </c>
      <c r="K1048" s="30" t="s">
        <v>184</v>
      </c>
      <c r="L1048" s="31" t="n">
        <v>2649</v>
      </c>
      <c r="M1048" s="19" t="n">
        <v>1</v>
      </c>
      <c r="N1048" s="32" t="n">
        <v>0.15</v>
      </c>
      <c r="O1048" s="30" t="s">
        <v>58</v>
      </c>
      <c r="P1048" s="30" t="s">
        <v>47</v>
      </c>
      <c r="Q1048" s="30" t="s">
        <v>99</v>
      </c>
      <c r="R1048" s="25" t="n">
        <f aca="false">L1048*M1048*(1-N1048)</f>
        <v>2251.65</v>
      </c>
    </row>
    <row r="1049" customFormat="false" ht="15" hidden="false" customHeight="false" outlineLevel="0" collapsed="false">
      <c r="A1049" s="30" t="s">
        <v>1220</v>
      </c>
      <c r="B1049" s="44" t="n">
        <v>45637</v>
      </c>
      <c r="C1049" s="19" t="n">
        <f aca="false">YEAR(B1049)</f>
        <v>2024</v>
      </c>
      <c r="D1049" s="19" t="n">
        <f aca="false">MONTH(B1049)</f>
        <v>12</v>
      </c>
      <c r="E1049" s="30" t="str">
        <f aca="false">INDEX(Lists!$K$2:$K$13,MATCH(D1049,Lists!$J$2:$J$13,0))</f>
        <v>ديسمبر</v>
      </c>
      <c r="F1049" s="19" t="str">
        <f aca="false">"Q"&amp;ROUNDUP(D1049/3,0)</f>
        <v>Q4</v>
      </c>
      <c r="G1049" s="30" t="str">
        <f aca="false">INDEX(Lists!$N$2:$N$8,MATCH(WEEKDAY(B1049,2),Lists!$M$2:$M$8,0))</f>
        <v>الأربعاء</v>
      </c>
      <c r="H1049" s="30" t="s">
        <v>54</v>
      </c>
      <c r="I1049" s="19" t="str">
        <f aca="false">INDEX(Lists!$B$2:$B$6,MATCH(H1049,Lists!$A$2:$A$6,0))</f>
        <v>المنطقة الشرقية</v>
      </c>
      <c r="J1049" s="30" t="s">
        <v>111</v>
      </c>
      <c r="K1049" s="30" t="s">
        <v>122</v>
      </c>
      <c r="L1049" s="31" t="n">
        <v>369</v>
      </c>
      <c r="M1049" s="19" t="n">
        <v>1</v>
      </c>
      <c r="N1049" s="32" t="n">
        <v>0.1</v>
      </c>
      <c r="O1049" s="30" t="s">
        <v>48</v>
      </c>
      <c r="P1049" s="30" t="s">
        <v>47</v>
      </c>
      <c r="Q1049" s="30" t="s">
        <v>76</v>
      </c>
      <c r="R1049" s="25" t="n">
        <f aca="false">L1049*M1049*(1-N1049)</f>
        <v>332.1</v>
      </c>
    </row>
    <row r="1050" customFormat="false" ht="15" hidden="false" customHeight="false" outlineLevel="0" collapsed="false">
      <c r="A1050" s="30" t="s">
        <v>1221</v>
      </c>
      <c r="B1050" s="44" t="n">
        <v>45637</v>
      </c>
      <c r="C1050" s="19" t="n">
        <f aca="false">YEAR(B1050)</f>
        <v>2024</v>
      </c>
      <c r="D1050" s="19" t="n">
        <f aca="false">MONTH(B1050)</f>
        <v>12</v>
      </c>
      <c r="E1050" s="30" t="str">
        <f aca="false">INDEX(Lists!$K$2:$K$13,MATCH(D1050,Lists!$J$2:$J$13,0))</f>
        <v>ديسمبر</v>
      </c>
      <c r="F1050" s="19" t="str">
        <f aca="false">"Q"&amp;ROUNDUP(D1050/3,0)</f>
        <v>Q4</v>
      </c>
      <c r="G1050" s="30" t="str">
        <f aca="false">INDEX(Lists!$N$2:$N$8,MATCH(WEEKDAY(B1050,2),Lists!$M$2:$M$8,0))</f>
        <v>الأربعاء</v>
      </c>
      <c r="H1050" s="30" t="s">
        <v>60</v>
      </c>
      <c r="I1050" s="19" t="str">
        <f aca="false">INDEX(Lists!$B$2:$B$6,MATCH(H1050,Lists!$A$2:$A$6,0))</f>
        <v>المنطقة الغربية</v>
      </c>
      <c r="J1050" s="30" t="s">
        <v>111</v>
      </c>
      <c r="K1050" s="30" t="s">
        <v>122</v>
      </c>
      <c r="L1050" s="31" t="n">
        <v>539</v>
      </c>
      <c r="M1050" s="19" t="n">
        <v>1</v>
      </c>
      <c r="N1050" s="32" t="n">
        <v>0</v>
      </c>
      <c r="O1050" s="30" t="s">
        <v>48</v>
      </c>
      <c r="P1050" s="30" t="s">
        <v>47</v>
      </c>
      <c r="Q1050" s="30" t="s">
        <v>99</v>
      </c>
      <c r="R1050" s="25" t="n">
        <f aca="false">L1050*M1050*(1-N1050)</f>
        <v>539</v>
      </c>
    </row>
    <row r="1051" customFormat="false" ht="15" hidden="false" customHeight="false" outlineLevel="0" collapsed="false">
      <c r="A1051" s="30" t="s">
        <v>1222</v>
      </c>
      <c r="B1051" s="44" t="n">
        <v>45637</v>
      </c>
      <c r="C1051" s="19" t="n">
        <f aca="false">YEAR(B1051)</f>
        <v>2024</v>
      </c>
      <c r="D1051" s="19" t="n">
        <f aca="false">MONTH(B1051)</f>
        <v>12</v>
      </c>
      <c r="E1051" s="30" t="str">
        <f aca="false">INDEX(Lists!$K$2:$K$13,MATCH(D1051,Lists!$J$2:$J$13,0))</f>
        <v>ديسمبر</v>
      </c>
      <c r="F1051" s="19" t="str">
        <f aca="false">"Q"&amp;ROUNDUP(D1051/3,0)</f>
        <v>Q4</v>
      </c>
      <c r="G1051" s="30" t="str">
        <f aca="false">INDEX(Lists!$N$2:$N$8,MATCH(WEEKDAY(B1051,2),Lists!$M$2:$M$8,0))</f>
        <v>الأربعاء</v>
      </c>
      <c r="H1051" s="30" t="s">
        <v>50</v>
      </c>
      <c r="I1051" s="19" t="str">
        <f aca="false">INDEX(Lists!$B$2:$B$6,MATCH(H1051,Lists!$A$2:$A$6,0))</f>
        <v>المنطقة الغربية</v>
      </c>
      <c r="J1051" s="30" t="s">
        <v>105</v>
      </c>
      <c r="K1051" s="30" t="s">
        <v>79</v>
      </c>
      <c r="L1051" s="31" t="n">
        <v>2599</v>
      </c>
      <c r="M1051" s="19" t="n">
        <v>1</v>
      </c>
      <c r="N1051" s="32" t="n">
        <v>0</v>
      </c>
      <c r="O1051" s="30" t="s">
        <v>55</v>
      </c>
      <c r="P1051" s="30" t="s">
        <v>47</v>
      </c>
      <c r="Q1051" s="30" t="s">
        <v>78</v>
      </c>
      <c r="R1051" s="25" t="n">
        <f aca="false">L1051*M1051*(1-N1051)</f>
        <v>2599</v>
      </c>
    </row>
    <row r="1052" customFormat="false" ht="15" hidden="false" customHeight="false" outlineLevel="0" collapsed="false">
      <c r="A1052" s="30" t="s">
        <v>1223</v>
      </c>
      <c r="B1052" s="44" t="n">
        <v>45637</v>
      </c>
      <c r="C1052" s="19" t="n">
        <f aca="false">YEAR(B1052)</f>
        <v>2024</v>
      </c>
      <c r="D1052" s="19" t="n">
        <f aca="false">MONTH(B1052)</f>
        <v>12</v>
      </c>
      <c r="E1052" s="30" t="str">
        <f aca="false">INDEX(Lists!$K$2:$K$13,MATCH(D1052,Lists!$J$2:$J$13,0))</f>
        <v>ديسمبر</v>
      </c>
      <c r="F1052" s="19" t="str">
        <f aca="false">"Q"&amp;ROUNDUP(D1052/3,0)</f>
        <v>Q4</v>
      </c>
      <c r="G1052" s="30" t="str">
        <f aca="false">INDEX(Lists!$N$2:$N$8,MATCH(WEEKDAY(B1052,2),Lists!$M$2:$M$8,0))</f>
        <v>الأربعاء</v>
      </c>
      <c r="H1052" s="30" t="s">
        <v>50</v>
      </c>
      <c r="I1052" s="19" t="str">
        <f aca="false">INDEX(Lists!$B$2:$B$6,MATCH(H1052,Lists!$A$2:$A$6,0))</f>
        <v>المنطقة الغربية</v>
      </c>
      <c r="J1052" s="30" t="s">
        <v>105</v>
      </c>
      <c r="K1052" s="30" t="s">
        <v>82</v>
      </c>
      <c r="L1052" s="31" t="n">
        <v>2879</v>
      </c>
      <c r="M1052" s="19" t="n">
        <v>1</v>
      </c>
      <c r="N1052" s="32" t="n">
        <v>0</v>
      </c>
      <c r="O1052" s="30" t="s">
        <v>58</v>
      </c>
      <c r="P1052" s="30" t="s">
        <v>51</v>
      </c>
      <c r="Q1052" s="30" t="s">
        <v>84</v>
      </c>
      <c r="R1052" s="25" t="n">
        <f aca="false">L1052*M1052*(1-N1052)</f>
        <v>2879</v>
      </c>
    </row>
    <row r="1053" customFormat="false" ht="15" hidden="false" customHeight="false" outlineLevel="0" collapsed="false">
      <c r="A1053" s="30" t="s">
        <v>1224</v>
      </c>
      <c r="B1053" s="44" t="n">
        <v>45637</v>
      </c>
      <c r="C1053" s="19" t="n">
        <f aca="false">YEAR(B1053)</f>
        <v>2024</v>
      </c>
      <c r="D1053" s="19" t="n">
        <f aca="false">MONTH(B1053)</f>
        <v>12</v>
      </c>
      <c r="E1053" s="30" t="str">
        <f aca="false">INDEX(Lists!$K$2:$K$13,MATCH(D1053,Lists!$J$2:$J$13,0))</f>
        <v>ديسمبر</v>
      </c>
      <c r="F1053" s="19" t="str">
        <f aca="false">"Q"&amp;ROUNDUP(D1053/3,0)</f>
        <v>Q4</v>
      </c>
      <c r="G1053" s="30" t="str">
        <f aca="false">INDEX(Lists!$N$2:$N$8,MATCH(WEEKDAY(B1053,2),Lists!$M$2:$M$8,0))</f>
        <v>الأربعاء</v>
      </c>
      <c r="H1053" s="30" t="s">
        <v>50</v>
      </c>
      <c r="I1053" s="19" t="str">
        <f aca="false">INDEX(Lists!$B$2:$B$6,MATCH(H1053,Lists!$A$2:$A$6,0))</f>
        <v>المنطقة الغربية</v>
      </c>
      <c r="J1053" s="30" t="s">
        <v>105</v>
      </c>
      <c r="K1053" s="30" t="s">
        <v>85</v>
      </c>
      <c r="L1053" s="31" t="n">
        <v>3079</v>
      </c>
      <c r="M1053" s="19" t="n">
        <v>2</v>
      </c>
      <c r="N1053" s="32" t="n">
        <v>0.05</v>
      </c>
      <c r="O1053" s="30" t="s">
        <v>48</v>
      </c>
      <c r="P1053" s="30" t="s">
        <v>47</v>
      </c>
      <c r="Q1053" s="30" t="s">
        <v>99</v>
      </c>
      <c r="R1053" s="25" t="n">
        <f aca="false">L1053*M1053*(1-N1053)</f>
        <v>5850.1</v>
      </c>
    </row>
    <row r="1054" customFormat="false" ht="15" hidden="false" customHeight="false" outlineLevel="0" collapsed="false">
      <c r="A1054" s="30" t="s">
        <v>1225</v>
      </c>
      <c r="B1054" s="44" t="n">
        <v>45637</v>
      </c>
      <c r="C1054" s="19" t="n">
        <f aca="false">YEAR(B1054)</f>
        <v>2024</v>
      </c>
      <c r="D1054" s="19" t="n">
        <f aca="false">MONTH(B1054)</f>
        <v>12</v>
      </c>
      <c r="E1054" s="30" t="str">
        <f aca="false">INDEX(Lists!$K$2:$K$13,MATCH(D1054,Lists!$J$2:$J$13,0))</f>
        <v>ديسمبر</v>
      </c>
      <c r="F1054" s="19" t="str">
        <f aca="false">"Q"&amp;ROUNDUP(D1054/3,0)</f>
        <v>Q4</v>
      </c>
      <c r="G1054" s="30" t="str">
        <f aca="false">INDEX(Lists!$N$2:$N$8,MATCH(WEEKDAY(B1054,2),Lists!$M$2:$M$8,0))</f>
        <v>الأربعاء</v>
      </c>
      <c r="H1054" s="30" t="s">
        <v>50</v>
      </c>
      <c r="I1054" s="19" t="str">
        <f aca="false">INDEX(Lists!$B$2:$B$6,MATCH(H1054,Lists!$A$2:$A$6,0))</f>
        <v>المنطقة الغربية</v>
      </c>
      <c r="J1054" s="30" t="s">
        <v>113</v>
      </c>
      <c r="K1054" s="30" t="s">
        <v>121</v>
      </c>
      <c r="L1054" s="31" t="n">
        <v>409</v>
      </c>
      <c r="M1054" s="19" t="n">
        <v>1</v>
      </c>
      <c r="N1054" s="32" t="n">
        <v>0.1</v>
      </c>
      <c r="O1054" s="30" t="s">
        <v>48</v>
      </c>
      <c r="P1054" s="30" t="s">
        <v>47</v>
      </c>
      <c r="Q1054" s="30" t="s">
        <v>96</v>
      </c>
      <c r="R1054" s="25" t="n">
        <f aca="false">L1054*M1054*(1-N1054)</f>
        <v>368.1</v>
      </c>
    </row>
    <row r="1055" customFormat="false" ht="15" hidden="false" customHeight="false" outlineLevel="0" collapsed="false">
      <c r="A1055" s="30" t="s">
        <v>1226</v>
      </c>
      <c r="B1055" s="44" t="n">
        <v>45637</v>
      </c>
      <c r="C1055" s="19" t="n">
        <f aca="false">YEAR(B1055)</f>
        <v>2024</v>
      </c>
      <c r="D1055" s="19" t="n">
        <f aca="false">MONTH(B1055)</f>
        <v>12</v>
      </c>
      <c r="E1055" s="30" t="str">
        <f aca="false">INDEX(Lists!$K$2:$K$13,MATCH(D1055,Lists!$J$2:$J$13,0))</f>
        <v>ديسمبر</v>
      </c>
      <c r="F1055" s="19" t="str">
        <f aca="false">"Q"&amp;ROUNDUP(D1055/3,0)</f>
        <v>Q4</v>
      </c>
      <c r="G1055" s="30" t="str">
        <f aca="false">INDEX(Lists!$N$2:$N$8,MATCH(WEEKDAY(B1055,2),Lists!$M$2:$M$8,0))</f>
        <v>الأربعاء</v>
      </c>
      <c r="H1055" s="30" t="s">
        <v>57</v>
      </c>
      <c r="I1055" s="19" t="str">
        <f aca="false">INDEX(Lists!$B$2:$B$6,MATCH(H1055,Lists!$A$2:$A$6,0))</f>
        <v>المنطقة الغربية</v>
      </c>
      <c r="J1055" s="30" t="s">
        <v>105</v>
      </c>
      <c r="K1055" s="30" t="s">
        <v>82</v>
      </c>
      <c r="L1055" s="31" t="n">
        <v>3679</v>
      </c>
      <c r="M1055" s="19" t="n">
        <v>1</v>
      </c>
      <c r="N1055" s="32" t="n">
        <v>0</v>
      </c>
      <c r="O1055" s="30" t="s">
        <v>52</v>
      </c>
      <c r="P1055" s="30" t="s">
        <v>47</v>
      </c>
      <c r="Q1055" s="30" t="s">
        <v>86</v>
      </c>
      <c r="R1055" s="25" t="n">
        <f aca="false">L1055*M1055*(1-N1055)</f>
        <v>3679</v>
      </c>
    </row>
    <row r="1056" customFormat="false" ht="15" hidden="false" customHeight="false" outlineLevel="0" collapsed="false">
      <c r="A1056" s="30" t="s">
        <v>1227</v>
      </c>
      <c r="B1056" s="44" t="n">
        <v>45637</v>
      </c>
      <c r="C1056" s="19" t="n">
        <f aca="false">YEAR(B1056)</f>
        <v>2024</v>
      </c>
      <c r="D1056" s="19" t="n">
        <f aca="false">MONTH(B1056)</f>
        <v>12</v>
      </c>
      <c r="E1056" s="30" t="str">
        <f aca="false">INDEX(Lists!$K$2:$K$13,MATCH(D1056,Lists!$J$2:$J$13,0))</f>
        <v>ديسمبر</v>
      </c>
      <c r="F1056" s="19" t="str">
        <f aca="false">"Q"&amp;ROUNDUP(D1056/3,0)</f>
        <v>Q4</v>
      </c>
      <c r="G1056" s="30" t="str">
        <f aca="false">INDEX(Lists!$N$2:$N$8,MATCH(WEEKDAY(B1056,2),Lists!$M$2:$M$8,0))</f>
        <v>الأربعاء</v>
      </c>
      <c r="H1056" s="30" t="s">
        <v>50</v>
      </c>
      <c r="I1056" s="19" t="str">
        <f aca="false">INDEX(Lists!$B$2:$B$6,MATCH(H1056,Lists!$A$2:$A$6,0))</f>
        <v>المنطقة الغربية</v>
      </c>
      <c r="J1056" s="30" t="s">
        <v>105</v>
      </c>
      <c r="K1056" s="30" t="s">
        <v>90</v>
      </c>
      <c r="L1056" s="31" t="n">
        <v>2949</v>
      </c>
      <c r="M1056" s="19" t="n">
        <v>1</v>
      </c>
      <c r="N1056" s="32" t="n">
        <v>0.15</v>
      </c>
      <c r="O1056" s="30" t="s">
        <v>52</v>
      </c>
      <c r="P1056" s="30" t="s">
        <v>47</v>
      </c>
      <c r="Q1056" s="30" t="s">
        <v>76</v>
      </c>
      <c r="R1056" s="25" t="n">
        <f aca="false">L1056*M1056*(1-N1056)</f>
        <v>2506.65</v>
      </c>
    </row>
    <row r="1057" customFormat="false" ht="15" hidden="false" customHeight="false" outlineLevel="0" collapsed="false">
      <c r="A1057" s="30" t="s">
        <v>1228</v>
      </c>
      <c r="B1057" s="44" t="n">
        <v>45638</v>
      </c>
      <c r="C1057" s="19" t="n">
        <f aca="false">YEAR(B1057)</f>
        <v>2024</v>
      </c>
      <c r="D1057" s="19" t="n">
        <f aca="false">MONTH(B1057)</f>
        <v>12</v>
      </c>
      <c r="E1057" s="30" t="str">
        <f aca="false">INDEX(Lists!$K$2:$K$13,MATCH(D1057,Lists!$J$2:$J$13,0))</f>
        <v>ديسمبر</v>
      </c>
      <c r="F1057" s="19" t="str">
        <f aca="false">"Q"&amp;ROUNDUP(D1057/3,0)</f>
        <v>Q4</v>
      </c>
      <c r="G1057" s="30" t="str">
        <f aca="false">INDEX(Lists!$N$2:$N$8,MATCH(WEEKDAY(B1057,2),Lists!$M$2:$M$8,0))</f>
        <v>الخميس</v>
      </c>
      <c r="H1057" s="30" t="s">
        <v>60</v>
      </c>
      <c r="I1057" s="19" t="str">
        <f aca="false">INDEX(Lists!$B$2:$B$6,MATCH(H1057,Lists!$A$2:$A$6,0))</f>
        <v>المنطقة الغربية</v>
      </c>
      <c r="J1057" s="30" t="s">
        <v>105</v>
      </c>
      <c r="K1057" s="30" t="s">
        <v>82</v>
      </c>
      <c r="L1057" s="31" t="n">
        <v>939</v>
      </c>
      <c r="M1057" s="19" t="n">
        <v>2</v>
      </c>
      <c r="N1057" s="32" t="n">
        <v>0.2</v>
      </c>
      <c r="O1057" s="30" t="s">
        <v>55</v>
      </c>
      <c r="P1057" s="30" t="s">
        <v>47</v>
      </c>
      <c r="Q1057" s="30" t="s">
        <v>96</v>
      </c>
      <c r="R1057" s="25" t="n">
        <f aca="false">L1057*M1057*(1-N1057)</f>
        <v>1502.4</v>
      </c>
    </row>
    <row r="1058" customFormat="false" ht="15" hidden="false" customHeight="false" outlineLevel="0" collapsed="false">
      <c r="A1058" s="30" t="s">
        <v>1229</v>
      </c>
      <c r="B1058" s="44" t="n">
        <v>45638</v>
      </c>
      <c r="C1058" s="19" t="n">
        <f aca="false">YEAR(B1058)</f>
        <v>2024</v>
      </c>
      <c r="D1058" s="19" t="n">
        <f aca="false">MONTH(B1058)</f>
        <v>12</v>
      </c>
      <c r="E1058" s="30" t="str">
        <f aca="false">INDEX(Lists!$K$2:$K$13,MATCH(D1058,Lists!$J$2:$J$13,0))</f>
        <v>ديسمبر</v>
      </c>
      <c r="F1058" s="19" t="str">
        <f aca="false">"Q"&amp;ROUNDUP(D1058/3,0)</f>
        <v>Q4</v>
      </c>
      <c r="G1058" s="30" t="str">
        <f aca="false">INDEX(Lists!$N$2:$N$8,MATCH(WEEKDAY(B1058,2),Lists!$M$2:$M$8,0))</f>
        <v>الخميس</v>
      </c>
      <c r="H1058" s="30" t="s">
        <v>46</v>
      </c>
      <c r="I1058" s="19" t="str">
        <f aca="false">INDEX(Lists!$B$2:$B$6,MATCH(H1058,Lists!$A$2:$A$6,0))</f>
        <v>المنطقة الوسطى</v>
      </c>
      <c r="J1058" s="30" t="s">
        <v>105</v>
      </c>
      <c r="K1058" s="30" t="s">
        <v>82</v>
      </c>
      <c r="L1058" s="31" t="n">
        <v>3539</v>
      </c>
      <c r="M1058" s="19" t="n">
        <v>2</v>
      </c>
      <c r="N1058" s="32" t="n">
        <v>0</v>
      </c>
      <c r="O1058" s="30" t="s">
        <v>55</v>
      </c>
      <c r="P1058" s="30" t="s">
        <v>47</v>
      </c>
      <c r="Q1058" s="30" t="s">
        <v>84</v>
      </c>
      <c r="R1058" s="25" t="n">
        <f aca="false">L1058*M1058*(1-N1058)</f>
        <v>7078</v>
      </c>
    </row>
    <row r="1059" customFormat="false" ht="15" hidden="false" customHeight="false" outlineLevel="0" collapsed="false">
      <c r="A1059" s="30" t="s">
        <v>1230</v>
      </c>
      <c r="B1059" s="44" t="n">
        <v>45638</v>
      </c>
      <c r="C1059" s="19" t="n">
        <f aca="false">YEAR(B1059)</f>
        <v>2024</v>
      </c>
      <c r="D1059" s="19" t="n">
        <f aca="false">MONTH(B1059)</f>
        <v>12</v>
      </c>
      <c r="E1059" s="30" t="str">
        <f aca="false">INDEX(Lists!$K$2:$K$13,MATCH(D1059,Lists!$J$2:$J$13,0))</f>
        <v>ديسمبر</v>
      </c>
      <c r="F1059" s="19" t="str">
        <f aca="false">"Q"&amp;ROUNDUP(D1059/3,0)</f>
        <v>Q4</v>
      </c>
      <c r="G1059" s="30" t="str">
        <f aca="false">INDEX(Lists!$N$2:$N$8,MATCH(WEEKDAY(B1059,2),Lists!$M$2:$M$8,0))</f>
        <v>الخميس</v>
      </c>
      <c r="H1059" s="30" t="s">
        <v>60</v>
      </c>
      <c r="I1059" s="19" t="str">
        <f aca="false">INDEX(Lists!$B$2:$B$6,MATCH(H1059,Lists!$A$2:$A$6,0))</f>
        <v>المنطقة الغربية</v>
      </c>
      <c r="J1059" s="30" t="s">
        <v>113</v>
      </c>
      <c r="K1059" s="30" t="s">
        <v>95</v>
      </c>
      <c r="L1059" s="31" t="n">
        <v>259</v>
      </c>
      <c r="M1059" s="19" t="n">
        <v>1</v>
      </c>
      <c r="N1059" s="32" t="n">
        <v>0.15</v>
      </c>
      <c r="O1059" s="30" t="s">
        <v>58</v>
      </c>
      <c r="P1059" s="30" t="s">
        <v>47</v>
      </c>
      <c r="Q1059" s="30" t="s">
        <v>76</v>
      </c>
      <c r="R1059" s="25" t="n">
        <f aca="false">L1059*M1059*(1-N1059)</f>
        <v>220.15</v>
      </c>
    </row>
    <row r="1060" customFormat="false" ht="15" hidden="false" customHeight="false" outlineLevel="0" collapsed="false">
      <c r="A1060" s="30" t="s">
        <v>1231</v>
      </c>
      <c r="B1060" s="44" t="n">
        <v>45638</v>
      </c>
      <c r="C1060" s="19" t="n">
        <f aca="false">YEAR(B1060)</f>
        <v>2024</v>
      </c>
      <c r="D1060" s="19" t="n">
        <f aca="false">MONTH(B1060)</f>
        <v>12</v>
      </c>
      <c r="E1060" s="30" t="str">
        <f aca="false">INDEX(Lists!$K$2:$K$13,MATCH(D1060,Lists!$J$2:$J$13,0))</f>
        <v>ديسمبر</v>
      </c>
      <c r="F1060" s="19" t="str">
        <f aca="false">"Q"&amp;ROUNDUP(D1060/3,0)</f>
        <v>Q4</v>
      </c>
      <c r="G1060" s="30" t="str">
        <f aca="false">INDEX(Lists!$N$2:$N$8,MATCH(WEEKDAY(B1060,2),Lists!$M$2:$M$8,0))</f>
        <v>الخميس</v>
      </c>
      <c r="H1060" s="30" t="s">
        <v>50</v>
      </c>
      <c r="I1060" s="19" t="str">
        <f aca="false">INDEX(Lists!$B$2:$B$6,MATCH(H1060,Lists!$A$2:$A$6,0))</f>
        <v>المنطقة الغربية</v>
      </c>
      <c r="J1060" s="30" t="s">
        <v>111</v>
      </c>
      <c r="K1060" s="30" t="s">
        <v>120</v>
      </c>
      <c r="L1060" s="31" t="n">
        <v>129</v>
      </c>
      <c r="M1060" s="19" t="n">
        <v>1</v>
      </c>
      <c r="N1060" s="32" t="n">
        <v>0</v>
      </c>
      <c r="O1060" s="30" t="s">
        <v>48</v>
      </c>
      <c r="P1060" s="30" t="s">
        <v>47</v>
      </c>
      <c r="Q1060" s="30" t="s">
        <v>78</v>
      </c>
      <c r="R1060" s="25" t="n">
        <f aca="false">L1060*M1060*(1-N1060)</f>
        <v>129</v>
      </c>
    </row>
    <row r="1061" customFormat="false" ht="15" hidden="false" customHeight="false" outlineLevel="0" collapsed="false">
      <c r="A1061" s="30" t="s">
        <v>1232</v>
      </c>
      <c r="B1061" s="44" t="n">
        <v>45639</v>
      </c>
      <c r="C1061" s="19" t="n">
        <f aca="false">YEAR(B1061)</f>
        <v>2024</v>
      </c>
      <c r="D1061" s="19" t="n">
        <f aca="false">MONTH(B1061)</f>
        <v>12</v>
      </c>
      <c r="E1061" s="30" t="str">
        <f aca="false">INDEX(Lists!$K$2:$K$13,MATCH(D1061,Lists!$J$2:$J$13,0))</f>
        <v>ديسمبر</v>
      </c>
      <c r="F1061" s="19" t="str">
        <f aca="false">"Q"&amp;ROUNDUP(D1061/3,0)</f>
        <v>Q4</v>
      </c>
      <c r="G1061" s="30" t="str">
        <f aca="false">INDEX(Lists!$N$2:$N$8,MATCH(WEEKDAY(B1061,2),Lists!$M$2:$M$8,0))</f>
        <v>الجمعة</v>
      </c>
      <c r="H1061" s="30" t="s">
        <v>54</v>
      </c>
      <c r="I1061" s="19" t="str">
        <f aca="false">INDEX(Lists!$B$2:$B$6,MATCH(H1061,Lists!$A$2:$A$6,0))</f>
        <v>المنطقة الشرقية</v>
      </c>
      <c r="J1061" s="30" t="s">
        <v>105</v>
      </c>
      <c r="K1061" s="30" t="s">
        <v>79</v>
      </c>
      <c r="L1061" s="31" t="n">
        <v>2499</v>
      </c>
      <c r="M1061" s="19" t="n">
        <v>1</v>
      </c>
      <c r="N1061" s="32" t="n">
        <v>0.2</v>
      </c>
      <c r="O1061" s="30" t="s">
        <v>58</v>
      </c>
      <c r="P1061" s="30" t="s">
        <v>51</v>
      </c>
      <c r="Q1061" s="30" t="s">
        <v>86</v>
      </c>
      <c r="R1061" s="25" t="n">
        <f aca="false">L1061*M1061*(1-N1061)</f>
        <v>1999.2</v>
      </c>
    </row>
    <row r="1062" customFormat="false" ht="15" hidden="false" customHeight="false" outlineLevel="0" collapsed="false">
      <c r="A1062" s="30" t="s">
        <v>1233</v>
      </c>
      <c r="B1062" s="44" t="n">
        <v>45639</v>
      </c>
      <c r="C1062" s="19" t="n">
        <f aca="false">YEAR(B1062)</f>
        <v>2024</v>
      </c>
      <c r="D1062" s="19" t="n">
        <f aca="false">MONTH(B1062)</f>
        <v>12</v>
      </c>
      <c r="E1062" s="30" t="str">
        <f aca="false">INDEX(Lists!$K$2:$K$13,MATCH(D1062,Lists!$J$2:$J$13,0))</f>
        <v>ديسمبر</v>
      </c>
      <c r="F1062" s="19" t="str">
        <f aca="false">"Q"&amp;ROUNDUP(D1062/3,0)</f>
        <v>Q4</v>
      </c>
      <c r="G1062" s="30" t="str">
        <f aca="false">INDEX(Lists!$N$2:$N$8,MATCH(WEEKDAY(B1062,2),Lists!$M$2:$M$8,0))</f>
        <v>الجمعة</v>
      </c>
      <c r="H1062" s="30" t="s">
        <v>46</v>
      </c>
      <c r="I1062" s="19" t="str">
        <f aca="false">INDEX(Lists!$B$2:$B$6,MATCH(H1062,Lists!$A$2:$A$6,0))</f>
        <v>المنطقة الوسطى</v>
      </c>
      <c r="J1062" s="30" t="s">
        <v>113</v>
      </c>
      <c r="K1062" s="30" t="s">
        <v>97</v>
      </c>
      <c r="L1062" s="31" t="n">
        <v>869</v>
      </c>
      <c r="M1062" s="19" t="n">
        <v>2</v>
      </c>
      <c r="N1062" s="32" t="n">
        <v>0</v>
      </c>
      <c r="O1062" s="30" t="s">
        <v>48</v>
      </c>
      <c r="P1062" s="30" t="s">
        <v>47</v>
      </c>
      <c r="Q1062" s="30" t="s">
        <v>78</v>
      </c>
      <c r="R1062" s="25" t="n">
        <f aca="false">L1062*M1062*(1-N1062)</f>
        <v>1738</v>
      </c>
    </row>
    <row r="1063" customFormat="false" ht="15" hidden="false" customHeight="false" outlineLevel="0" collapsed="false">
      <c r="A1063" s="30" t="s">
        <v>1234</v>
      </c>
      <c r="B1063" s="44" t="n">
        <v>45639</v>
      </c>
      <c r="C1063" s="19" t="n">
        <f aca="false">YEAR(B1063)</f>
        <v>2024</v>
      </c>
      <c r="D1063" s="19" t="n">
        <f aca="false">MONTH(B1063)</f>
        <v>12</v>
      </c>
      <c r="E1063" s="30" t="str">
        <f aca="false">INDEX(Lists!$K$2:$K$13,MATCH(D1063,Lists!$J$2:$J$13,0))</f>
        <v>ديسمبر</v>
      </c>
      <c r="F1063" s="19" t="str">
        <f aca="false">"Q"&amp;ROUNDUP(D1063/3,0)</f>
        <v>Q4</v>
      </c>
      <c r="G1063" s="30" t="str">
        <f aca="false">INDEX(Lists!$N$2:$N$8,MATCH(WEEKDAY(B1063,2),Lists!$M$2:$M$8,0))</f>
        <v>الجمعة</v>
      </c>
      <c r="H1063" s="30" t="s">
        <v>46</v>
      </c>
      <c r="I1063" s="19" t="str">
        <f aca="false">INDEX(Lists!$B$2:$B$6,MATCH(H1063,Lists!$A$2:$A$6,0))</f>
        <v>المنطقة الوسطى</v>
      </c>
      <c r="J1063" s="30" t="s">
        <v>107</v>
      </c>
      <c r="K1063" s="30" t="s">
        <v>184</v>
      </c>
      <c r="L1063" s="31" t="n">
        <v>2319</v>
      </c>
      <c r="M1063" s="19" t="n">
        <v>1</v>
      </c>
      <c r="N1063" s="32" t="n">
        <v>0</v>
      </c>
      <c r="O1063" s="30" t="s">
        <v>52</v>
      </c>
      <c r="P1063" s="30" t="s">
        <v>47</v>
      </c>
      <c r="Q1063" s="30" t="s">
        <v>76</v>
      </c>
      <c r="R1063" s="25" t="n">
        <f aca="false">L1063*M1063*(1-N1063)</f>
        <v>2319</v>
      </c>
    </row>
    <row r="1064" customFormat="false" ht="15" hidden="false" customHeight="false" outlineLevel="0" collapsed="false">
      <c r="A1064" s="30" t="s">
        <v>1235</v>
      </c>
      <c r="B1064" s="44" t="n">
        <v>45639</v>
      </c>
      <c r="C1064" s="19" t="n">
        <f aca="false">YEAR(B1064)</f>
        <v>2024</v>
      </c>
      <c r="D1064" s="19" t="n">
        <f aca="false">MONTH(B1064)</f>
        <v>12</v>
      </c>
      <c r="E1064" s="30" t="str">
        <f aca="false">INDEX(Lists!$K$2:$K$13,MATCH(D1064,Lists!$J$2:$J$13,0))</f>
        <v>ديسمبر</v>
      </c>
      <c r="F1064" s="19" t="str">
        <f aca="false">"Q"&amp;ROUNDUP(D1064/3,0)</f>
        <v>Q4</v>
      </c>
      <c r="G1064" s="30" t="str">
        <f aca="false">INDEX(Lists!$N$2:$N$8,MATCH(WEEKDAY(B1064,2),Lists!$M$2:$M$8,0))</f>
        <v>الجمعة</v>
      </c>
      <c r="H1064" s="30" t="s">
        <v>57</v>
      </c>
      <c r="I1064" s="19" t="str">
        <f aca="false">INDEX(Lists!$B$2:$B$6,MATCH(H1064,Lists!$A$2:$A$6,0))</f>
        <v>المنطقة الغربية</v>
      </c>
      <c r="J1064" s="30" t="s">
        <v>113</v>
      </c>
      <c r="K1064" s="30" t="s">
        <v>97</v>
      </c>
      <c r="L1064" s="31" t="n">
        <v>519</v>
      </c>
      <c r="M1064" s="19" t="n">
        <v>2</v>
      </c>
      <c r="N1064" s="32" t="n">
        <v>0</v>
      </c>
      <c r="O1064" s="30" t="s">
        <v>48</v>
      </c>
      <c r="P1064" s="30" t="s">
        <v>51</v>
      </c>
      <c r="Q1064" s="30" t="s">
        <v>99</v>
      </c>
      <c r="R1064" s="25" t="n">
        <f aca="false">L1064*M1064*(1-N1064)</f>
        <v>1038</v>
      </c>
    </row>
    <row r="1065" customFormat="false" ht="15" hidden="false" customHeight="false" outlineLevel="0" collapsed="false">
      <c r="A1065" s="30" t="s">
        <v>1236</v>
      </c>
      <c r="B1065" s="44" t="n">
        <v>45641</v>
      </c>
      <c r="C1065" s="19" t="n">
        <f aca="false">YEAR(B1065)</f>
        <v>2024</v>
      </c>
      <c r="D1065" s="19" t="n">
        <f aca="false">MONTH(B1065)</f>
        <v>12</v>
      </c>
      <c r="E1065" s="30" t="str">
        <f aca="false">INDEX(Lists!$K$2:$K$13,MATCH(D1065,Lists!$J$2:$J$13,0))</f>
        <v>ديسمبر</v>
      </c>
      <c r="F1065" s="19" t="str">
        <f aca="false">"Q"&amp;ROUNDUP(D1065/3,0)</f>
        <v>Q4</v>
      </c>
      <c r="G1065" s="30" t="str">
        <f aca="false">INDEX(Lists!$N$2:$N$8,MATCH(WEEKDAY(B1065,2),Lists!$M$2:$M$8,0))</f>
        <v>الأحد</v>
      </c>
      <c r="H1065" s="30" t="s">
        <v>57</v>
      </c>
      <c r="I1065" s="19" t="str">
        <f aca="false">INDEX(Lists!$B$2:$B$6,MATCH(H1065,Lists!$A$2:$A$6,0))</f>
        <v>المنطقة الغربية</v>
      </c>
      <c r="J1065" s="30" t="s">
        <v>105</v>
      </c>
      <c r="K1065" s="30" t="s">
        <v>90</v>
      </c>
      <c r="L1065" s="31" t="n">
        <v>2979</v>
      </c>
      <c r="M1065" s="19" t="n">
        <v>3</v>
      </c>
      <c r="N1065" s="32" t="n">
        <v>0.15</v>
      </c>
      <c r="O1065" s="30" t="s">
        <v>52</v>
      </c>
      <c r="P1065" s="30" t="s">
        <v>47</v>
      </c>
      <c r="Q1065" s="30" t="s">
        <v>92</v>
      </c>
      <c r="R1065" s="25" t="n">
        <f aca="false">L1065*M1065*(1-N1065)</f>
        <v>7596.45</v>
      </c>
    </row>
    <row r="1066" customFormat="false" ht="15" hidden="false" customHeight="false" outlineLevel="0" collapsed="false">
      <c r="A1066" s="30" t="s">
        <v>1237</v>
      </c>
      <c r="B1066" s="44" t="n">
        <v>45641</v>
      </c>
      <c r="C1066" s="19" t="n">
        <f aca="false">YEAR(B1066)</f>
        <v>2024</v>
      </c>
      <c r="D1066" s="19" t="n">
        <f aca="false">MONTH(B1066)</f>
        <v>12</v>
      </c>
      <c r="E1066" s="30" t="str">
        <f aca="false">INDEX(Lists!$K$2:$K$13,MATCH(D1066,Lists!$J$2:$J$13,0))</f>
        <v>ديسمبر</v>
      </c>
      <c r="F1066" s="19" t="str">
        <f aca="false">"Q"&amp;ROUNDUP(D1066/3,0)</f>
        <v>Q4</v>
      </c>
      <c r="G1066" s="30" t="str">
        <f aca="false">INDEX(Lists!$N$2:$N$8,MATCH(WEEKDAY(B1066,2),Lists!$M$2:$M$8,0))</f>
        <v>الأحد</v>
      </c>
      <c r="H1066" s="30" t="s">
        <v>60</v>
      </c>
      <c r="I1066" s="19" t="str">
        <f aca="false">INDEX(Lists!$B$2:$B$6,MATCH(H1066,Lists!$A$2:$A$6,0))</f>
        <v>المنطقة الغربية</v>
      </c>
      <c r="J1066" s="30" t="s">
        <v>107</v>
      </c>
      <c r="K1066" s="30" t="s">
        <v>114</v>
      </c>
      <c r="L1066" s="31" t="n">
        <v>6249</v>
      </c>
      <c r="M1066" s="19" t="n">
        <v>1</v>
      </c>
      <c r="N1066" s="32" t="n">
        <v>0</v>
      </c>
      <c r="O1066" s="30" t="s">
        <v>52</v>
      </c>
      <c r="P1066" s="30" t="s">
        <v>47</v>
      </c>
      <c r="Q1066" s="30" t="s">
        <v>84</v>
      </c>
      <c r="R1066" s="25" t="n">
        <f aca="false">L1066*M1066*(1-N1066)</f>
        <v>6249</v>
      </c>
    </row>
    <row r="1067" customFormat="false" ht="15" hidden="false" customHeight="false" outlineLevel="0" collapsed="false">
      <c r="A1067" s="30" t="s">
        <v>1238</v>
      </c>
      <c r="B1067" s="44" t="n">
        <v>45642</v>
      </c>
      <c r="C1067" s="19" t="n">
        <f aca="false">YEAR(B1067)</f>
        <v>2024</v>
      </c>
      <c r="D1067" s="19" t="n">
        <f aca="false">MONTH(B1067)</f>
        <v>12</v>
      </c>
      <c r="E1067" s="30" t="str">
        <f aca="false">INDEX(Lists!$K$2:$K$13,MATCH(D1067,Lists!$J$2:$J$13,0))</f>
        <v>ديسمبر</v>
      </c>
      <c r="F1067" s="19" t="str">
        <f aca="false">"Q"&amp;ROUNDUP(D1067/3,0)</f>
        <v>Q4</v>
      </c>
      <c r="G1067" s="30" t="str">
        <f aca="false">INDEX(Lists!$N$2:$N$8,MATCH(WEEKDAY(B1067,2),Lists!$M$2:$M$8,0))</f>
        <v>الإثنين</v>
      </c>
      <c r="H1067" s="30" t="s">
        <v>46</v>
      </c>
      <c r="I1067" s="19" t="str">
        <f aca="false">INDEX(Lists!$B$2:$B$6,MATCH(H1067,Lists!$A$2:$A$6,0))</f>
        <v>المنطقة الوسطى</v>
      </c>
      <c r="J1067" s="30" t="s">
        <v>111</v>
      </c>
      <c r="K1067" s="30" t="s">
        <v>118</v>
      </c>
      <c r="L1067" s="31" t="n">
        <v>119</v>
      </c>
      <c r="M1067" s="19" t="n">
        <v>1</v>
      </c>
      <c r="N1067" s="32" t="n">
        <v>0.15</v>
      </c>
      <c r="O1067" s="30" t="s">
        <v>55</v>
      </c>
      <c r="P1067" s="30" t="s">
        <v>47</v>
      </c>
      <c r="Q1067" s="30" t="s">
        <v>96</v>
      </c>
      <c r="R1067" s="25" t="n">
        <f aca="false">L1067*M1067*(1-N1067)</f>
        <v>101.15</v>
      </c>
    </row>
    <row r="1068" customFormat="false" ht="15" hidden="false" customHeight="false" outlineLevel="0" collapsed="false">
      <c r="A1068" s="30" t="s">
        <v>1239</v>
      </c>
      <c r="B1068" s="44" t="n">
        <v>45642</v>
      </c>
      <c r="C1068" s="19" t="n">
        <f aca="false">YEAR(B1068)</f>
        <v>2024</v>
      </c>
      <c r="D1068" s="19" t="n">
        <f aca="false">MONTH(B1068)</f>
        <v>12</v>
      </c>
      <c r="E1068" s="30" t="str">
        <f aca="false">INDEX(Lists!$K$2:$K$13,MATCH(D1068,Lists!$J$2:$J$13,0))</f>
        <v>ديسمبر</v>
      </c>
      <c r="F1068" s="19" t="str">
        <f aca="false">"Q"&amp;ROUNDUP(D1068/3,0)</f>
        <v>Q4</v>
      </c>
      <c r="G1068" s="30" t="str">
        <f aca="false">INDEX(Lists!$N$2:$N$8,MATCH(WEEKDAY(B1068,2),Lists!$M$2:$M$8,0))</f>
        <v>الإثنين</v>
      </c>
      <c r="H1068" s="30" t="s">
        <v>54</v>
      </c>
      <c r="I1068" s="19" t="str">
        <f aca="false">INDEX(Lists!$B$2:$B$6,MATCH(H1068,Lists!$A$2:$A$6,0))</f>
        <v>المنطقة الشرقية</v>
      </c>
      <c r="J1068" s="30" t="s">
        <v>107</v>
      </c>
      <c r="K1068" s="30" t="s">
        <v>184</v>
      </c>
      <c r="L1068" s="31" t="n">
        <v>5109</v>
      </c>
      <c r="M1068" s="19" t="n">
        <v>2</v>
      </c>
      <c r="N1068" s="32" t="n">
        <v>0</v>
      </c>
      <c r="O1068" s="30" t="s">
        <v>48</v>
      </c>
      <c r="P1068" s="30" t="s">
        <v>47</v>
      </c>
      <c r="Q1068" s="30" t="s">
        <v>76</v>
      </c>
      <c r="R1068" s="25" t="n">
        <f aca="false">L1068*M1068*(1-N1068)</f>
        <v>10218</v>
      </c>
    </row>
    <row r="1069" customFormat="false" ht="15" hidden="false" customHeight="false" outlineLevel="0" collapsed="false">
      <c r="A1069" s="30" t="s">
        <v>1240</v>
      </c>
      <c r="B1069" s="44" t="n">
        <v>45643</v>
      </c>
      <c r="C1069" s="19" t="n">
        <f aca="false">YEAR(B1069)</f>
        <v>2024</v>
      </c>
      <c r="D1069" s="19" t="n">
        <f aca="false">MONTH(B1069)</f>
        <v>12</v>
      </c>
      <c r="E1069" s="30" t="str">
        <f aca="false">INDEX(Lists!$K$2:$K$13,MATCH(D1069,Lists!$J$2:$J$13,0))</f>
        <v>ديسمبر</v>
      </c>
      <c r="F1069" s="19" t="str">
        <f aca="false">"Q"&amp;ROUNDUP(D1069/3,0)</f>
        <v>Q4</v>
      </c>
      <c r="G1069" s="30" t="str">
        <f aca="false">INDEX(Lists!$N$2:$N$8,MATCH(WEEKDAY(B1069,2),Lists!$M$2:$M$8,0))</f>
        <v>الثلاثاء</v>
      </c>
      <c r="H1069" s="30" t="s">
        <v>54</v>
      </c>
      <c r="I1069" s="19" t="str">
        <f aca="false">INDEX(Lists!$B$2:$B$6,MATCH(H1069,Lists!$A$2:$A$6,0))</f>
        <v>المنطقة الشرقية</v>
      </c>
      <c r="J1069" s="30" t="s">
        <v>113</v>
      </c>
      <c r="K1069" s="30" t="s">
        <v>95</v>
      </c>
      <c r="L1069" s="31" t="n">
        <v>499</v>
      </c>
      <c r="M1069" s="19" t="n">
        <v>1</v>
      </c>
      <c r="N1069" s="32" t="n">
        <v>0.1</v>
      </c>
      <c r="O1069" s="30" t="s">
        <v>48</v>
      </c>
      <c r="P1069" s="30" t="s">
        <v>47</v>
      </c>
      <c r="Q1069" s="30" t="s">
        <v>94</v>
      </c>
      <c r="R1069" s="25" t="n">
        <f aca="false">L1069*M1069*(1-N1069)</f>
        <v>449.1</v>
      </c>
    </row>
    <row r="1070" customFormat="false" ht="15" hidden="false" customHeight="false" outlineLevel="0" collapsed="false">
      <c r="A1070" s="30" t="s">
        <v>1241</v>
      </c>
      <c r="B1070" s="44" t="n">
        <v>45643</v>
      </c>
      <c r="C1070" s="19" t="n">
        <f aca="false">YEAR(B1070)</f>
        <v>2024</v>
      </c>
      <c r="D1070" s="19" t="n">
        <f aca="false">MONTH(B1070)</f>
        <v>12</v>
      </c>
      <c r="E1070" s="30" t="str">
        <f aca="false">INDEX(Lists!$K$2:$K$13,MATCH(D1070,Lists!$J$2:$J$13,0))</f>
        <v>ديسمبر</v>
      </c>
      <c r="F1070" s="19" t="str">
        <f aca="false">"Q"&amp;ROUNDUP(D1070/3,0)</f>
        <v>Q4</v>
      </c>
      <c r="G1070" s="30" t="str">
        <f aca="false">INDEX(Lists!$N$2:$N$8,MATCH(WEEKDAY(B1070,2),Lists!$M$2:$M$8,0))</f>
        <v>الثلاثاء</v>
      </c>
      <c r="H1070" s="30" t="s">
        <v>54</v>
      </c>
      <c r="I1070" s="19" t="str">
        <f aca="false">INDEX(Lists!$B$2:$B$6,MATCH(H1070,Lists!$A$2:$A$6,0))</f>
        <v>المنطقة الشرقية</v>
      </c>
      <c r="J1070" s="30" t="s">
        <v>105</v>
      </c>
      <c r="K1070" s="30" t="s">
        <v>79</v>
      </c>
      <c r="L1070" s="31" t="n">
        <v>3279</v>
      </c>
      <c r="M1070" s="19" t="n">
        <v>1</v>
      </c>
      <c r="N1070" s="32" t="n">
        <v>0</v>
      </c>
      <c r="O1070" s="30" t="s">
        <v>52</v>
      </c>
      <c r="P1070" s="30" t="s">
        <v>47</v>
      </c>
      <c r="Q1070" s="30" t="s">
        <v>78</v>
      </c>
      <c r="R1070" s="25" t="n">
        <f aca="false">L1070*M1070*(1-N1070)</f>
        <v>3279</v>
      </c>
    </row>
    <row r="1071" customFormat="false" ht="15" hidden="false" customHeight="false" outlineLevel="0" collapsed="false">
      <c r="A1071" s="30" t="s">
        <v>1242</v>
      </c>
      <c r="B1071" s="44" t="n">
        <v>45643</v>
      </c>
      <c r="C1071" s="19" t="n">
        <f aca="false">YEAR(B1071)</f>
        <v>2024</v>
      </c>
      <c r="D1071" s="19" t="n">
        <f aca="false">MONTH(B1071)</f>
        <v>12</v>
      </c>
      <c r="E1071" s="30" t="str">
        <f aca="false">INDEX(Lists!$K$2:$K$13,MATCH(D1071,Lists!$J$2:$J$13,0))</f>
        <v>ديسمبر</v>
      </c>
      <c r="F1071" s="19" t="str">
        <f aca="false">"Q"&amp;ROUNDUP(D1071/3,0)</f>
        <v>Q4</v>
      </c>
      <c r="G1071" s="30" t="str">
        <f aca="false">INDEX(Lists!$N$2:$N$8,MATCH(WEEKDAY(B1071,2),Lists!$M$2:$M$8,0))</f>
        <v>الثلاثاء</v>
      </c>
      <c r="H1071" s="30" t="s">
        <v>46</v>
      </c>
      <c r="I1071" s="19" t="str">
        <f aca="false">INDEX(Lists!$B$2:$B$6,MATCH(H1071,Lists!$A$2:$A$6,0))</f>
        <v>المنطقة الوسطى</v>
      </c>
      <c r="J1071" s="30" t="s">
        <v>113</v>
      </c>
      <c r="K1071" s="30" t="s">
        <v>95</v>
      </c>
      <c r="L1071" s="31" t="n">
        <v>679</v>
      </c>
      <c r="M1071" s="19" t="n">
        <v>1</v>
      </c>
      <c r="N1071" s="32" t="n">
        <v>0.1</v>
      </c>
      <c r="O1071" s="30" t="s">
        <v>48</v>
      </c>
      <c r="P1071" s="30" t="s">
        <v>47</v>
      </c>
      <c r="Q1071" s="30" t="s">
        <v>78</v>
      </c>
      <c r="R1071" s="25" t="n">
        <f aca="false">L1071*M1071*(1-N1071)</f>
        <v>611.1</v>
      </c>
    </row>
    <row r="1072" customFormat="false" ht="15" hidden="false" customHeight="false" outlineLevel="0" collapsed="false">
      <c r="A1072" s="30" t="s">
        <v>1243</v>
      </c>
      <c r="B1072" s="44" t="n">
        <v>45643</v>
      </c>
      <c r="C1072" s="19" t="n">
        <f aca="false">YEAR(B1072)</f>
        <v>2024</v>
      </c>
      <c r="D1072" s="19" t="n">
        <f aca="false">MONTH(B1072)</f>
        <v>12</v>
      </c>
      <c r="E1072" s="30" t="str">
        <f aca="false">INDEX(Lists!$K$2:$K$13,MATCH(D1072,Lists!$J$2:$J$13,0))</f>
        <v>ديسمبر</v>
      </c>
      <c r="F1072" s="19" t="str">
        <f aca="false">"Q"&amp;ROUNDUP(D1072/3,0)</f>
        <v>Q4</v>
      </c>
      <c r="G1072" s="30" t="str">
        <f aca="false">INDEX(Lists!$N$2:$N$8,MATCH(WEEKDAY(B1072,2),Lists!$M$2:$M$8,0))</f>
        <v>الثلاثاء</v>
      </c>
      <c r="H1072" s="30" t="s">
        <v>50</v>
      </c>
      <c r="I1072" s="19" t="str">
        <f aca="false">INDEX(Lists!$B$2:$B$6,MATCH(H1072,Lists!$A$2:$A$6,0))</f>
        <v>المنطقة الغربية</v>
      </c>
      <c r="J1072" s="30" t="s">
        <v>109</v>
      </c>
      <c r="K1072" s="30" t="s">
        <v>171</v>
      </c>
      <c r="L1072" s="31" t="n">
        <v>269</v>
      </c>
      <c r="M1072" s="19" t="n">
        <v>8</v>
      </c>
      <c r="N1072" s="32" t="n">
        <v>0</v>
      </c>
      <c r="O1072" s="30" t="s">
        <v>55</v>
      </c>
      <c r="P1072" s="30" t="s">
        <v>51</v>
      </c>
      <c r="Q1072" s="30" t="s">
        <v>86</v>
      </c>
      <c r="R1072" s="25" t="n">
        <f aca="false">L1072*M1072*(1-N1072)</f>
        <v>2152</v>
      </c>
    </row>
    <row r="1073" customFormat="false" ht="15" hidden="false" customHeight="false" outlineLevel="0" collapsed="false">
      <c r="A1073" s="30" t="s">
        <v>1244</v>
      </c>
      <c r="B1073" s="44" t="n">
        <v>45644</v>
      </c>
      <c r="C1073" s="19" t="n">
        <f aca="false">YEAR(B1073)</f>
        <v>2024</v>
      </c>
      <c r="D1073" s="19" t="n">
        <f aca="false">MONTH(B1073)</f>
        <v>12</v>
      </c>
      <c r="E1073" s="30" t="str">
        <f aca="false">INDEX(Lists!$K$2:$K$13,MATCH(D1073,Lists!$J$2:$J$13,0))</f>
        <v>ديسمبر</v>
      </c>
      <c r="F1073" s="19" t="str">
        <f aca="false">"Q"&amp;ROUNDUP(D1073/3,0)</f>
        <v>Q4</v>
      </c>
      <c r="G1073" s="30" t="str">
        <f aca="false">INDEX(Lists!$N$2:$N$8,MATCH(WEEKDAY(B1073,2),Lists!$M$2:$M$8,0))</f>
        <v>الأربعاء</v>
      </c>
      <c r="H1073" s="30" t="s">
        <v>50</v>
      </c>
      <c r="I1073" s="19" t="str">
        <f aca="false">INDEX(Lists!$B$2:$B$6,MATCH(H1073,Lists!$A$2:$A$6,0))</f>
        <v>المنطقة الغربية</v>
      </c>
      <c r="J1073" s="30" t="s">
        <v>107</v>
      </c>
      <c r="K1073" s="30" t="s">
        <v>272</v>
      </c>
      <c r="L1073" s="31" t="n">
        <v>4409</v>
      </c>
      <c r="M1073" s="19" t="n">
        <v>1</v>
      </c>
      <c r="N1073" s="32" t="n">
        <v>0</v>
      </c>
      <c r="O1073" s="30" t="s">
        <v>48</v>
      </c>
      <c r="P1073" s="30" t="s">
        <v>47</v>
      </c>
      <c r="Q1073" s="30" t="s">
        <v>92</v>
      </c>
      <c r="R1073" s="25" t="n">
        <f aca="false">L1073*M1073*(1-N1073)</f>
        <v>4409</v>
      </c>
    </row>
    <row r="1074" customFormat="false" ht="15" hidden="false" customHeight="false" outlineLevel="0" collapsed="false">
      <c r="A1074" s="30" t="s">
        <v>1245</v>
      </c>
      <c r="B1074" s="44" t="n">
        <v>45644</v>
      </c>
      <c r="C1074" s="19" t="n">
        <f aca="false">YEAR(B1074)</f>
        <v>2024</v>
      </c>
      <c r="D1074" s="19" t="n">
        <f aca="false">MONTH(B1074)</f>
        <v>12</v>
      </c>
      <c r="E1074" s="30" t="str">
        <f aca="false">INDEX(Lists!$K$2:$K$13,MATCH(D1074,Lists!$J$2:$J$13,0))</f>
        <v>ديسمبر</v>
      </c>
      <c r="F1074" s="19" t="str">
        <f aca="false">"Q"&amp;ROUNDUP(D1074/3,0)</f>
        <v>Q4</v>
      </c>
      <c r="G1074" s="30" t="str">
        <f aca="false">INDEX(Lists!$N$2:$N$8,MATCH(WEEKDAY(B1074,2),Lists!$M$2:$M$8,0))</f>
        <v>الأربعاء</v>
      </c>
      <c r="H1074" s="30" t="s">
        <v>54</v>
      </c>
      <c r="I1074" s="19" t="str">
        <f aca="false">INDEX(Lists!$B$2:$B$6,MATCH(H1074,Lists!$A$2:$A$6,0))</f>
        <v>المنطقة الشرقية</v>
      </c>
      <c r="J1074" s="30" t="s">
        <v>107</v>
      </c>
      <c r="K1074" s="30" t="s">
        <v>115</v>
      </c>
      <c r="L1074" s="31" t="n">
        <v>3489</v>
      </c>
      <c r="M1074" s="19" t="n">
        <v>2</v>
      </c>
      <c r="N1074" s="32" t="n">
        <v>0.05</v>
      </c>
      <c r="O1074" s="30" t="s">
        <v>48</v>
      </c>
      <c r="P1074" s="30" t="s">
        <v>47</v>
      </c>
      <c r="Q1074" s="30" t="s">
        <v>84</v>
      </c>
      <c r="R1074" s="25" t="n">
        <f aca="false">L1074*M1074*(1-N1074)</f>
        <v>6629.1</v>
      </c>
    </row>
    <row r="1075" customFormat="false" ht="15" hidden="false" customHeight="false" outlineLevel="0" collapsed="false">
      <c r="A1075" s="30" t="s">
        <v>1246</v>
      </c>
      <c r="B1075" s="44" t="n">
        <v>45644</v>
      </c>
      <c r="C1075" s="19" t="n">
        <f aca="false">YEAR(B1075)</f>
        <v>2024</v>
      </c>
      <c r="D1075" s="19" t="n">
        <f aca="false">MONTH(B1075)</f>
        <v>12</v>
      </c>
      <c r="E1075" s="30" t="str">
        <f aca="false">INDEX(Lists!$K$2:$K$13,MATCH(D1075,Lists!$J$2:$J$13,0))</f>
        <v>ديسمبر</v>
      </c>
      <c r="F1075" s="19" t="str">
        <f aca="false">"Q"&amp;ROUNDUP(D1075/3,0)</f>
        <v>Q4</v>
      </c>
      <c r="G1075" s="30" t="str">
        <f aca="false">INDEX(Lists!$N$2:$N$8,MATCH(WEEKDAY(B1075,2),Lists!$M$2:$M$8,0))</f>
        <v>الأربعاء</v>
      </c>
      <c r="H1075" s="30" t="s">
        <v>50</v>
      </c>
      <c r="I1075" s="19" t="str">
        <f aca="false">INDEX(Lists!$B$2:$B$6,MATCH(H1075,Lists!$A$2:$A$6,0))</f>
        <v>المنطقة الغربية</v>
      </c>
      <c r="J1075" s="30" t="s">
        <v>107</v>
      </c>
      <c r="K1075" s="30" t="s">
        <v>115</v>
      </c>
      <c r="L1075" s="31" t="n">
        <v>6919</v>
      </c>
      <c r="M1075" s="19" t="n">
        <v>2</v>
      </c>
      <c r="N1075" s="32" t="n">
        <v>0</v>
      </c>
      <c r="O1075" s="30" t="s">
        <v>48</v>
      </c>
      <c r="P1075" s="30" t="s">
        <v>47</v>
      </c>
      <c r="Q1075" s="30" t="s">
        <v>86</v>
      </c>
      <c r="R1075" s="25" t="n">
        <f aca="false">L1075*M1075*(1-N1075)</f>
        <v>13838</v>
      </c>
    </row>
    <row r="1076" customFormat="false" ht="15" hidden="false" customHeight="false" outlineLevel="0" collapsed="false">
      <c r="A1076" s="30" t="s">
        <v>1247</v>
      </c>
      <c r="B1076" s="44" t="n">
        <v>45644</v>
      </c>
      <c r="C1076" s="19" t="n">
        <f aca="false">YEAR(B1076)</f>
        <v>2024</v>
      </c>
      <c r="D1076" s="19" t="n">
        <f aca="false">MONTH(B1076)</f>
        <v>12</v>
      </c>
      <c r="E1076" s="30" t="str">
        <f aca="false">INDEX(Lists!$K$2:$K$13,MATCH(D1076,Lists!$J$2:$J$13,0))</f>
        <v>ديسمبر</v>
      </c>
      <c r="F1076" s="19" t="str">
        <f aca="false">"Q"&amp;ROUNDUP(D1076/3,0)</f>
        <v>Q4</v>
      </c>
      <c r="G1076" s="30" t="str">
        <f aca="false">INDEX(Lists!$N$2:$N$8,MATCH(WEEKDAY(B1076,2),Lists!$M$2:$M$8,0))</f>
        <v>الأربعاء</v>
      </c>
      <c r="H1076" s="30" t="s">
        <v>50</v>
      </c>
      <c r="I1076" s="19" t="str">
        <f aca="false">INDEX(Lists!$B$2:$B$6,MATCH(H1076,Lists!$A$2:$A$6,0))</f>
        <v>المنطقة الغربية</v>
      </c>
      <c r="J1076" s="30" t="s">
        <v>107</v>
      </c>
      <c r="K1076" s="30" t="s">
        <v>114</v>
      </c>
      <c r="L1076" s="31" t="n">
        <v>2149</v>
      </c>
      <c r="M1076" s="19" t="n">
        <v>1</v>
      </c>
      <c r="N1076" s="32" t="n">
        <v>0</v>
      </c>
      <c r="O1076" s="30" t="s">
        <v>48</v>
      </c>
      <c r="P1076" s="30" t="s">
        <v>47</v>
      </c>
      <c r="Q1076" s="30" t="s">
        <v>92</v>
      </c>
      <c r="R1076" s="25" t="n">
        <f aca="false">L1076*M1076*(1-N1076)</f>
        <v>2149</v>
      </c>
    </row>
    <row r="1077" customFormat="false" ht="15" hidden="false" customHeight="false" outlineLevel="0" collapsed="false">
      <c r="A1077" s="30" t="s">
        <v>1248</v>
      </c>
      <c r="B1077" s="44" t="n">
        <v>45644</v>
      </c>
      <c r="C1077" s="19" t="n">
        <f aca="false">YEAR(B1077)</f>
        <v>2024</v>
      </c>
      <c r="D1077" s="19" t="n">
        <f aca="false">MONTH(B1077)</f>
        <v>12</v>
      </c>
      <c r="E1077" s="30" t="str">
        <f aca="false">INDEX(Lists!$K$2:$K$13,MATCH(D1077,Lists!$J$2:$J$13,0))</f>
        <v>ديسمبر</v>
      </c>
      <c r="F1077" s="19" t="str">
        <f aca="false">"Q"&amp;ROUNDUP(D1077/3,0)</f>
        <v>Q4</v>
      </c>
      <c r="G1077" s="30" t="str">
        <f aca="false">INDEX(Lists!$N$2:$N$8,MATCH(WEEKDAY(B1077,2),Lists!$M$2:$M$8,0))</f>
        <v>الأربعاء</v>
      </c>
      <c r="H1077" s="30" t="s">
        <v>46</v>
      </c>
      <c r="I1077" s="19" t="str">
        <f aca="false">INDEX(Lists!$B$2:$B$6,MATCH(H1077,Lists!$A$2:$A$6,0))</f>
        <v>المنطقة الوسطى</v>
      </c>
      <c r="J1077" s="30" t="s">
        <v>107</v>
      </c>
      <c r="K1077" s="30" t="s">
        <v>184</v>
      </c>
      <c r="L1077" s="31" t="n">
        <v>2859</v>
      </c>
      <c r="M1077" s="19" t="n">
        <v>2</v>
      </c>
      <c r="N1077" s="32" t="n">
        <v>0.2</v>
      </c>
      <c r="O1077" s="30" t="s">
        <v>52</v>
      </c>
      <c r="P1077" s="30" t="s">
        <v>47</v>
      </c>
      <c r="Q1077" s="30" t="s">
        <v>94</v>
      </c>
      <c r="R1077" s="25" t="n">
        <f aca="false">L1077*M1077*(1-N1077)</f>
        <v>4574.4</v>
      </c>
    </row>
    <row r="1078" customFormat="false" ht="15" hidden="false" customHeight="false" outlineLevel="0" collapsed="false">
      <c r="A1078" s="30" t="s">
        <v>1249</v>
      </c>
      <c r="B1078" s="44" t="n">
        <v>45644</v>
      </c>
      <c r="C1078" s="19" t="n">
        <f aca="false">YEAR(B1078)</f>
        <v>2024</v>
      </c>
      <c r="D1078" s="19" t="n">
        <f aca="false">MONTH(B1078)</f>
        <v>12</v>
      </c>
      <c r="E1078" s="30" t="str">
        <f aca="false">INDEX(Lists!$K$2:$K$13,MATCH(D1078,Lists!$J$2:$J$13,0))</f>
        <v>ديسمبر</v>
      </c>
      <c r="F1078" s="19" t="str">
        <f aca="false">"Q"&amp;ROUNDUP(D1078/3,0)</f>
        <v>Q4</v>
      </c>
      <c r="G1078" s="30" t="str">
        <f aca="false">INDEX(Lists!$N$2:$N$8,MATCH(WEEKDAY(B1078,2),Lists!$M$2:$M$8,0))</f>
        <v>الأربعاء</v>
      </c>
      <c r="H1078" s="30" t="s">
        <v>46</v>
      </c>
      <c r="I1078" s="19" t="str">
        <f aca="false">INDEX(Lists!$B$2:$B$6,MATCH(H1078,Lists!$A$2:$A$6,0))</f>
        <v>المنطقة الوسطى</v>
      </c>
      <c r="J1078" s="30" t="s">
        <v>105</v>
      </c>
      <c r="K1078" s="30" t="s">
        <v>85</v>
      </c>
      <c r="L1078" s="31" t="n">
        <v>829</v>
      </c>
      <c r="M1078" s="19" t="n">
        <v>2</v>
      </c>
      <c r="N1078" s="32" t="n">
        <v>0</v>
      </c>
      <c r="O1078" s="30" t="s">
        <v>58</v>
      </c>
      <c r="P1078" s="30" t="s">
        <v>47</v>
      </c>
      <c r="Q1078" s="30" t="s">
        <v>86</v>
      </c>
      <c r="R1078" s="25" t="n">
        <f aca="false">L1078*M1078*(1-N1078)</f>
        <v>1658</v>
      </c>
    </row>
    <row r="1079" customFormat="false" ht="15" hidden="false" customHeight="false" outlineLevel="0" collapsed="false">
      <c r="A1079" s="30" t="s">
        <v>1250</v>
      </c>
      <c r="B1079" s="44" t="n">
        <v>45644</v>
      </c>
      <c r="C1079" s="19" t="n">
        <f aca="false">YEAR(B1079)</f>
        <v>2024</v>
      </c>
      <c r="D1079" s="19" t="n">
        <f aca="false">MONTH(B1079)</f>
        <v>12</v>
      </c>
      <c r="E1079" s="30" t="str">
        <f aca="false">INDEX(Lists!$K$2:$K$13,MATCH(D1079,Lists!$J$2:$J$13,0))</f>
        <v>ديسمبر</v>
      </c>
      <c r="F1079" s="19" t="str">
        <f aca="false">"Q"&amp;ROUNDUP(D1079/3,0)</f>
        <v>Q4</v>
      </c>
      <c r="G1079" s="30" t="str">
        <f aca="false">INDEX(Lists!$N$2:$N$8,MATCH(WEEKDAY(B1079,2),Lists!$M$2:$M$8,0))</f>
        <v>الأربعاء</v>
      </c>
      <c r="H1079" s="30" t="s">
        <v>54</v>
      </c>
      <c r="I1079" s="19" t="str">
        <f aca="false">INDEX(Lists!$B$2:$B$6,MATCH(H1079,Lists!$A$2:$A$6,0))</f>
        <v>المنطقة الشرقية</v>
      </c>
      <c r="J1079" s="30" t="s">
        <v>109</v>
      </c>
      <c r="K1079" s="30" t="s">
        <v>175</v>
      </c>
      <c r="L1079" s="31" t="n">
        <v>219</v>
      </c>
      <c r="M1079" s="19" t="n">
        <v>1</v>
      </c>
      <c r="N1079" s="32" t="n">
        <v>0</v>
      </c>
      <c r="O1079" s="30" t="s">
        <v>55</v>
      </c>
      <c r="P1079" s="30" t="s">
        <v>47</v>
      </c>
      <c r="Q1079" s="30" t="s">
        <v>86</v>
      </c>
      <c r="R1079" s="25" t="n">
        <f aca="false">L1079*M1079*(1-N1079)</f>
        <v>219</v>
      </c>
    </row>
    <row r="1080" customFormat="false" ht="15" hidden="false" customHeight="false" outlineLevel="0" collapsed="false">
      <c r="A1080" s="30" t="s">
        <v>1251</v>
      </c>
      <c r="B1080" s="44" t="n">
        <v>45644</v>
      </c>
      <c r="C1080" s="19" t="n">
        <f aca="false">YEAR(B1080)</f>
        <v>2024</v>
      </c>
      <c r="D1080" s="19" t="n">
        <f aca="false">MONTH(B1080)</f>
        <v>12</v>
      </c>
      <c r="E1080" s="30" t="str">
        <f aca="false">INDEX(Lists!$K$2:$K$13,MATCH(D1080,Lists!$J$2:$J$13,0))</f>
        <v>ديسمبر</v>
      </c>
      <c r="F1080" s="19" t="str">
        <f aca="false">"Q"&amp;ROUNDUP(D1080/3,0)</f>
        <v>Q4</v>
      </c>
      <c r="G1080" s="30" t="str">
        <f aca="false">INDEX(Lists!$N$2:$N$8,MATCH(WEEKDAY(B1080,2),Lists!$M$2:$M$8,0))</f>
        <v>الأربعاء</v>
      </c>
      <c r="H1080" s="30" t="s">
        <v>57</v>
      </c>
      <c r="I1080" s="19" t="str">
        <f aca="false">INDEX(Lists!$B$2:$B$6,MATCH(H1080,Lists!$A$2:$A$6,0))</f>
        <v>المنطقة الغربية</v>
      </c>
      <c r="J1080" s="30" t="s">
        <v>107</v>
      </c>
      <c r="K1080" s="30" t="s">
        <v>184</v>
      </c>
      <c r="L1080" s="31" t="n">
        <v>5719</v>
      </c>
      <c r="M1080" s="19" t="n">
        <v>1</v>
      </c>
      <c r="N1080" s="32" t="n">
        <v>0.1</v>
      </c>
      <c r="O1080" s="30" t="s">
        <v>48</v>
      </c>
      <c r="P1080" s="30" t="s">
        <v>47</v>
      </c>
      <c r="Q1080" s="30" t="s">
        <v>76</v>
      </c>
      <c r="R1080" s="25" t="n">
        <f aca="false">L1080*M1080*(1-N1080)</f>
        <v>5147.1</v>
      </c>
    </row>
    <row r="1081" customFormat="false" ht="15" hidden="false" customHeight="false" outlineLevel="0" collapsed="false">
      <c r="A1081" s="30" t="s">
        <v>1252</v>
      </c>
      <c r="B1081" s="44" t="n">
        <v>45644</v>
      </c>
      <c r="C1081" s="19" t="n">
        <f aca="false">YEAR(B1081)</f>
        <v>2024</v>
      </c>
      <c r="D1081" s="19" t="n">
        <f aca="false">MONTH(B1081)</f>
        <v>12</v>
      </c>
      <c r="E1081" s="30" t="str">
        <f aca="false">INDEX(Lists!$K$2:$K$13,MATCH(D1081,Lists!$J$2:$J$13,0))</f>
        <v>ديسمبر</v>
      </c>
      <c r="F1081" s="19" t="str">
        <f aca="false">"Q"&amp;ROUNDUP(D1081/3,0)</f>
        <v>Q4</v>
      </c>
      <c r="G1081" s="30" t="str">
        <f aca="false">INDEX(Lists!$N$2:$N$8,MATCH(WEEKDAY(B1081,2),Lists!$M$2:$M$8,0))</f>
        <v>الأربعاء</v>
      </c>
      <c r="H1081" s="30" t="s">
        <v>50</v>
      </c>
      <c r="I1081" s="19" t="str">
        <f aca="false">INDEX(Lists!$B$2:$B$6,MATCH(H1081,Lists!$A$2:$A$6,0))</f>
        <v>المنطقة الغربية</v>
      </c>
      <c r="J1081" s="30" t="s">
        <v>109</v>
      </c>
      <c r="K1081" s="30" t="s">
        <v>110</v>
      </c>
      <c r="L1081" s="31" t="n">
        <v>59</v>
      </c>
      <c r="M1081" s="19" t="n">
        <v>1</v>
      </c>
      <c r="N1081" s="32" t="n">
        <v>0.05</v>
      </c>
      <c r="O1081" s="30" t="s">
        <v>48</v>
      </c>
      <c r="P1081" s="30" t="s">
        <v>47</v>
      </c>
      <c r="Q1081" s="30" t="s">
        <v>84</v>
      </c>
      <c r="R1081" s="25" t="n">
        <f aca="false">L1081*M1081*(1-N1081)</f>
        <v>56.05</v>
      </c>
    </row>
    <row r="1082" customFormat="false" ht="15" hidden="false" customHeight="false" outlineLevel="0" collapsed="false">
      <c r="A1082" s="30" t="s">
        <v>1253</v>
      </c>
      <c r="B1082" s="44" t="n">
        <v>45646</v>
      </c>
      <c r="C1082" s="19" t="n">
        <f aca="false">YEAR(B1082)</f>
        <v>2024</v>
      </c>
      <c r="D1082" s="19" t="n">
        <f aca="false">MONTH(B1082)</f>
        <v>12</v>
      </c>
      <c r="E1082" s="30" t="str">
        <f aca="false">INDEX(Lists!$K$2:$K$13,MATCH(D1082,Lists!$J$2:$J$13,0))</f>
        <v>ديسمبر</v>
      </c>
      <c r="F1082" s="19" t="str">
        <f aca="false">"Q"&amp;ROUNDUP(D1082/3,0)</f>
        <v>Q4</v>
      </c>
      <c r="G1082" s="30" t="str">
        <f aca="false">INDEX(Lists!$N$2:$N$8,MATCH(WEEKDAY(B1082,2),Lists!$M$2:$M$8,0))</f>
        <v>الجمعة</v>
      </c>
      <c r="H1082" s="30" t="s">
        <v>50</v>
      </c>
      <c r="I1082" s="19" t="str">
        <f aca="false">INDEX(Lists!$B$2:$B$6,MATCH(H1082,Lists!$A$2:$A$6,0))</f>
        <v>المنطقة الغربية</v>
      </c>
      <c r="J1082" s="30" t="s">
        <v>109</v>
      </c>
      <c r="K1082" s="30" t="s">
        <v>192</v>
      </c>
      <c r="L1082" s="31" t="n">
        <v>139</v>
      </c>
      <c r="M1082" s="19" t="n">
        <v>4</v>
      </c>
      <c r="N1082" s="32" t="n">
        <v>0.1</v>
      </c>
      <c r="O1082" s="30" t="s">
        <v>55</v>
      </c>
      <c r="P1082" s="30" t="s">
        <v>51</v>
      </c>
      <c r="Q1082" s="30" t="s">
        <v>94</v>
      </c>
      <c r="R1082" s="25" t="n">
        <f aca="false">L1082*M1082*(1-N1082)</f>
        <v>500.4</v>
      </c>
    </row>
    <row r="1083" customFormat="false" ht="15" hidden="false" customHeight="false" outlineLevel="0" collapsed="false">
      <c r="A1083" s="30" t="s">
        <v>1254</v>
      </c>
      <c r="B1083" s="44" t="n">
        <v>45646</v>
      </c>
      <c r="C1083" s="19" t="n">
        <f aca="false">YEAR(B1083)</f>
        <v>2024</v>
      </c>
      <c r="D1083" s="19" t="n">
        <f aca="false">MONTH(B1083)</f>
        <v>12</v>
      </c>
      <c r="E1083" s="30" t="str">
        <f aca="false">INDEX(Lists!$K$2:$K$13,MATCH(D1083,Lists!$J$2:$J$13,0))</f>
        <v>ديسمبر</v>
      </c>
      <c r="F1083" s="19" t="str">
        <f aca="false">"Q"&amp;ROUNDUP(D1083/3,0)</f>
        <v>Q4</v>
      </c>
      <c r="G1083" s="30" t="str">
        <f aca="false">INDEX(Lists!$N$2:$N$8,MATCH(WEEKDAY(B1083,2),Lists!$M$2:$M$8,0))</f>
        <v>الجمعة</v>
      </c>
      <c r="H1083" s="30" t="s">
        <v>60</v>
      </c>
      <c r="I1083" s="19" t="str">
        <f aca="false">INDEX(Lists!$B$2:$B$6,MATCH(H1083,Lists!$A$2:$A$6,0))</f>
        <v>المنطقة الغربية</v>
      </c>
      <c r="J1083" s="30" t="s">
        <v>105</v>
      </c>
      <c r="K1083" s="30" t="s">
        <v>85</v>
      </c>
      <c r="L1083" s="31" t="n">
        <v>3769</v>
      </c>
      <c r="M1083" s="19" t="n">
        <v>2</v>
      </c>
      <c r="N1083" s="32" t="n">
        <v>0</v>
      </c>
      <c r="O1083" s="30" t="s">
        <v>52</v>
      </c>
      <c r="P1083" s="30" t="s">
        <v>51</v>
      </c>
      <c r="Q1083" s="30" t="s">
        <v>94</v>
      </c>
      <c r="R1083" s="25" t="n">
        <f aca="false">L1083*M1083*(1-N1083)</f>
        <v>7538</v>
      </c>
    </row>
    <row r="1084" customFormat="false" ht="15" hidden="false" customHeight="false" outlineLevel="0" collapsed="false">
      <c r="A1084" s="30" t="s">
        <v>1255</v>
      </c>
      <c r="B1084" s="44" t="n">
        <v>45647</v>
      </c>
      <c r="C1084" s="19" t="n">
        <f aca="false">YEAR(B1084)</f>
        <v>2024</v>
      </c>
      <c r="D1084" s="19" t="n">
        <f aca="false">MONTH(B1084)</f>
        <v>12</v>
      </c>
      <c r="E1084" s="30" t="str">
        <f aca="false">INDEX(Lists!$K$2:$K$13,MATCH(D1084,Lists!$J$2:$J$13,0))</f>
        <v>ديسمبر</v>
      </c>
      <c r="F1084" s="19" t="str">
        <f aca="false">"Q"&amp;ROUNDUP(D1084/3,0)</f>
        <v>Q4</v>
      </c>
      <c r="G1084" s="30" t="str">
        <f aca="false">INDEX(Lists!$N$2:$N$8,MATCH(WEEKDAY(B1084,2),Lists!$M$2:$M$8,0))</f>
        <v>السبت</v>
      </c>
      <c r="H1084" s="30" t="s">
        <v>46</v>
      </c>
      <c r="I1084" s="19" t="str">
        <f aca="false">INDEX(Lists!$B$2:$B$6,MATCH(H1084,Lists!$A$2:$A$6,0))</f>
        <v>المنطقة الوسطى</v>
      </c>
      <c r="J1084" s="30" t="s">
        <v>109</v>
      </c>
      <c r="K1084" s="30" t="s">
        <v>110</v>
      </c>
      <c r="L1084" s="31" t="n">
        <v>139</v>
      </c>
      <c r="M1084" s="19" t="n">
        <v>1</v>
      </c>
      <c r="N1084" s="32" t="n">
        <v>0</v>
      </c>
      <c r="O1084" s="30" t="s">
        <v>48</v>
      </c>
      <c r="P1084" s="30" t="s">
        <v>47</v>
      </c>
      <c r="Q1084" s="30" t="s">
        <v>89</v>
      </c>
      <c r="R1084" s="25" t="n">
        <f aca="false">L1084*M1084*(1-N1084)</f>
        <v>139</v>
      </c>
    </row>
    <row r="1085" customFormat="false" ht="15" hidden="false" customHeight="false" outlineLevel="0" collapsed="false">
      <c r="A1085" s="30" t="s">
        <v>1256</v>
      </c>
      <c r="B1085" s="44" t="n">
        <v>45647</v>
      </c>
      <c r="C1085" s="19" t="n">
        <f aca="false">YEAR(B1085)</f>
        <v>2024</v>
      </c>
      <c r="D1085" s="19" t="n">
        <f aca="false">MONTH(B1085)</f>
        <v>12</v>
      </c>
      <c r="E1085" s="30" t="str">
        <f aca="false">INDEX(Lists!$K$2:$K$13,MATCH(D1085,Lists!$J$2:$J$13,0))</f>
        <v>ديسمبر</v>
      </c>
      <c r="F1085" s="19" t="str">
        <f aca="false">"Q"&amp;ROUNDUP(D1085/3,0)</f>
        <v>Q4</v>
      </c>
      <c r="G1085" s="30" t="str">
        <f aca="false">INDEX(Lists!$N$2:$N$8,MATCH(WEEKDAY(B1085,2),Lists!$M$2:$M$8,0))</f>
        <v>السبت</v>
      </c>
      <c r="H1085" s="30" t="s">
        <v>46</v>
      </c>
      <c r="I1085" s="19" t="str">
        <f aca="false">INDEX(Lists!$B$2:$B$6,MATCH(H1085,Lists!$A$2:$A$6,0))</f>
        <v>المنطقة الوسطى</v>
      </c>
      <c r="J1085" s="30" t="s">
        <v>105</v>
      </c>
      <c r="K1085" s="30" t="s">
        <v>79</v>
      </c>
      <c r="L1085" s="31" t="n">
        <v>4269</v>
      </c>
      <c r="M1085" s="19" t="n">
        <v>1</v>
      </c>
      <c r="N1085" s="32" t="n">
        <v>0</v>
      </c>
      <c r="O1085" s="30" t="s">
        <v>48</v>
      </c>
      <c r="P1085" s="30" t="s">
        <v>47</v>
      </c>
      <c r="Q1085" s="30" t="s">
        <v>92</v>
      </c>
      <c r="R1085" s="25" t="n">
        <f aca="false">L1085*M1085*(1-N1085)</f>
        <v>4269</v>
      </c>
    </row>
    <row r="1086" customFormat="false" ht="15" hidden="false" customHeight="false" outlineLevel="0" collapsed="false">
      <c r="A1086" s="30" t="s">
        <v>1257</v>
      </c>
      <c r="B1086" s="44" t="n">
        <v>45648</v>
      </c>
      <c r="C1086" s="19" t="n">
        <f aca="false">YEAR(B1086)</f>
        <v>2024</v>
      </c>
      <c r="D1086" s="19" t="n">
        <f aca="false">MONTH(B1086)</f>
        <v>12</v>
      </c>
      <c r="E1086" s="30" t="str">
        <f aca="false">INDEX(Lists!$K$2:$K$13,MATCH(D1086,Lists!$J$2:$J$13,0))</f>
        <v>ديسمبر</v>
      </c>
      <c r="F1086" s="19" t="str">
        <f aca="false">"Q"&amp;ROUNDUP(D1086/3,0)</f>
        <v>Q4</v>
      </c>
      <c r="G1086" s="30" t="str">
        <f aca="false">INDEX(Lists!$N$2:$N$8,MATCH(WEEKDAY(B1086,2),Lists!$M$2:$M$8,0))</f>
        <v>الأحد</v>
      </c>
      <c r="H1086" s="30" t="s">
        <v>57</v>
      </c>
      <c r="I1086" s="19" t="str">
        <f aca="false">INDEX(Lists!$B$2:$B$6,MATCH(H1086,Lists!$A$2:$A$6,0))</f>
        <v>المنطقة الغربية</v>
      </c>
      <c r="J1086" s="30" t="s">
        <v>105</v>
      </c>
      <c r="K1086" s="30" t="s">
        <v>85</v>
      </c>
      <c r="L1086" s="31" t="n">
        <v>3599</v>
      </c>
      <c r="M1086" s="19" t="n">
        <v>1</v>
      </c>
      <c r="N1086" s="32" t="n">
        <v>0</v>
      </c>
      <c r="O1086" s="30" t="s">
        <v>52</v>
      </c>
      <c r="P1086" s="30" t="s">
        <v>47</v>
      </c>
      <c r="Q1086" s="30" t="s">
        <v>92</v>
      </c>
      <c r="R1086" s="25" t="n">
        <f aca="false">L1086*M1086*(1-N1086)</f>
        <v>3599</v>
      </c>
    </row>
    <row r="1087" customFormat="false" ht="15" hidden="false" customHeight="false" outlineLevel="0" collapsed="false">
      <c r="A1087" s="30" t="s">
        <v>1258</v>
      </c>
      <c r="B1087" s="44" t="n">
        <v>45648</v>
      </c>
      <c r="C1087" s="19" t="n">
        <f aca="false">YEAR(B1087)</f>
        <v>2024</v>
      </c>
      <c r="D1087" s="19" t="n">
        <f aca="false">MONTH(B1087)</f>
        <v>12</v>
      </c>
      <c r="E1087" s="30" t="str">
        <f aca="false">INDEX(Lists!$K$2:$K$13,MATCH(D1087,Lists!$J$2:$J$13,0))</f>
        <v>ديسمبر</v>
      </c>
      <c r="F1087" s="19" t="str">
        <f aca="false">"Q"&amp;ROUNDUP(D1087/3,0)</f>
        <v>Q4</v>
      </c>
      <c r="G1087" s="30" t="str">
        <f aca="false">INDEX(Lists!$N$2:$N$8,MATCH(WEEKDAY(B1087,2),Lists!$M$2:$M$8,0))</f>
        <v>الأحد</v>
      </c>
      <c r="H1087" s="30" t="s">
        <v>57</v>
      </c>
      <c r="I1087" s="19" t="str">
        <f aca="false">INDEX(Lists!$B$2:$B$6,MATCH(H1087,Lists!$A$2:$A$6,0))</f>
        <v>المنطقة الغربية</v>
      </c>
      <c r="J1087" s="30" t="s">
        <v>105</v>
      </c>
      <c r="K1087" s="30" t="s">
        <v>79</v>
      </c>
      <c r="L1087" s="31" t="n">
        <v>4419</v>
      </c>
      <c r="M1087" s="19" t="n">
        <v>1</v>
      </c>
      <c r="N1087" s="32" t="n">
        <v>0.1</v>
      </c>
      <c r="O1087" s="30" t="s">
        <v>55</v>
      </c>
      <c r="P1087" s="30" t="s">
        <v>47</v>
      </c>
      <c r="Q1087" s="30" t="s">
        <v>96</v>
      </c>
      <c r="R1087" s="25" t="n">
        <f aca="false">L1087*M1087*(1-N1087)</f>
        <v>3977.1</v>
      </c>
    </row>
    <row r="1088" customFormat="false" ht="15" hidden="false" customHeight="false" outlineLevel="0" collapsed="false">
      <c r="A1088" s="30" t="s">
        <v>1259</v>
      </c>
      <c r="B1088" s="44" t="n">
        <v>45648</v>
      </c>
      <c r="C1088" s="19" t="n">
        <f aca="false">YEAR(B1088)</f>
        <v>2024</v>
      </c>
      <c r="D1088" s="19" t="n">
        <f aca="false">MONTH(B1088)</f>
        <v>12</v>
      </c>
      <c r="E1088" s="30" t="str">
        <f aca="false">INDEX(Lists!$K$2:$K$13,MATCH(D1088,Lists!$J$2:$J$13,0))</f>
        <v>ديسمبر</v>
      </c>
      <c r="F1088" s="19" t="str">
        <f aca="false">"Q"&amp;ROUNDUP(D1088/3,0)</f>
        <v>Q4</v>
      </c>
      <c r="G1088" s="30" t="str">
        <f aca="false">INDEX(Lists!$N$2:$N$8,MATCH(WEEKDAY(B1088,2),Lists!$M$2:$M$8,0))</f>
        <v>الأحد</v>
      </c>
      <c r="H1088" s="30" t="s">
        <v>46</v>
      </c>
      <c r="I1088" s="19" t="str">
        <f aca="false">INDEX(Lists!$B$2:$B$6,MATCH(H1088,Lists!$A$2:$A$6,0))</f>
        <v>المنطقة الوسطى</v>
      </c>
      <c r="J1088" s="30" t="s">
        <v>109</v>
      </c>
      <c r="K1088" s="30" t="s">
        <v>171</v>
      </c>
      <c r="L1088" s="31" t="n">
        <v>159</v>
      </c>
      <c r="M1088" s="19" t="n">
        <v>1</v>
      </c>
      <c r="N1088" s="32" t="n">
        <v>0.1</v>
      </c>
      <c r="O1088" s="30" t="s">
        <v>52</v>
      </c>
      <c r="P1088" s="30" t="s">
        <v>47</v>
      </c>
      <c r="Q1088" s="30" t="s">
        <v>78</v>
      </c>
      <c r="R1088" s="25" t="n">
        <f aca="false">L1088*M1088*(1-N1088)</f>
        <v>143.1</v>
      </c>
    </row>
    <row r="1089" customFormat="false" ht="15" hidden="false" customHeight="false" outlineLevel="0" collapsed="false">
      <c r="A1089" s="30" t="s">
        <v>1260</v>
      </c>
      <c r="B1089" s="44" t="n">
        <v>45648</v>
      </c>
      <c r="C1089" s="19" t="n">
        <f aca="false">YEAR(B1089)</f>
        <v>2024</v>
      </c>
      <c r="D1089" s="19" t="n">
        <f aca="false">MONTH(B1089)</f>
        <v>12</v>
      </c>
      <c r="E1089" s="30" t="str">
        <f aca="false">INDEX(Lists!$K$2:$K$13,MATCH(D1089,Lists!$J$2:$J$13,0))</f>
        <v>ديسمبر</v>
      </c>
      <c r="F1089" s="19" t="str">
        <f aca="false">"Q"&amp;ROUNDUP(D1089/3,0)</f>
        <v>Q4</v>
      </c>
      <c r="G1089" s="30" t="str">
        <f aca="false">INDEX(Lists!$N$2:$N$8,MATCH(WEEKDAY(B1089,2),Lists!$M$2:$M$8,0))</f>
        <v>الأحد</v>
      </c>
      <c r="H1089" s="30" t="s">
        <v>50</v>
      </c>
      <c r="I1089" s="19" t="str">
        <f aca="false">INDEX(Lists!$B$2:$B$6,MATCH(H1089,Lists!$A$2:$A$6,0))</f>
        <v>المنطقة الغربية</v>
      </c>
      <c r="J1089" s="30" t="s">
        <v>105</v>
      </c>
      <c r="K1089" s="30" t="s">
        <v>90</v>
      </c>
      <c r="L1089" s="31" t="n">
        <v>2179</v>
      </c>
      <c r="M1089" s="19" t="n">
        <v>3</v>
      </c>
      <c r="N1089" s="32" t="n">
        <v>0</v>
      </c>
      <c r="O1089" s="30" t="s">
        <v>52</v>
      </c>
      <c r="P1089" s="30" t="s">
        <v>51</v>
      </c>
      <c r="Q1089" s="30" t="s">
        <v>76</v>
      </c>
      <c r="R1089" s="25" t="n">
        <f aca="false">L1089*M1089*(1-N1089)</f>
        <v>6537</v>
      </c>
    </row>
    <row r="1090" customFormat="false" ht="15" hidden="false" customHeight="false" outlineLevel="0" collapsed="false">
      <c r="A1090" s="30" t="s">
        <v>1261</v>
      </c>
      <c r="B1090" s="44" t="n">
        <v>45648</v>
      </c>
      <c r="C1090" s="19" t="n">
        <f aca="false">YEAR(B1090)</f>
        <v>2024</v>
      </c>
      <c r="D1090" s="19" t="n">
        <f aca="false">MONTH(B1090)</f>
        <v>12</v>
      </c>
      <c r="E1090" s="30" t="str">
        <f aca="false">INDEX(Lists!$K$2:$K$13,MATCH(D1090,Lists!$J$2:$J$13,0))</f>
        <v>ديسمبر</v>
      </c>
      <c r="F1090" s="19" t="str">
        <f aca="false">"Q"&amp;ROUNDUP(D1090/3,0)</f>
        <v>Q4</v>
      </c>
      <c r="G1090" s="30" t="str">
        <f aca="false">INDEX(Lists!$N$2:$N$8,MATCH(WEEKDAY(B1090,2),Lists!$M$2:$M$8,0))</f>
        <v>الأحد</v>
      </c>
      <c r="H1090" s="30" t="s">
        <v>50</v>
      </c>
      <c r="I1090" s="19" t="str">
        <f aca="false">INDEX(Lists!$B$2:$B$6,MATCH(H1090,Lists!$A$2:$A$6,0))</f>
        <v>المنطقة الغربية</v>
      </c>
      <c r="J1090" s="30" t="s">
        <v>105</v>
      </c>
      <c r="K1090" s="30" t="s">
        <v>179</v>
      </c>
      <c r="L1090" s="31" t="n">
        <v>3749</v>
      </c>
      <c r="M1090" s="19" t="n">
        <v>1</v>
      </c>
      <c r="N1090" s="32" t="n">
        <v>0</v>
      </c>
      <c r="O1090" s="30" t="s">
        <v>48</v>
      </c>
      <c r="P1090" s="30" t="s">
        <v>47</v>
      </c>
      <c r="Q1090" s="30" t="s">
        <v>84</v>
      </c>
      <c r="R1090" s="25" t="n">
        <f aca="false">L1090*M1090*(1-N1090)</f>
        <v>3749</v>
      </c>
    </row>
    <row r="1091" customFormat="false" ht="15" hidden="false" customHeight="false" outlineLevel="0" collapsed="false">
      <c r="A1091" s="30" t="s">
        <v>1262</v>
      </c>
      <c r="B1091" s="44" t="n">
        <v>45648</v>
      </c>
      <c r="C1091" s="19" t="n">
        <f aca="false">YEAR(B1091)</f>
        <v>2024</v>
      </c>
      <c r="D1091" s="19" t="n">
        <f aca="false">MONTH(B1091)</f>
        <v>12</v>
      </c>
      <c r="E1091" s="30" t="str">
        <f aca="false">INDEX(Lists!$K$2:$K$13,MATCH(D1091,Lists!$J$2:$J$13,0))</f>
        <v>ديسمبر</v>
      </c>
      <c r="F1091" s="19" t="str">
        <f aca="false">"Q"&amp;ROUNDUP(D1091/3,0)</f>
        <v>Q4</v>
      </c>
      <c r="G1091" s="30" t="str">
        <f aca="false">INDEX(Lists!$N$2:$N$8,MATCH(WEEKDAY(B1091,2),Lists!$M$2:$M$8,0))</f>
        <v>الأحد</v>
      </c>
      <c r="H1091" s="30" t="s">
        <v>57</v>
      </c>
      <c r="I1091" s="19" t="str">
        <f aca="false">INDEX(Lists!$B$2:$B$6,MATCH(H1091,Lists!$A$2:$A$6,0))</f>
        <v>المنطقة الغربية</v>
      </c>
      <c r="J1091" s="30" t="s">
        <v>111</v>
      </c>
      <c r="K1091" s="30" t="s">
        <v>122</v>
      </c>
      <c r="L1091" s="31" t="n">
        <v>329</v>
      </c>
      <c r="M1091" s="19" t="n">
        <v>1</v>
      </c>
      <c r="N1091" s="32" t="n">
        <v>0</v>
      </c>
      <c r="O1091" s="30" t="s">
        <v>55</v>
      </c>
      <c r="P1091" s="30" t="s">
        <v>47</v>
      </c>
      <c r="Q1091" s="30" t="s">
        <v>92</v>
      </c>
      <c r="R1091" s="25" t="n">
        <f aca="false">L1091*M1091*(1-N1091)</f>
        <v>329</v>
      </c>
    </row>
    <row r="1092" customFormat="false" ht="15" hidden="false" customHeight="false" outlineLevel="0" collapsed="false">
      <c r="A1092" s="30" t="s">
        <v>1263</v>
      </c>
      <c r="B1092" s="44" t="n">
        <v>45648</v>
      </c>
      <c r="C1092" s="19" t="n">
        <f aca="false">YEAR(B1092)</f>
        <v>2024</v>
      </c>
      <c r="D1092" s="19" t="n">
        <f aca="false">MONTH(B1092)</f>
        <v>12</v>
      </c>
      <c r="E1092" s="30" t="str">
        <f aca="false">INDEX(Lists!$K$2:$K$13,MATCH(D1092,Lists!$J$2:$J$13,0))</f>
        <v>ديسمبر</v>
      </c>
      <c r="F1092" s="19" t="str">
        <f aca="false">"Q"&amp;ROUNDUP(D1092/3,0)</f>
        <v>Q4</v>
      </c>
      <c r="G1092" s="30" t="str">
        <f aca="false">INDEX(Lists!$N$2:$N$8,MATCH(WEEKDAY(B1092,2),Lists!$M$2:$M$8,0))</f>
        <v>الأحد</v>
      </c>
      <c r="H1092" s="30" t="s">
        <v>46</v>
      </c>
      <c r="I1092" s="19" t="str">
        <f aca="false">INDEX(Lists!$B$2:$B$6,MATCH(H1092,Lists!$A$2:$A$6,0))</f>
        <v>المنطقة الوسطى</v>
      </c>
      <c r="J1092" s="30" t="s">
        <v>109</v>
      </c>
      <c r="K1092" s="30" t="s">
        <v>110</v>
      </c>
      <c r="L1092" s="31" t="n">
        <v>49</v>
      </c>
      <c r="M1092" s="19" t="n">
        <v>2</v>
      </c>
      <c r="N1092" s="32" t="n">
        <v>0</v>
      </c>
      <c r="O1092" s="30" t="s">
        <v>58</v>
      </c>
      <c r="P1092" s="30" t="s">
        <v>47</v>
      </c>
      <c r="Q1092" s="30" t="s">
        <v>78</v>
      </c>
      <c r="R1092" s="25" t="n">
        <f aca="false">L1092*M1092*(1-N1092)</f>
        <v>98</v>
      </c>
    </row>
    <row r="1093" customFormat="false" ht="15" hidden="false" customHeight="false" outlineLevel="0" collapsed="false">
      <c r="A1093" s="30" t="s">
        <v>1264</v>
      </c>
      <c r="B1093" s="44" t="n">
        <v>45648</v>
      </c>
      <c r="C1093" s="19" t="n">
        <f aca="false">YEAR(B1093)</f>
        <v>2024</v>
      </c>
      <c r="D1093" s="19" t="n">
        <f aca="false">MONTH(B1093)</f>
        <v>12</v>
      </c>
      <c r="E1093" s="30" t="str">
        <f aca="false">INDEX(Lists!$K$2:$K$13,MATCH(D1093,Lists!$J$2:$J$13,0))</f>
        <v>ديسمبر</v>
      </c>
      <c r="F1093" s="19" t="str">
        <f aca="false">"Q"&amp;ROUNDUP(D1093/3,0)</f>
        <v>Q4</v>
      </c>
      <c r="G1093" s="30" t="str">
        <f aca="false">INDEX(Lists!$N$2:$N$8,MATCH(WEEKDAY(B1093,2),Lists!$M$2:$M$8,0))</f>
        <v>الأحد</v>
      </c>
      <c r="H1093" s="30" t="s">
        <v>46</v>
      </c>
      <c r="I1093" s="19" t="str">
        <f aca="false">INDEX(Lists!$B$2:$B$6,MATCH(H1093,Lists!$A$2:$A$6,0))</f>
        <v>المنطقة الوسطى</v>
      </c>
      <c r="J1093" s="30" t="s">
        <v>111</v>
      </c>
      <c r="K1093" s="30" t="s">
        <v>108</v>
      </c>
      <c r="L1093" s="31" t="n">
        <v>489</v>
      </c>
      <c r="M1093" s="19" t="n">
        <v>1</v>
      </c>
      <c r="N1093" s="32" t="n">
        <v>0</v>
      </c>
      <c r="O1093" s="30" t="s">
        <v>52</v>
      </c>
      <c r="P1093" s="30" t="s">
        <v>47</v>
      </c>
      <c r="Q1093" s="30" t="s">
        <v>96</v>
      </c>
      <c r="R1093" s="25" t="n">
        <f aca="false">L1093*M1093*(1-N1093)</f>
        <v>489</v>
      </c>
    </row>
    <row r="1094" customFormat="false" ht="15" hidden="false" customHeight="false" outlineLevel="0" collapsed="false">
      <c r="A1094" s="30" t="s">
        <v>1265</v>
      </c>
      <c r="B1094" s="44" t="n">
        <v>45648</v>
      </c>
      <c r="C1094" s="19" t="n">
        <f aca="false">YEAR(B1094)</f>
        <v>2024</v>
      </c>
      <c r="D1094" s="19" t="n">
        <f aca="false">MONTH(B1094)</f>
        <v>12</v>
      </c>
      <c r="E1094" s="30" t="str">
        <f aca="false">INDEX(Lists!$K$2:$K$13,MATCH(D1094,Lists!$J$2:$J$13,0))</f>
        <v>ديسمبر</v>
      </c>
      <c r="F1094" s="19" t="str">
        <f aca="false">"Q"&amp;ROUNDUP(D1094/3,0)</f>
        <v>Q4</v>
      </c>
      <c r="G1094" s="30" t="str">
        <f aca="false">INDEX(Lists!$N$2:$N$8,MATCH(WEEKDAY(B1094,2),Lists!$M$2:$M$8,0))</f>
        <v>الأحد</v>
      </c>
      <c r="H1094" s="30" t="s">
        <v>46</v>
      </c>
      <c r="I1094" s="19" t="str">
        <f aca="false">INDEX(Lists!$B$2:$B$6,MATCH(H1094,Lists!$A$2:$A$6,0))</f>
        <v>المنطقة الوسطى</v>
      </c>
      <c r="J1094" s="30" t="s">
        <v>109</v>
      </c>
      <c r="K1094" s="30" t="s">
        <v>93</v>
      </c>
      <c r="L1094" s="31" t="n">
        <v>169</v>
      </c>
      <c r="M1094" s="19" t="n">
        <v>1</v>
      </c>
      <c r="N1094" s="32" t="n">
        <v>0.05</v>
      </c>
      <c r="O1094" s="30" t="s">
        <v>55</v>
      </c>
      <c r="P1094" s="30" t="s">
        <v>51</v>
      </c>
      <c r="Q1094" s="30" t="s">
        <v>81</v>
      </c>
      <c r="R1094" s="25" t="n">
        <f aca="false">L1094*M1094*(1-N1094)</f>
        <v>160.55</v>
      </c>
    </row>
    <row r="1095" customFormat="false" ht="15" hidden="false" customHeight="false" outlineLevel="0" collapsed="false">
      <c r="A1095" s="30" t="s">
        <v>1266</v>
      </c>
      <c r="B1095" s="44" t="n">
        <v>45648</v>
      </c>
      <c r="C1095" s="19" t="n">
        <f aca="false">YEAR(B1095)</f>
        <v>2024</v>
      </c>
      <c r="D1095" s="19" t="n">
        <f aca="false">MONTH(B1095)</f>
        <v>12</v>
      </c>
      <c r="E1095" s="30" t="str">
        <f aca="false">INDEX(Lists!$K$2:$K$13,MATCH(D1095,Lists!$J$2:$J$13,0))</f>
        <v>ديسمبر</v>
      </c>
      <c r="F1095" s="19" t="str">
        <f aca="false">"Q"&amp;ROUNDUP(D1095/3,0)</f>
        <v>Q4</v>
      </c>
      <c r="G1095" s="30" t="str">
        <f aca="false">INDEX(Lists!$N$2:$N$8,MATCH(WEEKDAY(B1095,2),Lists!$M$2:$M$8,0))</f>
        <v>الأحد</v>
      </c>
      <c r="H1095" s="30" t="s">
        <v>50</v>
      </c>
      <c r="I1095" s="19" t="str">
        <f aca="false">INDEX(Lists!$B$2:$B$6,MATCH(H1095,Lists!$A$2:$A$6,0))</f>
        <v>المنطقة الغربية</v>
      </c>
      <c r="J1095" s="30" t="s">
        <v>105</v>
      </c>
      <c r="K1095" s="30" t="s">
        <v>82</v>
      </c>
      <c r="L1095" s="31" t="n">
        <v>3409</v>
      </c>
      <c r="M1095" s="19" t="n">
        <v>4</v>
      </c>
      <c r="N1095" s="32" t="n">
        <v>0</v>
      </c>
      <c r="O1095" s="30" t="s">
        <v>48</v>
      </c>
      <c r="P1095" s="30" t="s">
        <v>51</v>
      </c>
      <c r="Q1095" s="30" t="s">
        <v>78</v>
      </c>
      <c r="R1095" s="25" t="n">
        <f aca="false">L1095*M1095*(1-N1095)</f>
        <v>13636</v>
      </c>
    </row>
    <row r="1096" customFormat="false" ht="15" hidden="false" customHeight="false" outlineLevel="0" collapsed="false">
      <c r="A1096" s="30" t="s">
        <v>1267</v>
      </c>
      <c r="B1096" s="44" t="n">
        <v>45649</v>
      </c>
      <c r="C1096" s="19" t="n">
        <f aca="false">YEAR(B1096)</f>
        <v>2024</v>
      </c>
      <c r="D1096" s="19" t="n">
        <f aca="false">MONTH(B1096)</f>
        <v>12</v>
      </c>
      <c r="E1096" s="30" t="str">
        <f aca="false">INDEX(Lists!$K$2:$K$13,MATCH(D1096,Lists!$J$2:$J$13,0))</f>
        <v>ديسمبر</v>
      </c>
      <c r="F1096" s="19" t="str">
        <f aca="false">"Q"&amp;ROUNDUP(D1096/3,0)</f>
        <v>Q4</v>
      </c>
      <c r="G1096" s="30" t="str">
        <f aca="false">INDEX(Lists!$N$2:$N$8,MATCH(WEEKDAY(B1096,2),Lists!$M$2:$M$8,0))</f>
        <v>الإثنين</v>
      </c>
      <c r="H1096" s="30" t="s">
        <v>50</v>
      </c>
      <c r="I1096" s="19" t="str">
        <f aca="false">INDEX(Lists!$B$2:$B$6,MATCH(H1096,Lists!$A$2:$A$6,0))</f>
        <v>المنطقة الغربية</v>
      </c>
      <c r="J1096" s="30" t="s">
        <v>109</v>
      </c>
      <c r="K1096" s="30" t="s">
        <v>192</v>
      </c>
      <c r="L1096" s="31" t="n">
        <v>89</v>
      </c>
      <c r="M1096" s="19" t="n">
        <v>1</v>
      </c>
      <c r="N1096" s="32" t="n">
        <v>0</v>
      </c>
      <c r="O1096" s="30" t="s">
        <v>52</v>
      </c>
      <c r="P1096" s="30" t="s">
        <v>47</v>
      </c>
      <c r="Q1096" s="30" t="s">
        <v>86</v>
      </c>
      <c r="R1096" s="25" t="n">
        <f aca="false">L1096*M1096*(1-N1096)</f>
        <v>89</v>
      </c>
    </row>
    <row r="1097" customFormat="false" ht="15" hidden="false" customHeight="false" outlineLevel="0" collapsed="false">
      <c r="A1097" s="30" t="s">
        <v>1268</v>
      </c>
      <c r="B1097" s="44" t="n">
        <v>45650</v>
      </c>
      <c r="C1097" s="19" t="n">
        <f aca="false">YEAR(B1097)</f>
        <v>2024</v>
      </c>
      <c r="D1097" s="19" t="n">
        <f aca="false">MONTH(B1097)</f>
        <v>12</v>
      </c>
      <c r="E1097" s="30" t="str">
        <f aca="false">INDEX(Lists!$K$2:$K$13,MATCH(D1097,Lists!$J$2:$J$13,0))</f>
        <v>ديسمبر</v>
      </c>
      <c r="F1097" s="19" t="str">
        <f aca="false">"Q"&amp;ROUNDUP(D1097/3,0)</f>
        <v>Q4</v>
      </c>
      <c r="G1097" s="30" t="str">
        <f aca="false">INDEX(Lists!$N$2:$N$8,MATCH(WEEKDAY(B1097,2),Lists!$M$2:$M$8,0))</f>
        <v>الثلاثاء</v>
      </c>
      <c r="H1097" s="30" t="s">
        <v>50</v>
      </c>
      <c r="I1097" s="19" t="str">
        <f aca="false">INDEX(Lists!$B$2:$B$6,MATCH(H1097,Lists!$A$2:$A$6,0))</f>
        <v>المنطقة الغربية</v>
      </c>
      <c r="J1097" s="30" t="s">
        <v>107</v>
      </c>
      <c r="K1097" s="30" t="s">
        <v>184</v>
      </c>
      <c r="L1097" s="31" t="n">
        <v>3759</v>
      </c>
      <c r="M1097" s="19" t="n">
        <v>1</v>
      </c>
      <c r="N1097" s="32" t="n">
        <v>0.15</v>
      </c>
      <c r="O1097" s="30" t="s">
        <v>52</v>
      </c>
      <c r="P1097" s="30" t="s">
        <v>47</v>
      </c>
      <c r="Q1097" s="30" t="s">
        <v>78</v>
      </c>
      <c r="R1097" s="25" t="n">
        <f aca="false">L1097*M1097*(1-N1097)</f>
        <v>3195.15</v>
      </c>
    </row>
    <row r="1098" customFormat="false" ht="15" hidden="false" customHeight="false" outlineLevel="0" collapsed="false">
      <c r="A1098" s="30" t="s">
        <v>1269</v>
      </c>
      <c r="B1098" s="44" t="n">
        <v>45650</v>
      </c>
      <c r="C1098" s="19" t="n">
        <f aca="false">YEAR(B1098)</f>
        <v>2024</v>
      </c>
      <c r="D1098" s="19" t="n">
        <f aca="false">MONTH(B1098)</f>
        <v>12</v>
      </c>
      <c r="E1098" s="30" t="str">
        <f aca="false">INDEX(Lists!$K$2:$K$13,MATCH(D1098,Lists!$J$2:$J$13,0))</f>
        <v>ديسمبر</v>
      </c>
      <c r="F1098" s="19" t="str">
        <f aca="false">"Q"&amp;ROUNDUP(D1098/3,0)</f>
        <v>Q4</v>
      </c>
      <c r="G1098" s="30" t="str">
        <f aca="false">INDEX(Lists!$N$2:$N$8,MATCH(WEEKDAY(B1098,2),Lists!$M$2:$M$8,0))</f>
        <v>الثلاثاء</v>
      </c>
      <c r="H1098" s="30" t="s">
        <v>60</v>
      </c>
      <c r="I1098" s="19" t="str">
        <f aca="false">INDEX(Lists!$B$2:$B$6,MATCH(H1098,Lists!$A$2:$A$6,0))</f>
        <v>المنطقة الغربية</v>
      </c>
      <c r="J1098" s="30" t="s">
        <v>105</v>
      </c>
      <c r="K1098" s="30" t="s">
        <v>82</v>
      </c>
      <c r="L1098" s="31" t="n">
        <v>3799</v>
      </c>
      <c r="M1098" s="19" t="n">
        <v>1</v>
      </c>
      <c r="N1098" s="32" t="n">
        <v>0.05</v>
      </c>
      <c r="O1098" s="30" t="s">
        <v>48</v>
      </c>
      <c r="P1098" s="30" t="s">
        <v>47</v>
      </c>
      <c r="Q1098" s="30" t="s">
        <v>81</v>
      </c>
      <c r="R1098" s="25" t="n">
        <f aca="false">L1098*M1098*(1-N1098)</f>
        <v>3609.05</v>
      </c>
    </row>
    <row r="1099" customFormat="false" ht="15" hidden="false" customHeight="false" outlineLevel="0" collapsed="false">
      <c r="A1099" s="30" t="s">
        <v>1270</v>
      </c>
      <c r="B1099" s="44" t="n">
        <v>45650</v>
      </c>
      <c r="C1099" s="19" t="n">
        <f aca="false">YEAR(B1099)</f>
        <v>2024</v>
      </c>
      <c r="D1099" s="19" t="n">
        <f aca="false">MONTH(B1099)</f>
        <v>12</v>
      </c>
      <c r="E1099" s="30" t="str">
        <f aca="false">INDEX(Lists!$K$2:$K$13,MATCH(D1099,Lists!$J$2:$J$13,0))</f>
        <v>ديسمبر</v>
      </c>
      <c r="F1099" s="19" t="str">
        <f aca="false">"Q"&amp;ROUNDUP(D1099/3,0)</f>
        <v>Q4</v>
      </c>
      <c r="G1099" s="30" t="str">
        <f aca="false">INDEX(Lists!$N$2:$N$8,MATCH(WEEKDAY(B1099,2),Lists!$M$2:$M$8,0))</f>
        <v>الثلاثاء</v>
      </c>
      <c r="H1099" s="30" t="s">
        <v>46</v>
      </c>
      <c r="I1099" s="19" t="str">
        <f aca="false">INDEX(Lists!$B$2:$B$6,MATCH(H1099,Lists!$A$2:$A$6,0))</f>
        <v>المنطقة الوسطى</v>
      </c>
      <c r="J1099" s="30" t="s">
        <v>105</v>
      </c>
      <c r="K1099" s="30" t="s">
        <v>179</v>
      </c>
      <c r="L1099" s="31" t="n">
        <v>2399</v>
      </c>
      <c r="M1099" s="19" t="n">
        <v>2</v>
      </c>
      <c r="N1099" s="32" t="n">
        <v>0.15</v>
      </c>
      <c r="O1099" s="30" t="s">
        <v>52</v>
      </c>
      <c r="P1099" s="30" t="s">
        <v>47</v>
      </c>
      <c r="Q1099" s="30" t="s">
        <v>84</v>
      </c>
      <c r="R1099" s="25" t="n">
        <f aca="false">L1099*M1099*(1-N1099)</f>
        <v>4078.3</v>
      </c>
    </row>
    <row r="1100" customFormat="false" ht="15" hidden="false" customHeight="false" outlineLevel="0" collapsed="false">
      <c r="A1100" s="30" t="s">
        <v>1271</v>
      </c>
      <c r="B1100" s="44" t="n">
        <v>45651</v>
      </c>
      <c r="C1100" s="19" t="n">
        <f aca="false">YEAR(B1100)</f>
        <v>2024</v>
      </c>
      <c r="D1100" s="19" t="n">
        <f aca="false">MONTH(B1100)</f>
        <v>12</v>
      </c>
      <c r="E1100" s="30" t="str">
        <f aca="false">INDEX(Lists!$K$2:$K$13,MATCH(D1100,Lists!$J$2:$J$13,0))</f>
        <v>ديسمبر</v>
      </c>
      <c r="F1100" s="19" t="str">
        <f aca="false">"Q"&amp;ROUNDUP(D1100/3,0)</f>
        <v>Q4</v>
      </c>
      <c r="G1100" s="30" t="str">
        <f aca="false">INDEX(Lists!$N$2:$N$8,MATCH(WEEKDAY(B1100,2),Lists!$M$2:$M$8,0))</f>
        <v>الأربعاء</v>
      </c>
      <c r="H1100" s="30" t="s">
        <v>50</v>
      </c>
      <c r="I1100" s="19" t="str">
        <f aca="false">INDEX(Lists!$B$2:$B$6,MATCH(H1100,Lists!$A$2:$A$6,0))</f>
        <v>المنطقة الغربية</v>
      </c>
      <c r="J1100" s="30" t="s">
        <v>107</v>
      </c>
      <c r="K1100" s="30" t="s">
        <v>272</v>
      </c>
      <c r="L1100" s="31" t="n">
        <v>6089</v>
      </c>
      <c r="M1100" s="19" t="n">
        <v>1</v>
      </c>
      <c r="N1100" s="32" t="n">
        <v>0.05</v>
      </c>
      <c r="O1100" s="30" t="s">
        <v>48</v>
      </c>
      <c r="P1100" s="30" t="s">
        <v>47</v>
      </c>
      <c r="Q1100" s="30" t="s">
        <v>99</v>
      </c>
      <c r="R1100" s="25" t="n">
        <f aca="false">L1100*M1100*(1-N1100)</f>
        <v>5784.55</v>
      </c>
    </row>
    <row r="1101" customFormat="false" ht="15" hidden="false" customHeight="false" outlineLevel="0" collapsed="false">
      <c r="A1101" s="30" t="s">
        <v>1272</v>
      </c>
      <c r="B1101" s="44" t="n">
        <v>45651</v>
      </c>
      <c r="C1101" s="19" t="n">
        <f aca="false">YEAR(B1101)</f>
        <v>2024</v>
      </c>
      <c r="D1101" s="19" t="n">
        <f aca="false">MONTH(B1101)</f>
        <v>12</v>
      </c>
      <c r="E1101" s="30" t="str">
        <f aca="false">INDEX(Lists!$K$2:$K$13,MATCH(D1101,Lists!$J$2:$J$13,0))</f>
        <v>ديسمبر</v>
      </c>
      <c r="F1101" s="19" t="str">
        <f aca="false">"Q"&amp;ROUNDUP(D1101/3,0)</f>
        <v>Q4</v>
      </c>
      <c r="G1101" s="30" t="str">
        <f aca="false">INDEX(Lists!$N$2:$N$8,MATCH(WEEKDAY(B1101,2),Lists!$M$2:$M$8,0))</f>
        <v>الأربعاء</v>
      </c>
      <c r="H1101" s="30" t="s">
        <v>50</v>
      </c>
      <c r="I1101" s="19" t="str">
        <f aca="false">INDEX(Lists!$B$2:$B$6,MATCH(H1101,Lists!$A$2:$A$6,0))</f>
        <v>المنطقة الغربية</v>
      </c>
      <c r="J1101" s="30" t="s">
        <v>105</v>
      </c>
      <c r="K1101" s="30" t="s">
        <v>179</v>
      </c>
      <c r="L1101" s="31" t="n">
        <v>1319</v>
      </c>
      <c r="M1101" s="19" t="n">
        <v>1</v>
      </c>
      <c r="N1101" s="32" t="n">
        <v>0</v>
      </c>
      <c r="O1101" s="30" t="s">
        <v>58</v>
      </c>
      <c r="P1101" s="30" t="s">
        <v>47</v>
      </c>
      <c r="Q1101" s="30" t="s">
        <v>94</v>
      </c>
      <c r="R1101" s="25" t="n">
        <f aca="false">L1101*M1101*(1-N1101)</f>
        <v>1319</v>
      </c>
    </row>
    <row r="1102" customFormat="false" ht="15" hidden="false" customHeight="false" outlineLevel="0" collapsed="false">
      <c r="A1102" s="30" t="s">
        <v>1273</v>
      </c>
      <c r="B1102" s="44" t="n">
        <v>45651</v>
      </c>
      <c r="C1102" s="19" t="n">
        <f aca="false">YEAR(B1102)</f>
        <v>2024</v>
      </c>
      <c r="D1102" s="19" t="n">
        <f aca="false">MONTH(B1102)</f>
        <v>12</v>
      </c>
      <c r="E1102" s="30" t="str">
        <f aca="false">INDEX(Lists!$K$2:$K$13,MATCH(D1102,Lists!$J$2:$J$13,0))</f>
        <v>ديسمبر</v>
      </c>
      <c r="F1102" s="19" t="str">
        <f aca="false">"Q"&amp;ROUNDUP(D1102/3,0)</f>
        <v>Q4</v>
      </c>
      <c r="G1102" s="30" t="str">
        <f aca="false">INDEX(Lists!$N$2:$N$8,MATCH(WEEKDAY(B1102,2),Lists!$M$2:$M$8,0))</f>
        <v>الأربعاء</v>
      </c>
      <c r="H1102" s="30" t="s">
        <v>46</v>
      </c>
      <c r="I1102" s="19" t="str">
        <f aca="false">INDEX(Lists!$B$2:$B$6,MATCH(H1102,Lists!$A$2:$A$6,0))</f>
        <v>المنطقة الوسطى</v>
      </c>
      <c r="J1102" s="30" t="s">
        <v>105</v>
      </c>
      <c r="K1102" s="30" t="s">
        <v>79</v>
      </c>
      <c r="L1102" s="31" t="n">
        <v>2999</v>
      </c>
      <c r="M1102" s="19" t="n">
        <v>1</v>
      </c>
      <c r="N1102" s="32" t="n">
        <v>0.05</v>
      </c>
      <c r="O1102" s="30" t="s">
        <v>52</v>
      </c>
      <c r="P1102" s="30" t="s">
        <v>47</v>
      </c>
      <c r="Q1102" s="30" t="s">
        <v>86</v>
      </c>
      <c r="R1102" s="25" t="n">
        <f aca="false">L1102*M1102*(1-N1102)</f>
        <v>2849.05</v>
      </c>
    </row>
    <row r="1103" customFormat="false" ht="15" hidden="false" customHeight="false" outlineLevel="0" collapsed="false">
      <c r="A1103" s="30" t="s">
        <v>1274</v>
      </c>
      <c r="B1103" s="44" t="n">
        <v>45652</v>
      </c>
      <c r="C1103" s="19" t="n">
        <f aca="false">YEAR(B1103)</f>
        <v>2024</v>
      </c>
      <c r="D1103" s="19" t="n">
        <f aca="false">MONTH(B1103)</f>
        <v>12</v>
      </c>
      <c r="E1103" s="30" t="str">
        <f aca="false">INDEX(Lists!$K$2:$K$13,MATCH(D1103,Lists!$J$2:$J$13,0))</f>
        <v>ديسمبر</v>
      </c>
      <c r="F1103" s="19" t="str">
        <f aca="false">"Q"&amp;ROUNDUP(D1103/3,0)</f>
        <v>Q4</v>
      </c>
      <c r="G1103" s="30" t="str">
        <f aca="false">INDEX(Lists!$N$2:$N$8,MATCH(WEEKDAY(B1103,2),Lists!$M$2:$M$8,0))</f>
        <v>الخميس</v>
      </c>
      <c r="H1103" s="30" t="s">
        <v>46</v>
      </c>
      <c r="I1103" s="19" t="str">
        <f aca="false">INDEX(Lists!$B$2:$B$6,MATCH(H1103,Lists!$A$2:$A$6,0))</f>
        <v>المنطقة الوسطى</v>
      </c>
      <c r="J1103" s="30" t="s">
        <v>107</v>
      </c>
      <c r="K1103" s="30" t="s">
        <v>184</v>
      </c>
      <c r="L1103" s="31" t="n">
        <v>7319</v>
      </c>
      <c r="M1103" s="19" t="n">
        <v>6</v>
      </c>
      <c r="N1103" s="32" t="n">
        <v>0</v>
      </c>
      <c r="O1103" s="30" t="s">
        <v>48</v>
      </c>
      <c r="P1103" s="30" t="s">
        <v>51</v>
      </c>
      <c r="Q1103" s="30" t="s">
        <v>89</v>
      </c>
      <c r="R1103" s="25" t="n">
        <f aca="false">L1103*M1103*(1-N1103)</f>
        <v>43914</v>
      </c>
    </row>
    <row r="1104" customFormat="false" ht="15" hidden="false" customHeight="false" outlineLevel="0" collapsed="false">
      <c r="A1104" s="30" t="s">
        <v>1275</v>
      </c>
      <c r="B1104" s="44" t="n">
        <v>45653</v>
      </c>
      <c r="C1104" s="19" t="n">
        <f aca="false">YEAR(B1104)</f>
        <v>2024</v>
      </c>
      <c r="D1104" s="19" t="n">
        <f aca="false">MONTH(B1104)</f>
        <v>12</v>
      </c>
      <c r="E1104" s="30" t="str">
        <f aca="false">INDEX(Lists!$K$2:$K$13,MATCH(D1104,Lists!$J$2:$J$13,0))</f>
        <v>ديسمبر</v>
      </c>
      <c r="F1104" s="19" t="str">
        <f aca="false">"Q"&amp;ROUNDUP(D1104/3,0)</f>
        <v>Q4</v>
      </c>
      <c r="G1104" s="30" t="str">
        <f aca="false">INDEX(Lists!$N$2:$N$8,MATCH(WEEKDAY(B1104,2),Lists!$M$2:$M$8,0))</f>
        <v>الجمعة</v>
      </c>
      <c r="H1104" s="30" t="s">
        <v>57</v>
      </c>
      <c r="I1104" s="19" t="str">
        <f aca="false">INDEX(Lists!$B$2:$B$6,MATCH(H1104,Lists!$A$2:$A$6,0))</f>
        <v>المنطقة الغربية</v>
      </c>
      <c r="J1104" s="30" t="s">
        <v>105</v>
      </c>
      <c r="K1104" s="30" t="s">
        <v>90</v>
      </c>
      <c r="L1104" s="31" t="n">
        <v>4209</v>
      </c>
      <c r="M1104" s="19" t="n">
        <v>3</v>
      </c>
      <c r="N1104" s="32" t="n">
        <v>0.05</v>
      </c>
      <c r="O1104" s="30" t="s">
        <v>48</v>
      </c>
      <c r="P1104" s="30" t="s">
        <v>51</v>
      </c>
      <c r="Q1104" s="30" t="s">
        <v>86</v>
      </c>
      <c r="R1104" s="25" t="n">
        <f aca="false">L1104*M1104*(1-N1104)</f>
        <v>11995.65</v>
      </c>
    </row>
    <row r="1105" customFormat="false" ht="15" hidden="false" customHeight="false" outlineLevel="0" collapsed="false">
      <c r="A1105" s="30" t="s">
        <v>1276</v>
      </c>
      <c r="B1105" s="44" t="n">
        <v>45653</v>
      </c>
      <c r="C1105" s="19" t="n">
        <f aca="false">YEAR(B1105)</f>
        <v>2024</v>
      </c>
      <c r="D1105" s="19" t="n">
        <f aca="false">MONTH(B1105)</f>
        <v>12</v>
      </c>
      <c r="E1105" s="30" t="str">
        <f aca="false">INDEX(Lists!$K$2:$K$13,MATCH(D1105,Lists!$J$2:$J$13,0))</f>
        <v>ديسمبر</v>
      </c>
      <c r="F1105" s="19" t="str">
        <f aca="false">"Q"&amp;ROUNDUP(D1105/3,0)</f>
        <v>Q4</v>
      </c>
      <c r="G1105" s="30" t="str">
        <f aca="false">INDEX(Lists!$N$2:$N$8,MATCH(WEEKDAY(B1105,2),Lists!$M$2:$M$8,0))</f>
        <v>الجمعة</v>
      </c>
      <c r="H1105" s="30" t="s">
        <v>60</v>
      </c>
      <c r="I1105" s="19" t="str">
        <f aca="false">INDEX(Lists!$B$2:$B$6,MATCH(H1105,Lists!$A$2:$A$6,0))</f>
        <v>المنطقة الغربية</v>
      </c>
      <c r="J1105" s="30" t="s">
        <v>113</v>
      </c>
      <c r="K1105" s="30" t="s">
        <v>100</v>
      </c>
      <c r="L1105" s="31" t="n">
        <v>809</v>
      </c>
      <c r="M1105" s="19" t="n">
        <v>1</v>
      </c>
      <c r="N1105" s="32" t="n">
        <v>0.15</v>
      </c>
      <c r="O1105" s="30" t="s">
        <v>48</v>
      </c>
      <c r="P1105" s="30" t="s">
        <v>47</v>
      </c>
      <c r="Q1105" s="30" t="s">
        <v>81</v>
      </c>
      <c r="R1105" s="25" t="n">
        <f aca="false">L1105*M1105*(1-N1105)</f>
        <v>687.65</v>
      </c>
    </row>
    <row r="1106" customFormat="false" ht="15" hidden="false" customHeight="false" outlineLevel="0" collapsed="false">
      <c r="A1106" s="30" t="s">
        <v>1277</v>
      </c>
      <c r="B1106" s="44" t="n">
        <v>45653</v>
      </c>
      <c r="C1106" s="19" t="n">
        <f aca="false">YEAR(B1106)</f>
        <v>2024</v>
      </c>
      <c r="D1106" s="19" t="n">
        <f aca="false">MONTH(B1106)</f>
        <v>12</v>
      </c>
      <c r="E1106" s="30" t="str">
        <f aca="false">INDEX(Lists!$K$2:$K$13,MATCH(D1106,Lists!$J$2:$J$13,0))</f>
        <v>ديسمبر</v>
      </c>
      <c r="F1106" s="19" t="str">
        <f aca="false">"Q"&amp;ROUNDUP(D1106/3,0)</f>
        <v>Q4</v>
      </c>
      <c r="G1106" s="30" t="str">
        <f aca="false">INDEX(Lists!$N$2:$N$8,MATCH(WEEKDAY(B1106,2),Lists!$M$2:$M$8,0))</f>
        <v>الجمعة</v>
      </c>
      <c r="H1106" s="30" t="s">
        <v>57</v>
      </c>
      <c r="I1106" s="19" t="str">
        <f aca="false">INDEX(Lists!$B$2:$B$6,MATCH(H1106,Lists!$A$2:$A$6,0))</f>
        <v>المنطقة الغربية</v>
      </c>
      <c r="J1106" s="30" t="s">
        <v>105</v>
      </c>
      <c r="K1106" s="30" t="s">
        <v>179</v>
      </c>
      <c r="L1106" s="31" t="n">
        <v>2789</v>
      </c>
      <c r="M1106" s="19" t="n">
        <v>6</v>
      </c>
      <c r="N1106" s="32" t="n">
        <v>0</v>
      </c>
      <c r="O1106" s="30" t="s">
        <v>55</v>
      </c>
      <c r="P1106" s="30" t="s">
        <v>51</v>
      </c>
      <c r="Q1106" s="30" t="s">
        <v>94</v>
      </c>
      <c r="R1106" s="25" t="n">
        <f aca="false">L1106*M1106*(1-N1106)</f>
        <v>16734</v>
      </c>
    </row>
    <row r="1107" customFormat="false" ht="15" hidden="false" customHeight="false" outlineLevel="0" collapsed="false">
      <c r="A1107" s="30" t="s">
        <v>1278</v>
      </c>
      <c r="B1107" s="44" t="n">
        <v>45653</v>
      </c>
      <c r="C1107" s="19" t="n">
        <f aca="false">YEAR(B1107)</f>
        <v>2024</v>
      </c>
      <c r="D1107" s="19" t="n">
        <f aca="false">MONTH(B1107)</f>
        <v>12</v>
      </c>
      <c r="E1107" s="30" t="str">
        <f aca="false">INDEX(Lists!$K$2:$K$13,MATCH(D1107,Lists!$J$2:$J$13,0))</f>
        <v>ديسمبر</v>
      </c>
      <c r="F1107" s="19" t="str">
        <f aca="false">"Q"&amp;ROUNDUP(D1107/3,0)</f>
        <v>Q4</v>
      </c>
      <c r="G1107" s="30" t="str">
        <f aca="false">INDEX(Lists!$N$2:$N$8,MATCH(WEEKDAY(B1107,2),Lists!$M$2:$M$8,0))</f>
        <v>الجمعة</v>
      </c>
      <c r="H1107" s="30" t="s">
        <v>50</v>
      </c>
      <c r="I1107" s="19" t="str">
        <f aca="false">INDEX(Lists!$B$2:$B$6,MATCH(H1107,Lists!$A$2:$A$6,0))</f>
        <v>المنطقة الغربية</v>
      </c>
      <c r="J1107" s="30" t="s">
        <v>107</v>
      </c>
      <c r="K1107" s="30" t="s">
        <v>114</v>
      </c>
      <c r="L1107" s="31" t="n">
        <v>6429</v>
      </c>
      <c r="M1107" s="19" t="n">
        <v>1</v>
      </c>
      <c r="N1107" s="32" t="n">
        <v>0.1</v>
      </c>
      <c r="O1107" s="30" t="s">
        <v>48</v>
      </c>
      <c r="P1107" s="30" t="s">
        <v>51</v>
      </c>
      <c r="Q1107" s="30" t="s">
        <v>86</v>
      </c>
      <c r="R1107" s="25" t="n">
        <f aca="false">L1107*M1107*(1-N1107)</f>
        <v>5786.1</v>
      </c>
    </row>
    <row r="1108" customFormat="false" ht="15" hidden="false" customHeight="false" outlineLevel="0" collapsed="false">
      <c r="A1108" s="30" t="s">
        <v>1279</v>
      </c>
      <c r="B1108" s="44" t="n">
        <v>45654</v>
      </c>
      <c r="C1108" s="19" t="n">
        <f aca="false">YEAR(B1108)</f>
        <v>2024</v>
      </c>
      <c r="D1108" s="19" t="n">
        <f aca="false">MONTH(B1108)</f>
        <v>12</v>
      </c>
      <c r="E1108" s="30" t="str">
        <f aca="false">INDEX(Lists!$K$2:$K$13,MATCH(D1108,Lists!$J$2:$J$13,0))</f>
        <v>ديسمبر</v>
      </c>
      <c r="F1108" s="19" t="str">
        <f aca="false">"Q"&amp;ROUNDUP(D1108/3,0)</f>
        <v>Q4</v>
      </c>
      <c r="G1108" s="30" t="str">
        <f aca="false">INDEX(Lists!$N$2:$N$8,MATCH(WEEKDAY(B1108,2),Lists!$M$2:$M$8,0))</f>
        <v>السبت</v>
      </c>
      <c r="H1108" s="30" t="s">
        <v>46</v>
      </c>
      <c r="I1108" s="19" t="str">
        <f aca="false">INDEX(Lists!$B$2:$B$6,MATCH(H1108,Lists!$A$2:$A$6,0))</f>
        <v>المنطقة الوسطى</v>
      </c>
      <c r="J1108" s="30" t="s">
        <v>109</v>
      </c>
      <c r="K1108" s="30" t="s">
        <v>192</v>
      </c>
      <c r="L1108" s="31" t="n">
        <v>309</v>
      </c>
      <c r="M1108" s="19" t="n">
        <v>1</v>
      </c>
      <c r="N1108" s="32" t="n">
        <v>0.1</v>
      </c>
      <c r="O1108" s="30" t="s">
        <v>48</v>
      </c>
      <c r="P1108" s="30" t="s">
        <v>47</v>
      </c>
      <c r="Q1108" s="30" t="s">
        <v>94</v>
      </c>
      <c r="R1108" s="25" t="n">
        <f aca="false">L1108*M1108*(1-N1108)</f>
        <v>278.1</v>
      </c>
    </row>
    <row r="1109" customFormat="false" ht="15" hidden="false" customHeight="false" outlineLevel="0" collapsed="false">
      <c r="A1109" s="30" t="s">
        <v>1280</v>
      </c>
      <c r="B1109" s="44" t="n">
        <v>45654</v>
      </c>
      <c r="C1109" s="19" t="n">
        <f aca="false">YEAR(B1109)</f>
        <v>2024</v>
      </c>
      <c r="D1109" s="19" t="n">
        <f aca="false">MONTH(B1109)</f>
        <v>12</v>
      </c>
      <c r="E1109" s="30" t="str">
        <f aca="false">INDEX(Lists!$K$2:$K$13,MATCH(D1109,Lists!$J$2:$J$13,0))</f>
        <v>ديسمبر</v>
      </c>
      <c r="F1109" s="19" t="str">
        <f aca="false">"Q"&amp;ROUNDUP(D1109/3,0)</f>
        <v>Q4</v>
      </c>
      <c r="G1109" s="30" t="str">
        <f aca="false">INDEX(Lists!$N$2:$N$8,MATCH(WEEKDAY(B1109,2),Lists!$M$2:$M$8,0))</f>
        <v>السبت</v>
      </c>
      <c r="H1109" s="30" t="s">
        <v>60</v>
      </c>
      <c r="I1109" s="19" t="str">
        <f aca="false">INDEX(Lists!$B$2:$B$6,MATCH(H1109,Lists!$A$2:$A$6,0))</f>
        <v>المنطقة الغربية</v>
      </c>
      <c r="J1109" s="30" t="s">
        <v>107</v>
      </c>
      <c r="K1109" s="30" t="s">
        <v>114</v>
      </c>
      <c r="L1109" s="31" t="n">
        <v>2909</v>
      </c>
      <c r="M1109" s="19" t="n">
        <v>2</v>
      </c>
      <c r="N1109" s="32" t="n">
        <v>0</v>
      </c>
      <c r="O1109" s="30" t="s">
        <v>52</v>
      </c>
      <c r="P1109" s="30" t="s">
        <v>47</v>
      </c>
      <c r="Q1109" s="30" t="s">
        <v>92</v>
      </c>
      <c r="R1109" s="25" t="n">
        <f aca="false">L1109*M1109*(1-N1109)</f>
        <v>5818</v>
      </c>
    </row>
    <row r="1110" customFormat="false" ht="15" hidden="false" customHeight="false" outlineLevel="0" collapsed="false">
      <c r="A1110" s="30" t="s">
        <v>1281</v>
      </c>
      <c r="B1110" s="44" t="n">
        <v>45654</v>
      </c>
      <c r="C1110" s="19" t="n">
        <f aca="false">YEAR(B1110)</f>
        <v>2024</v>
      </c>
      <c r="D1110" s="19" t="n">
        <f aca="false">MONTH(B1110)</f>
        <v>12</v>
      </c>
      <c r="E1110" s="30" t="str">
        <f aca="false">INDEX(Lists!$K$2:$K$13,MATCH(D1110,Lists!$J$2:$J$13,0))</f>
        <v>ديسمبر</v>
      </c>
      <c r="F1110" s="19" t="str">
        <f aca="false">"Q"&amp;ROUNDUP(D1110/3,0)</f>
        <v>Q4</v>
      </c>
      <c r="G1110" s="30" t="str">
        <f aca="false">INDEX(Lists!$N$2:$N$8,MATCH(WEEKDAY(B1110,2),Lists!$M$2:$M$8,0))</f>
        <v>السبت</v>
      </c>
      <c r="H1110" s="30" t="s">
        <v>46</v>
      </c>
      <c r="I1110" s="19" t="str">
        <f aca="false">INDEX(Lists!$B$2:$B$6,MATCH(H1110,Lists!$A$2:$A$6,0))</f>
        <v>المنطقة الوسطى</v>
      </c>
      <c r="J1110" s="30" t="s">
        <v>109</v>
      </c>
      <c r="K1110" s="30" t="s">
        <v>93</v>
      </c>
      <c r="L1110" s="31" t="n">
        <v>159</v>
      </c>
      <c r="M1110" s="19" t="n">
        <v>2</v>
      </c>
      <c r="N1110" s="32" t="n">
        <v>0.05</v>
      </c>
      <c r="O1110" s="30" t="s">
        <v>58</v>
      </c>
      <c r="P1110" s="30" t="s">
        <v>47</v>
      </c>
      <c r="Q1110" s="30" t="s">
        <v>86</v>
      </c>
      <c r="R1110" s="25" t="n">
        <f aca="false">L1110*M1110*(1-N1110)</f>
        <v>302.1</v>
      </c>
    </row>
    <row r="1111" customFormat="false" ht="15" hidden="false" customHeight="false" outlineLevel="0" collapsed="false">
      <c r="A1111" s="30" t="s">
        <v>1282</v>
      </c>
      <c r="B1111" s="44" t="n">
        <v>45655</v>
      </c>
      <c r="C1111" s="19" t="n">
        <f aca="false">YEAR(B1111)</f>
        <v>2024</v>
      </c>
      <c r="D1111" s="19" t="n">
        <f aca="false">MONTH(B1111)</f>
        <v>12</v>
      </c>
      <c r="E1111" s="30" t="str">
        <f aca="false">INDEX(Lists!$K$2:$K$13,MATCH(D1111,Lists!$J$2:$J$13,0))</f>
        <v>ديسمبر</v>
      </c>
      <c r="F1111" s="19" t="str">
        <f aca="false">"Q"&amp;ROUNDUP(D1111/3,0)</f>
        <v>Q4</v>
      </c>
      <c r="G1111" s="30" t="str">
        <f aca="false">INDEX(Lists!$N$2:$N$8,MATCH(WEEKDAY(B1111,2),Lists!$M$2:$M$8,0))</f>
        <v>الأحد</v>
      </c>
      <c r="H1111" s="30" t="s">
        <v>60</v>
      </c>
      <c r="I1111" s="19" t="str">
        <f aca="false">INDEX(Lists!$B$2:$B$6,MATCH(H1111,Lists!$A$2:$A$6,0))</f>
        <v>المنطقة الغربية</v>
      </c>
      <c r="J1111" s="30" t="s">
        <v>109</v>
      </c>
      <c r="K1111" s="30" t="s">
        <v>171</v>
      </c>
      <c r="L1111" s="31" t="n">
        <v>299</v>
      </c>
      <c r="M1111" s="19" t="n">
        <v>1</v>
      </c>
      <c r="N1111" s="32" t="n">
        <v>0</v>
      </c>
      <c r="O1111" s="30" t="s">
        <v>55</v>
      </c>
      <c r="P1111" s="30" t="s">
        <v>47</v>
      </c>
      <c r="Q1111" s="30" t="s">
        <v>86</v>
      </c>
      <c r="R1111" s="25" t="n">
        <f aca="false">L1111*M1111*(1-N1111)</f>
        <v>299</v>
      </c>
    </row>
    <row r="1112" customFormat="false" ht="15" hidden="false" customHeight="false" outlineLevel="0" collapsed="false">
      <c r="A1112" s="30" t="s">
        <v>1283</v>
      </c>
      <c r="B1112" s="44" t="n">
        <v>45655</v>
      </c>
      <c r="C1112" s="19" t="n">
        <f aca="false">YEAR(B1112)</f>
        <v>2024</v>
      </c>
      <c r="D1112" s="19" t="n">
        <f aca="false">MONTH(B1112)</f>
        <v>12</v>
      </c>
      <c r="E1112" s="30" t="str">
        <f aca="false">INDEX(Lists!$K$2:$K$13,MATCH(D1112,Lists!$J$2:$J$13,0))</f>
        <v>ديسمبر</v>
      </c>
      <c r="F1112" s="19" t="str">
        <f aca="false">"Q"&amp;ROUNDUP(D1112/3,0)</f>
        <v>Q4</v>
      </c>
      <c r="G1112" s="30" t="str">
        <f aca="false">INDEX(Lists!$N$2:$N$8,MATCH(WEEKDAY(B1112,2),Lists!$M$2:$M$8,0))</f>
        <v>الأحد</v>
      </c>
      <c r="H1112" s="30" t="s">
        <v>46</v>
      </c>
      <c r="I1112" s="19" t="str">
        <f aca="false">INDEX(Lists!$B$2:$B$6,MATCH(H1112,Lists!$A$2:$A$6,0))</f>
        <v>المنطقة الوسطى</v>
      </c>
      <c r="J1112" s="30" t="s">
        <v>109</v>
      </c>
      <c r="K1112" s="30" t="s">
        <v>175</v>
      </c>
      <c r="L1112" s="31" t="n">
        <v>239</v>
      </c>
      <c r="M1112" s="19" t="n">
        <v>1</v>
      </c>
      <c r="N1112" s="32" t="n">
        <v>0.15</v>
      </c>
      <c r="O1112" s="30" t="s">
        <v>48</v>
      </c>
      <c r="P1112" s="30" t="s">
        <v>47</v>
      </c>
      <c r="Q1112" s="30" t="s">
        <v>96</v>
      </c>
      <c r="R1112" s="25" t="n">
        <f aca="false">L1112*M1112*(1-N1112)</f>
        <v>203.15</v>
      </c>
    </row>
    <row r="1113" customFormat="false" ht="15" hidden="false" customHeight="false" outlineLevel="0" collapsed="false">
      <c r="A1113" s="30" t="s">
        <v>1284</v>
      </c>
      <c r="B1113" s="44" t="n">
        <v>45655</v>
      </c>
      <c r="C1113" s="19" t="n">
        <f aca="false">YEAR(B1113)</f>
        <v>2024</v>
      </c>
      <c r="D1113" s="19" t="n">
        <f aca="false">MONTH(B1113)</f>
        <v>12</v>
      </c>
      <c r="E1113" s="30" t="str">
        <f aca="false">INDEX(Lists!$K$2:$K$13,MATCH(D1113,Lists!$J$2:$J$13,0))</f>
        <v>ديسمبر</v>
      </c>
      <c r="F1113" s="19" t="str">
        <f aca="false">"Q"&amp;ROUNDUP(D1113/3,0)</f>
        <v>Q4</v>
      </c>
      <c r="G1113" s="30" t="str">
        <f aca="false">INDEX(Lists!$N$2:$N$8,MATCH(WEEKDAY(B1113,2),Lists!$M$2:$M$8,0))</f>
        <v>الأحد</v>
      </c>
      <c r="H1113" s="30" t="s">
        <v>50</v>
      </c>
      <c r="I1113" s="19" t="str">
        <f aca="false">INDEX(Lists!$B$2:$B$6,MATCH(H1113,Lists!$A$2:$A$6,0))</f>
        <v>المنطقة الغربية</v>
      </c>
      <c r="J1113" s="30" t="s">
        <v>113</v>
      </c>
      <c r="K1113" s="30" t="s">
        <v>121</v>
      </c>
      <c r="L1113" s="31" t="n">
        <v>119</v>
      </c>
      <c r="M1113" s="19" t="n">
        <v>1</v>
      </c>
      <c r="N1113" s="32" t="n">
        <v>0</v>
      </c>
      <c r="O1113" s="30" t="s">
        <v>48</v>
      </c>
      <c r="P1113" s="30" t="s">
        <v>47</v>
      </c>
      <c r="Q1113" s="30" t="s">
        <v>96</v>
      </c>
      <c r="R1113" s="25" t="n">
        <f aca="false">L1113*M1113*(1-N1113)</f>
        <v>119</v>
      </c>
    </row>
    <row r="1114" customFormat="false" ht="15" hidden="false" customHeight="false" outlineLevel="0" collapsed="false">
      <c r="A1114" s="30" t="s">
        <v>1285</v>
      </c>
      <c r="B1114" s="44" t="n">
        <v>45655</v>
      </c>
      <c r="C1114" s="19" t="n">
        <f aca="false">YEAR(B1114)</f>
        <v>2024</v>
      </c>
      <c r="D1114" s="19" t="n">
        <f aca="false">MONTH(B1114)</f>
        <v>12</v>
      </c>
      <c r="E1114" s="30" t="str">
        <f aca="false">INDEX(Lists!$K$2:$K$13,MATCH(D1114,Lists!$J$2:$J$13,0))</f>
        <v>ديسمبر</v>
      </c>
      <c r="F1114" s="19" t="str">
        <f aca="false">"Q"&amp;ROUNDUP(D1114/3,0)</f>
        <v>Q4</v>
      </c>
      <c r="G1114" s="30" t="str">
        <f aca="false">INDEX(Lists!$N$2:$N$8,MATCH(WEEKDAY(B1114,2),Lists!$M$2:$M$8,0))</f>
        <v>الأحد</v>
      </c>
      <c r="H1114" s="30" t="s">
        <v>46</v>
      </c>
      <c r="I1114" s="19" t="str">
        <f aca="false">INDEX(Lists!$B$2:$B$6,MATCH(H1114,Lists!$A$2:$A$6,0))</f>
        <v>المنطقة الوسطى</v>
      </c>
      <c r="J1114" s="30" t="s">
        <v>105</v>
      </c>
      <c r="K1114" s="30" t="s">
        <v>90</v>
      </c>
      <c r="L1114" s="31" t="n">
        <v>3629</v>
      </c>
      <c r="M1114" s="19" t="n">
        <v>2</v>
      </c>
      <c r="N1114" s="32" t="n">
        <v>0</v>
      </c>
      <c r="O1114" s="30" t="s">
        <v>48</v>
      </c>
      <c r="P1114" s="30" t="s">
        <v>47</v>
      </c>
      <c r="Q1114" s="30" t="s">
        <v>81</v>
      </c>
      <c r="R1114" s="25" t="n">
        <f aca="false">L1114*M1114*(1-N1114)</f>
        <v>7258</v>
      </c>
    </row>
    <row r="1115" customFormat="false" ht="15" hidden="false" customHeight="false" outlineLevel="0" collapsed="false">
      <c r="A1115" s="30" t="s">
        <v>1286</v>
      </c>
      <c r="B1115" s="44" t="n">
        <v>45656</v>
      </c>
      <c r="C1115" s="19" t="n">
        <f aca="false">YEAR(B1115)</f>
        <v>2024</v>
      </c>
      <c r="D1115" s="19" t="n">
        <f aca="false">MONTH(B1115)</f>
        <v>12</v>
      </c>
      <c r="E1115" s="30" t="str">
        <f aca="false">INDEX(Lists!$K$2:$K$13,MATCH(D1115,Lists!$J$2:$J$13,0))</f>
        <v>ديسمبر</v>
      </c>
      <c r="F1115" s="19" t="str">
        <f aca="false">"Q"&amp;ROUNDUP(D1115/3,0)</f>
        <v>Q4</v>
      </c>
      <c r="G1115" s="30" t="str">
        <f aca="false">INDEX(Lists!$N$2:$N$8,MATCH(WEEKDAY(B1115,2),Lists!$M$2:$M$8,0))</f>
        <v>الإثنين</v>
      </c>
      <c r="H1115" s="30" t="s">
        <v>46</v>
      </c>
      <c r="I1115" s="19" t="str">
        <f aca="false">INDEX(Lists!$B$2:$B$6,MATCH(H1115,Lists!$A$2:$A$6,0))</f>
        <v>المنطقة الوسطى</v>
      </c>
      <c r="J1115" s="30" t="s">
        <v>105</v>
      </c>
      <c r="K1115" s="30" t="s">
        <v>79</v>
      </c>
      <c r="L1115" s="31" t="n">
        <v>1499</v>
      </c>
      <c r="M1115" s="19" t="n">
        <v>1</v>
      </c>
      <c r="N1115" s="32" t="n">
        <v>0.1</v>
      </c>
      <c r="O1115" s="30" t="s">
        <v>48</v>
      </c>
      <c r="P1115" s="30" t="s">
        <v>47</v>
      </c>
      <c r="Q1115" s="30" t="s">
        <v>99</v>
      </c>
      <c r="R1115" s="25" t="n">
        <f aca="false">L1115*M1115*(1-N1115)</f>
        <v>1349.1</v>
      </c>
    </row>
    <row r="1116" customFormat="false" ht="15" hidden="false" customHeight="false" outlineLevel="0" collapsed="false">
      <c r="A1116" s="30" t="s">
        <v>1287</v>
      </c>
      <c r="B1116" s="44" t="n">
        <v>45656</v>
      </c>
      <c r="C1116" s="19" t="n">
        <f aca="false">YEAR(B1116)</f>
        <v>2024</v>
      </c>
      <c r="D1116" s="19" t="n">
        <f aca="false">MONTH(B1116)</f>
        <v>12</v>
      </c>
      <c r="E1116" s="30" t="str">
        <f aca="false">INDEX(Lists!$K$2:$K$13,MATCH(D1116,Lists!$J$2:$J$13,0))</f>
        <v>ديسمبر</v>
      </c>
      <c r="F1116" s="19" t="str">
        <f aca="false">"Q"&amp;ROUNDUP(D1116/3,0)</f>
        <v>Q4</v>
      </c>
      <c r="G1116" s="30" t="str">
        <f aca="false">INDEX(Lists!$N$2:$N$8,MATCH(WEEKDAY(B1116,2),Lists!$M$2:$M$8,0))</f>
        <v>الإثنين</v>
      </c>
      <c r="H1116" s="30" t="s">
        <v>50</v>
      </c>
      <c r="I1116" s="19" t="str">
        <f aca="false">INDEX(Lists!$B$2:$B$6,MATCH(H1116,Lists!$A$2:$A$6,0))</f>
        <v>المنطقة الغربية</v>
      </c>
      <c r="J1116" s="30" t="s">
        <v>105</v>
      </c>
      <c r="K1116" s="30" t="s">
        <v>79</v>
      </c>
      <c r="L1116" s="31" t="n">
        <v>1969</v>
      </c>
      <c r="M1116" s="19" t="n">
        <v>1</v>
      </c>
      <c r="N1116" s="32" t="n">
        <v>0</v>
      </c>
      <c r="O1116" s="30" t="s">
        <v>58</v>
      </c>
      <c r="P1116" s="30" t="s">
        <v>47</v>
      </c>
      <c r="Q1116" s="30" t="s">
        <v>84</v>
      </c>
      <c r="R1116" s="25" t="n">
        <f aca="false">L1116*M1116*(1-N1116)</f>
        <v>1969</v>
      </c>
    </row>
    <row r="1117" customFormat="false" ht="15" hidden="false" customHeight="false" outlineLevel="0" collapsed="false">
      <c r="A1117" s="30" t="s">
        <v>1288</v>
      </c>
      <c r="B1117" s="44" t="n">
        <v>45657</v>
      </c>
      <c r="C1117" s="19" t="n">
        <f aca="false">YEAR(B1117)</f>
        <v>2024</v>
      </c>
      <c r="D1117" s="19" t="n">
        <f aca="false">MONTH(B1117)</f>
        <v>12</v>
      </c>
      <c r="E1117" s="30" t="str">
        <f aca="false">INDEX(Lists!$K$2:$K$13,MATCH(D1117,Lists!$J$2:$J$13,0))</f>
        <v>ديسمبر</v>
      </c>
      <c r="F1117" s="19" t="str">
        <f aca="false">"Q"&amp;ROUNDUP(D1117/3,0)</f>
        <v>Q4</v>
      </c>
      <c r="G1117" s="30" t="str">
        <f aca="false">INDEX(Lists!$N$2:$N$8,MATCH(WEEKDAY(B1117,2),Lists!$M$2:$M$8,0))</f>
        <v>الثلاثاء</v>
      </c>
      <c r="H1117" s="30" t="s">
        <v>54</v>
      </c>
      <c r="I1117" s="19" t="str">
        <f aca="false">INDEX(Lists!$B$2:$B$6,MATCH(H1117,Lists!$A$2:$A$6,0))</f>
        <v>المنطقة الشرقية</v>
      </c>
      <c r="J1117" s="30" t="s">
        <v>111</v>
      </c>
      <c r="K1117" s="30" t="s">
        <v>120</v>
      </c>
      <c r="L1117" s="31" t="n">
        <v>239</v>
      </c>
      <c r="M1117" s="19" t="n">
        <v>2</v>
      </c>
      <c r="N1117" s="32" t="n">
        <v>0.1</v>
      </c>
      <c r="O1117" s="30" t="s">
        <v>55</v>
      </c>
      <c r="P1117" s="30" t="s">
        <v>47</v>
      </c>
      <c r="Q1117" s="30" t="s">
        <v>84</v>
      </c>
      <c r="R1117" s="25" t="n">
        <f aca="false">L1117*M1117*(1-N1117)</f>
        <v>430.2</v>
      </c>
    </row>
    <row r="1118" customFormat="false" ht="15" hidden="false" customHeight="false" outlineLevel="0" collapsed="false">
      <c r="A1118" s="30" t="s">
        <v>1289</v>
      </c>
      <c r="B1118" s="44" t="n">
        <v>45657</v>
      </c>
      <c r="C1118" s="19" t="n">
        <f aca="false">YEAR(B1118)</f>
        <v>2024</v>
      </c>
      <c r="D1118" s="19" t="n">
        <f aca="false">MONTH(B1118)</f>
        <v>12</v>
      </c>
      <c r="E1118" s="30" t="str">
        <f aca="false">INDEX(Lists!$K$2:$K$13,MATCH(D1118,Lists!$J$2:$J$13,0))</f>
        <v>ديسمبر</v>
      </c>
      <c r="F1118" s="19" t="str">
        <f aca="false">"Q"&amp;ROUNDUP(D1118/3,0)</f>
        <v>Q4</v>
      </c>
      <c r="G1118" s="30" t="str">
        <f aca="false">INDEX(Lists!$N$2:$N$8,MATCH(WEEKDAY(B1118,2),Lists!$M$2:$M$8,0))</f>
        <v>الثلاثاء</v>
      </c>
      <c r="H1118" s="30" t="s">
        <v>60</v>
      </c>
      <c r="I1118" s="19" t="str">
        <f aca="false">INDEX(Lists!$B$2:$B$6,MATCH(H1118,Lists!$A$2:$A$6,0))</f>
        <v>المنطقة الغربية</v>
      </c>
      <c r="J1118" s="30" t="s">
        <v>109</v>
      </c>
      <c r="K1118" s="30" t="s">
        <v>192</v>
      </c>
      <c r="L1118" s="31" t="n">
        <v>279</v>
      </c>
      <c r="M1118" s="19" t="n">
        <v>6</v>
      </c>
      <c r="N1118" s="32" t="n">
        <v>0</v>
      </c>
      <c r="O1118" s="30" t="s">
        <v>52</v>
      </c>
      <c r="P1118" s="30" t="s">
        <v>51</v>
      </c>
      <c r="Q1118" s="30" t="s">
        <v>86</v>
      </c>
      <c r="R1118" s="25" t="n">
        <f aca="false">L1118*M1118*(1-N1118)</f>
        <v>1674</v>
      </c>
    </row>
    <row r="1119" customFormat="false" ht="15" hidden="false" customHeight="false" outlineLevel="0" collapsed="false">
      <c r="A1119" s="30" t="s">
        <v>1290</v>
      </c>
      <c r="B1119" s="44" t="n">
        <v>45657</v>
      </c>
      <c r="C1119" s="19" t="n">
        <f aca="false">YEAR(B1119)</f>
        <v>2024</v>
      </c>
      <c r="D1119" s="19" t="n">
        <f aca="false">MONTH(B1119)</f>
        <v>12</v>
      </c>
      <c r="E1119" s="30" t="str">
        <f aca="false">INDEX(Lists!$K$2:$K$13,MATCH(D1119,Lists!$J$2:$J$13,0))</f>
        <v>ديسمبر</v>
      </c>
      <c r="F1119" s="19" t="str">
        <f aca="false">"Q"&amp;ROUNDUP(D1119/3,0)</f>
        <v>Q4</v>
      </c>
      <c r="G1119" s="30" t="str">
        <f aca="false">INDEX(Lists!$N$2:$N$8,MATCH(WEEKDAY(B1119,2),Lists!$M$2:$M$8,0))</f>
        <v>الثلاثاء</v>
      </c>
      <c r="H1119" s="30" t="s">
        <v>46</v>
      </c>
      <c r="I1119" s="19" t="str">
        <f aca="false">INDEX(Lists!$B$2:$B$6,MATCH(H1119,Lists!$A$2:$A$6,0))</f>
        <v>المنطقة الوسطى</v>
      </c>
      <c r="J1119" s="30" t="s">
        <v>111</v>
      </c>
      <c r="K1119" s="30" t="s">
        <v>120</v>
      </c>
      <c r="L1119" s="31" t="n">
        <v>279</v>
      </c>
      <c r="M1119" s="19" t="n">
        <v>4</v>
      </c>
      <c r="N1119" s="32" t="n">
        <v>0.15</v>
      </c>
      <c r="O1119" s="30" t="s">
        <v>58</v>
      </c>
      <c r="P1119" s="30" t="s">
        <v>51</v>
      </c>
      <c r="Q1119" s="30" t="s">
        <v>86</v>
      </c>
      <c r="R1119" s="25" t="n">
        <f aca="false">L1119*M1119*(1-N1119)</f>
        <v>948.6</v>
      </c>
    </row>
    <row r="1120" customFormat="false" ht="15" hidden="false" customHeight="false" outlineLevel="0" collapsed="false">
      <c r="A1120" s="30" t="s">
        <v>1291</v>
      </c>
      <c r="B1120" s="44" t="n">
        <v>45657</v>
      </c>
      <c r="C1120" s="19" t="n">
        <f aca="false">YEAR(B1120)</f>
        <v>2024</v>
      </c>
      <c r="D1120" s="19" t="n">
        <f aca="false">MONTH(B1120)</f>
        <v>12</v>
      </c>
      <c r="E1120" s="30" t="str">
        <f aca="false">INDEX(Lists!$K$2:$K$13,MATCH(D1120,Lists!$J$2:$J$13,0))</f>
        <v>ديسمبر</v>
      </c>
      <c r="F1120" s="19" t="str">
        <f aca="false">"Q"&amp;ROUNDUP(D1120/3,0)</f>
        <v>Q4</v>
      </c>
      <c r="G1120" s="30" t="str">
        <f aca="false">INDEX(Lists!$N$2:$N$8,MATCH(WEEKDAY(B1120,2),Lists!$M$2:$M$8,0))</f>
        <v>الثلاثاء</v>
      </c>
      <c r="H1120" s="30" t="s">
        <v>57</v>
      </c>
      <c r="I1120" s="19" t="str">
        <f aca="false">INDEX(Lists!$B$2:$B$6,MATCH(H1120,Lists!$A$2:$A$6,0))</f>
        <v>المنطقة الغربية</v>
      </c>
      <c r="J1120" s="30" t="s">
        <v>113</v>
      </c>
      <c r="K1120" s="30" t="s">
        <v>100</v>
      </c>
      <c r="L1120" s="31" t="n">
        <v>749</v>
      </c>
      <c r="M1120" s="19" t="n">
        <v>1</v>
      </c>
      <c r="N1120" s="32" t="n">
        <v>0</v>
      </c>
      <c r="O1120" s="30" t="s">
        <v>48</v>
      </c>
      <c r="P1120" s="30" t="s">
        <v>47</v>
      </c>
      <c r="Q1120" s="30" t="s">
        <v>86</v>
      </c>
      <c r="R1120" s="25" t="n">
        <f aca="false">L1120*M1120*(1-N1120)</f>
        <v>749</v>
      </c>
    </row>
    <row r="1121" customFormat="false" ht="15" hidden="false" customHeight="false" outlineLevel="0" collapsed="false">
      <c r="A1121" s="30" t="s">
        <v>1292</v>
      </c>
      <c r="B1121" s="44" t="n">
        <v>45657</v>
      </c>
      <c r="C1121" s="19" t="n">
        <f aca="false">YEAR(B1121)</f>
        <v>2024</v>
      </c>
      <c r="D1121" s="19" t="n">
        <f aca="false">MONTH(B1121)</f>
        <v>12</v>
      </c>
      <c r="E1121" s="30" t="str">
        <f aca="false">INDEX(Lists!$K$2:$K$13,MATCH(D1121,Lists!$J$2:$J$13,0))</f>
        <v>ديسمبر</v>
      </c>
      <c r="F1121" s="19" t="str">
        <f aca="false">"Q"&amp;ROUNDUP(D1121/3,0)</f>
        <v>Q4</v>
      </c>
      <c r="G1121" s="30" t="str">
        <f aca="false">INDEX(Lists!$N$2:$N$8,MATCH(WEEKDAY(B1121,2),Lists!$M$2:$M$8,0))</f>
        <v>الثلاثاء</v>
      </c>
      <c r="H1121" s="30" t="s">
        <v>50</v>
      </c>
      <c r="I1121" s="19" t="str">
        <f aca="false">INDEX(Lists!$B$2:$B$6,MATCH(H1121,Lists!$A$2:$A$6,0))</f>
        <v>المنطقة الغربية</v>
      </c>
      <c r="J1121" s="30" t="s">
        <v>111</v>
      </c>
      <c r="K1121" s="30" t="s">
        <v>118</v>
      </c>
      <c r="L1121" s="31" t="n">
        <v>499</v>
      </c>
      <c r="M1121" s="19" t="n">
        <v>10</v>
      </c>
      <c r="N1121" s="32" t="n">
        <v>0</v>
      </c>
      <c r="O1121" s="30" t="s">
        <v>48</v>
      </c>
      <c r="P1121" s="30" t="s">
        <v>51</v>
      </c>
      <c r="Q1121" s="30" t="s">
        <v>99</v>
      </c>
      <c r="R1121" s="25" t="n">
        <f aca="false">L1121*M1121*(1-N1121)</f>
        <v>4990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5B00"/>
    <pageSetUpPr fitToPage="true"/>
  </sheetPr>
  <dimension ref="A1:F27"/>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26"/>
    <col collapsed="false" customWidth="true" hidden="false" outlineLevel="0" max="4" min="4" style="0" width="60"/>
    <col collapsed="false" customWidth="true" hidden="false" outlineLevel="0" max="6" min="5" style="0" width="4"/>
  </cols>
  <sheetData>
    <row r="1" customFormat="false" ht="33.75" hidden="false" customHeight="true" outlineLevel="0" collapsed="false">
      <c r="A1" s="8" t="s">
        <v>1293</v>
      </c>
      <c r="B1" s="8"/>
      <c r="C1" s="8"/>
      <c r="D1" s="8"/>
      <c r="E1" s="8"/>
      <c r="F1" s="8"/>
    </row>
    <row r="2" customFormat="false" ht="18" hidden="false" customHeight="true" outlineLevel="0" collapsed="false">
      <c r="A2" s="9" t="s">
        <v>1294</v>
      </c>
      <c r="B2" s="9"/>
      <c r="C2" s="9"/>
      <c r="D2" s="9"/>
      <c r="E2" s="9"/>
      <c r="F2" s="9"/>
    </row>
    <row r="4" customFormat="false" ht="15" hidden="false" customHeight="false" outlineLevel="0" collapsed="false">
      <c r="A4" s="21" t="s">
        <v>1295</v>
      </c>
    </row>
    <row r="5" customFormat="false" ht="18" hidden="false" customHeight="true" outlineLevel="0" collapsed="false">
      <c r="A5" s="24" t="s">
        <v>1296</v>
      </c>
      <c r="B5" s="26" t="n">
        <f aca="false">COUNTA(RawData[رقم الطلب])</f>
        <v>1196</v>
      </c>
    </row>
    <row r="6" customFormat="false" ht="18" hidden="false" customHeight="true" outlineLevel="0" collapsed="false">
      <c r="A6" s="24" t="s">
        <v>1297</v>
      </c>
      <c r="B6" s="26" t="n">
        <f aca="false">COUNTA(CleanData[رقم الطلب])</f>
        <v>1120</v>
      </c>
    </row>
    <row r="7" customFormat="false" ht="18" hidden="false" customHeight="true" outlineLevel="0" collapsed="false">
      <c r="A7" s="24" t="s">
        <v>1298</v>
      </c>
      <c r="B7" s="26" t="n">
        <f aca="false">B5-B6</f>
        <v>76</v>
      </c>
    </row>
    <row r="8" customFormat="false" ht="18" hidden="false" customHeight="true" outlineLevel="0" collapsed="false">
      <c r="A8" s="24" t="s">
        <v>1299</v>
      </c>
      <c r="B8" s="28" t="n">
        <f aca="false">B6/B5</f>
        <v>0.936454849498328</v>
      </c>
    </row>
    <row r="11" customFormat="false" ht="15" hidden="false" customHeight="false" outlineLevel="0" collapsed="false">
      <c r="A11" s="21" t="s">
        <v>1300</v>
      </c>
    </row>
    <row r="12" customFormat="false" ht="30" hidden="false" customHeight="true" outlineLevel="0" collapsed="false">
      <c r="A12" s="29" t="s">
        <v>1301</v>
      </c>
      <c r="B12" s="29" t="s">
        <v>1302</v>
      </c>
      <c r="C12" s="29" t="s">
        <v>1303</v>
      </c>
      <c r="D12" s="29" t="s">
        <v>1304</v>
      </c>
    </row>
    <row r="13" customFormat="false" ht="42" hidden="false" customHeight="true" outlineLevel="0" collapsed="false">
      <c r="A13" s="19" t="n">
        <v>1</v>
      </c>
      <c r="B13" s="30" t="s">
        <v>1305</v>
      </c>
      <c r="C13" s="45" t="n">
        <f aca="false">COUNTIF(RawData[تكرار؟],"مكرر")</f>
        <v>46</v>
      </c>
      <c r="D13" s="46" t="s">
        <v>1306</v>
      </c>
    </row>
    <row r="14" customFormat="false" ht="42" hidden="false" customHeight="true" outlineLevel="0" collapsed="false">
      <c r="A14" s="35" t="n">
        <v>2</v>
      </c>
      <c r="B14" s="33" t="s">
        <v>1307</v>
      </c>
      <c r="C14" s="47" t="n">
        <f aca="false">COUNTIF(RawData[تاريخ نصي؟],"نعم")</f>
        <v>114</v>
      </c>
      <c r="D14" s="48" t="s">
        <v>1308</v>
      </c>
    </row>
    <row r="15" customFormat="false" ht="42" hidden="false" customHeight="true" outlineLevel="0" collapsed="false">
      <c r="A15" s="19" t="n">
        <v>3</v>
      </c>
      <c r="B15" s="30" t="s">
        <v>1309</v>
      </c>
      <c r="C15" s="45" t="n">
        <f aca="false">COUNTIFS(RawData[الكمية],"&lt;=0")</f>
        <v>10</v>
      </c>
      <c r="D15" s="46" t="s">
        <v>1310</v>
      </c>
    </row>
    <row r="16" customFormat="false" ht="42" hidden="false" customHeight="true" outlineLevel="0" collapsed="false">
      <c r="A16" s="35" t="n">
        <v>4</v>
      </c>
      <c r="B16" s="33" t="s">
        <v>1311</v>
      </c>
      <c r="C16" s="47" t="n">
        <f aca="false">COUNTIF(RawData[سعر شاذ؟],"نعم")</f>
        <v>8</v>
      </c>
      <c r="D16" s="48" t="s">
        <v>1312</v>
      </c>
    </row>
    <row r="17" customFormat="false" ht="42" hidden="false" customHeight="true" outlineLevel="0" collapsed="false">
      <c r="A17" s="19" t="n">
        <v>5</v>
      </c>
      <c r="B17" s="30" t="s">
        <v>1313</v>
      </c>
      <c r="C17" s="45" t="n">
        <f aca="false">COUNTIFS(RawData[نسبة الخصم],"&lt;0")+COUNTIFS(RawData[نسبة الخصم],"&gt;1")</f>
        <v>4</v>
      </c>
      <c r="D17" s="46" t="s">
        <v>1314</v>
      </c>
    </row>
    <row r="18" customFormat="false" ht="42" hidden="false" customHeight="true" outlineLevel="0" collapsed="false">
      <c r="A18" s="35" t="n">
        <v>6</v>
      </c>
      <c r="B18" s="33" t="s">
        <v>1315</v>
      </c>
      <c r="C18" s="47" t="n">
        <f aca="false">COUNTBLANK(RawData[الكمية])</f>
        <v>22</v>
      </c>
      <c r="D18" s="48" t="s">
        <v>1316</v>
      </c>
    </row>
    <row r="19" customFormat="false" ht="42" hidden="false" customHeight="true" outlineLevel="0" collapsed="false">
      <c r="A19" s="19" t="n">
        <v>7</v>
      </c>
      <c r="B19" s="30" t="s">
        <v>1317</v>
      </c>
      <c r="C19" s="45" t="n">
        <f aca="false">COUNTBLANK(RawData[نسبة الخصم])</f>
        <v>30</v>
      </c>
      <c r="D19" s="46" t="s">
        <v>1318</v>
      </c>
    </row>
    <row r="20" customFormat="false" ht="42" hidden="false" customHeight="true" outlineLevel="0" collapsed="false">
      <c r="A20" s="35" t="n">
        <v>8</v>
      </c>
      <c r="B20" s="33" t="s">
        <v>1319</v>
      </c>
      <c r="C20" s="47" t="n">
        <f aca="false">COUNTBLANK(RawData[طريقة الدفع])</f>
        <v>12</v>
      </c>
      <c r="D20" s="48" t="s">
        <v>1320</v>
      </c>
    </row>
    <row r="21" customFormat="false" ht="42" hidden="false" customHeight="true" outlineLevel="0" collapsed="false">
      <c r="A21" s="19" t="n">
        <v>9</v>
      </c>
      <c r="B21" s="30" t="s">
        <v>1321</v>
      </c>
      <c r="C21" s="45" t="n">
        <f aca="false">COUNTBLANK(RawData[نوع العميل])</f>
        <v>20</v>
      </c>
      <c r="D21" s="46" t="s">
        <v>1322</v>
      </c>
    </row>
    <row r="22" customFormat="false" ht="42" hidden="false" customHeight="true" outlineLevel="0" collapsed="false">
      <c r="A22" s="35" t="n">
        <v>10</v>
      </c>
      <c r="B22" s="33" t="s">
        <v>1323</v>
      </c>
      <c r="C22" s="47" t="n">
        <f aca="false">COUNTBLANK(RawData[الفرع])</f>
        <v>15</v>
      </c>
      <c r="D22" s="48" t="s">
        <v>1324</v>
      </c>
    </row>
    <row r="23" customFormat="false" ht="42" hidden="false" customHeight="true" outlineLevel="0" collapsed="false">
      <c r="A23" s="19" t="n">
        <v>11</v>
      </c>
      <c r="B23" s="30" t="s">
        <v>1325</v>
      </c>
      <c r="C23" s="45" t="n">
        <f aca="false">SUMPRODUCT((RawData[الفرع]&lt;&gt;"")*ISNA(MATCH(RawData[الفرع],Lists!$A$2:$A$6,0)))+SUMPRODUCT((RawData[طريقة الدفع]&lt;&gt;"")*ISNA(MATCH(RawData[طريقة الدفع],Lists!$F$2:$F$5,0)))</f>
        <v>84</v>
      </c>
      <c r="D23" s="46" t="s">
        <v>1326</v>
      </c>
    </row>
    <row r="25" customFormat="false" ht="15" hidden="false" customHeight="true" outlineLevel="0" collapsed="false">
      <c r="A25" s="12" t="s">
        <v>1327</v>
      </c>
      <c r="B25" s="12"/>
      <c r="C25" s="12"/>
      <c r="D25" s="12"/>
    </row>
    <row r="26" customFormat="false" ht="15" hidden="false" customHeight="false" outlineLevel="0" collapsed="false">
      <c r="A26" s="12"/>
      <c r="B26" s="12"/>
      <c r="C26" s="12"/>
      <c r="D26" s="12"/>
    </row>
    <row r="27" customFormat="false" ht="15" hidden="false" customHeight="false" outlineLevel="0" collapsed="false">
      <c r="A27" s="12"/>
      <c r="B27" s="12"/>
      <c r="C27" s="12"/>
      <c r="D27" s="12"/>
    </row>
  </sheetData>
  <mergeCells count="3">
    <mergeCell ref="A1:F1"/>
    <mergeCell ref="A2:F2"/>
    <mergeCell ref="A25:D27"/>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X1197"/>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4"/>
    <col collapsed="false" customWidth="true" hidden="false" outlineLevel="0" max="5" min="4" style="0" width="16"/>
    <col collapsed="false" customWidth="true" hidden="false" outlineLevel="0" max="6" min="6" style="0" width="20"/>
    <col collapsed="false" customWidth="true" hidden="false" outlineLevel="0" max="7" min="7" style="0" width="12"/>
    <col collapsed="false" customWidth="true" hidden="false" outlineLevel="0" max="8" min="8" style="0" width="9"/>
    <col collapsed="false" customWidth="true" hidden="false" outlineLevel="0" max="9" min="9" style="0" width="11"/>
    <col collapsed="false" customWidth="true" hidden="false" outlineLevel="0" max="10" min="10" style="0" width="14"/>
    <col collapsed="false" customWidth="true" hidden="false" outlineLevel="0" max="11" min="11" style="0" width="12"/>
    <col collapsed="false" customWidth="true" hidden="false" outlineLevel="0" max="12" min="12" style="0" width="16"/>
    <col collapsed="false" customWidth="true" hidden="false" outlineLevel="0" max="13" min="13" style="0" width="15"/>
    <col collapsed="false" customWidth="true" hidden="false" outlineLevel="0" max="15" min="14" style="0" width="11"/>
    <col collapsed="false" customWidth="true" hidden="false" outlineLevel="0" max="16" min="16" style="0" width="10"/>
    <col collapsed="false" customWidth="true" hidden="false" outlineLevel="0" max="17" min="17" style="0" width="15"/>
  </cols>
  <sheetData>
    <row r="1" customFormat="false" ht="33.75" hidden="false" customHeight="true" outlineLevel="0" collapsed="false">
      <c r="A1" s="29" t="s">
        <v>1328</v>
      </c>
      <c r="B1" s="29" t="s">
        <v>157</v>
      </c>
      <c r="C1" s="29" t="s">
        <v>158</v>
      </c>
      <c r="D1" s="29" t="s">
        <v>42</v>
      </c>
      <c r="E1" s="29" t="s">
        <v>101</v>
      </c>
      <c r="F1" s="29" t="s">
        <v>131</v>
      </c>
      <c r="G1" s="29" t="s">
        <v>164</v>
      </c>
      <c r="H1" s="29" t="s">
        <v>165</v>
      </c>
      <c r="I1" s="29" t="s">
        <v>166</v>
      </c>
      <c r="J1" s="29" t="s">
        <v>44</v>
      </c>
      <c r="K1" s="29" t="s">
        <v>43</v>
      </c>
      <c r="L1" s="29" t="s">
        <v>129</v>
      </c>
      <c r="M1" s="29" t="s">
        <v>1329</v>
      </c>
      <c r="N1" s="29" t="s">
        <v>1330</v>
      </c>
      <c r="O1" s="29" t="s">
        <v>1331</v>
      </c>
      <c r="P1" s="29" t="s">
        <v>1332</v>
      </c>
      <c r="Q1" s="29" t="s">
        <v>1333</v>
      </c>
      <c r="S1" s="12" t="s">
        <v>1334</v>
      </c>
      <c r="T1" s="12"/>
      <c r="U1" s="12"/>
      <c r="V1" s="12"/>
      <c r="W1" s="12"/>
      <c r="X1" s="12"/>
    </row>
    <row r="2" customFormat="false" ht="15" hidden="false" customHeight="false" outlineLevel="0" collapsed="false">
      <c r="A2" s="19" t="n">
        <v>1</v>
      </c>
      <c r="B2" s="30" t="s">
        <v>794</v>
      </c>
      <c r="C2" s="44" t="n">
        <v>45514</v>
      </c>
      <c r="D2" s="30" t="s">
        <v>46</v>
      </c>
      <c r="E2" s="30" t="s">
        <v>113</v>
      </c>
      <c r="F2" s="30" t="s">
        <v>95</v>
      </c>
      <c r="G2" s="31" t="n">
        <v>729</v>
      </c>
      <c r="H2" s="19" t="n">
        <v>2</v>
      </c>
      <c r="I2" s="32" t="n">
        <v>0.15</v>
      </c>
      <c r="J2" s="30" t="s">
        <v>55</v>
      </c>
      <c r="K2" s="30" t="s">
        <v>47</v>
      </c>
      <c r="L2" s="30" t="s">
        <v>92</v>
      </c>
      <c r="M2" s="31" t="n">
        <f aca="false">AVERAGEIF($E$2:$E$1197,E2,$G$2:$G$1197)</f>
        <v>545.358823529412</v>
      </c>
      <c r="N2" s="19" t="str">
        <f aca="false">IF(G2&gt;M2*3,"نعم","لا")</f>
        <v>لا</v>
      </c>
      <c r="O2" s="19" t="str">
        <f aca="false">IF(OR(C2="",ISNUMBER(C2)),"لا","نعم")</f>
        <v>لا</v>
      </c>
      <c r="P2" s="19" t="str">
        <f aca="false">IF(COUNTIF($B$2:B2,B2)&gt;1,"مكرر","فريد")</f>
        <v>فريد</v>
      </c>
      <c r="Q2" s="19" t="str">
        <f aca="false">IF(COUNTBLANK(D2:L2)&gt;0,"نعم","لا")</f>
        <v>لا</v>
      </c>
      <c r="S2" s="12"/>
      <c r="T2" s="12"/>
      <c r="U2" s="12"/>
      <c r="V2" s="12"/>
      <c r="W2" s="12"/>
      <c r="X2" s="12"/>
    </row>
    <row r="3" customFormat="false" ht="15" hidden="false" customHeight="false" outlineLevel="0" collapsed="false">
      <c r="A3" s="19" t="n">
        <v>2</v>
      </c>
      <c r="B3" s="30" t="s">
        <v>404</v>
      </c>
      <c r="C3" s="44" t="n">
        <v>45378</v>
      </c>
      <c r="D3" s="30" t="s">
        <v>54</v>
      </c>
      <c r="E3" s="30" t="s">
        <v>111</v>
      </c>
      <c r="F3" s="30" t="s">
        <v>108</v>
      </c>
      <c r="G3" s="31" t="n">
        <v>589</v>
      </c>
      <c r="H3" s="19" t="n">
        <v>2</v>
      </c>
      <c r="I3" s="32" t="n">
        <v>0</v>
      </c>
      <c r="J3" s="30" t="s">
        <v>48</v>
      </c>
      <c r="K3" s="30" t="s">
        <v>47</v>
      </c>
      <c r="L3" s="30" t="s">
        <v>99</v>
      </c>
      <c r="M3" s="31" t="n">
        <f aca="false">AVERAGEIF($E$2:$E$1197,E3,$G$2:$G$1197)</f>
        <v>366.306569343066</v>
      </c>
      <c r="N3" s="19" t="str">
        <f aca="false">IF(G3&gt;M3*3,"نعم","لا")</f>
        <v>لا</v>
      </c>
      <c r="O3" s="19" t="str">
        <f aca="false">IF(OR(C3="",ISNUMBER(C3)),"لا","نعم")</f>
        <v>لا</v>
      </c>
      <c r="P3" s="19" t="str">
        <f aca="false">IF(COUNTIF($B$2:B3,B3)&gt;1,"مكرر","فريد")</f>
        <v>فريد</v>
      </c>
      <c r="Q3" s="19" t="str">
        <f aca="false">IF(COUNTBLANK(D3:L3)&gt;0,"نعم","لا")</f>
        <v>لا</v>
      </c>
      <c r="S3" s="12"/>
      <c r="T3" s="12"/>
      <c r="U3" s="12"/>
      <c r="V3" s="12"/>
      <c r="W3" s="12"/>
      <c r="X3" s="12"/>
    </row>
    <row r="4" customFormat="false" ht="15" hidden="false" customHeight="false" outlineLevel="0" collapsed="false">
      <c r="A4" s="19" t="n">
        <v>3</v>
      </c>
      <c r="B4" s="30" t="s">
        <v>1160</v>
      </c>
      <c r="C4" s="44" t="n">
        <v>45620</v>
      </c>
      <c r="D4" s="30" t="s">
        <v>50</v>
      </c>
      <c r="E4" s="30" t="s">
        <v>107</v>
      </c>
      <c r="F4" s="30" t="s">
        <v>184</v>
      </c>
      <c r="G4" s="31" t="n">
        <v>2979</v>
      </c>
      <c r="H4" s="19" t="n">
        <v>1</v>
      </c>
      <c r="I4" s="32" t="n">
        <v>0.05</v>
      </c>
      <c r="J4" s="30" t="s">
        <v>48</v>
      </c>
      <c r="K4" s="30" t="s">
        <v>47</v>
      </c>
      <c r="L4" s="30" t="s">
        <v>96</v>
      </c>
      <c r="M4" s="31" t="n">
        <f aca="false">AVERAGEIF($E$2:$E$1197,E4,$G$2:$G$1197)</f>
        <v>4981.14563106796</v>
      </c>
      <c r="N4" s="19" t="str">
        <f aca="false">IF(G4&gt;M4*3,"نعم","لا")</f>
        <v>لا</v>
      </c>
      <c r="O4" s="19" t="str">
        <f aca="false">IF(OR(C4="",ISNUMBER(C4)),"لا","نعم")</f>
        <v>لا</v>
      </c>
      <c r="P4" s="19" t="str">
        <f aca="false">IF(COUNTIF($B$2:B4,B4)&gt;1,"مكرر","فريد")</f>
        <v>فريد</v>
      </c>
      <c r="Q4" s="19" t="str">
        <f aca="false">IF(COUNTBLANK(D4:L4)&gt;0,"نعم","لا")</f>
        <v>لا</v>
      </c>
      <c r="S4" s="12"/>
      <c r="T4" s="12"/>
      <c r="U4" s="12"/>
      <c r="V4" s="12"/>
      <c r="W4" s="12"/>
      <c r="X4" s="12"/>
    </row>
    <row r="5" customFormat="false" ht="15" hidden="false" customHeight="false" outlineLevel="0" collapsed="false">
      <c r="A5" s="19" t="n">
        <v>4</v>
      </c>
      <c r="B5" s="30" t="s">
        <v>1265</v>
      </c>
      <c r="C5" s="44" t="n">
        <v>45648</v>
      </c>
      <c r="D5" s="30" t="s">
        <v>46</v>
      </c>
      <c r="E5" s="30" t="s">
        <v>109</v>
      </c>
      <c r="F5" s="30" t="s">
        <v>93</v>
      </c>
      <c r="G5" s="31" t="n">
        <v>169</v>
      </c>
      <c r="H5" s="19" t="n">
        <v>1</v>
      </c>
      <c r="I5" s="32" t="n">
        <v>0.05</v>
      </c>
      <c r="J5" s="30" t="s">
        <v>55</v>
      </c>
      <c r="K5" s="30" t="s">
        <v>51</v>
      </c>
      <c r="L5" s="30" t="s">
        <v>81</v>
      </c>
      <c r="M5" s="31" t="n">
        <f aca="false">AVERAGEIF($E$2:$E$1197,E5,$G$2:$G$1197)</f>
        <v>186.056291390729</v>
      </c>
      <c r="N5" s="19" t="str">
        <f aca="false">IF(G5&gt;M5*3,"نعم","لا")</f>
        <v>لا</v>
      </c>
      <c r="O5" s="19" t="str">
        <f aca="false">IF(OR(C5="",ISNUMBER(C5)),"لا","نعم")</f>
        <v>لا</v>
      </c>
      <c r="P5" s="19" t="str">
        <f aca="false">IF(COUNTIF($B$2:B5,B5)&gt;1,"مكرر","فريد")</f>
        <v>فريد</v>
      </c>
      <c r="Q5" s="19" t="str">
        <f aca="false">IF(COUNTBLANK(D5:L5)&gt;0,"نعم","لا")</f>
        <v>لا</v>
      </c>
      <c r="S5" s="12"/>
      <c r="T5" s="12"/>
      <c r="U5" s="12"/>
      <c r="V5" s="12"/>
      <c r="W5" s="12"/>
      <c r="X5" s="12"/>
    </row>
    <row r="6" customFormat="false" ht="15" hidden="false" customHeight="false" outlineLevel="0" collapsed="false">
      <c r="A6" s="19" t="n">
        <v>5</v>
      </c>
      <c r="B6" s="30" t="s">
        <v>230</v>
      </c>
      <c r="C6" s="44" t="n">
        <v>45313</v>
      </c>
      <c r="D6" s="30" t="s">
        <v>46</v>
      </c>
      <c r="E6" s="30" t="s">
        <v>113</v>
      </c>
      <c r="F6" s="30" t="s">
        <v>100</v>
      </c>
      <c r="G6" s="31" t="n">
        <v>269</v>
      </c>
      <c r="H6" s="19" t="n">
        <v>1</v>
      </c>
      <c r="I6" s="32" t="n">
        <v>0.15</v>
      </c>
      <c r="J6" s="30" t="s">
        <v>52</v>
      </c>
      <c r="K6" s="30"/>
      <c r="L6" s="30" t="s">
        <v>89</v>
      </c>
      <c r="M6" s="31" t="n">
        <f aca="false">AVERAGEIF($E$2:$E$1197,E6,$G$2:$G$1197)</f>
        <v>545.358823529412</v>
      </c>
      <c r="N6" s="19" t="str">
        <f aca="false">IF(G6&gt;M6*3,"نعم","لا")</f>
        <v>لا</v>
      </c>
      <c r="O6" s="19" t="str">
        <f aca="false">IF(OR(C6="",ISNUMBER(C6)),"لا","نعم")</f>
        <v>لا</v>
      </c>
      <c r="P6" s="19" t="str">
        <f aca="false">IF(COUNTIF($B$2:B6,B6)&gt;1,"مكرر","فريد")</f>
        <v>فريد</v>
      </c>
      <c r="Q6" s="19" t="str">
        <f aca="false">IF(COUNTBLANK(D6:L6)&gt;0,"نعم","لا")</f>
        <v>نعم</v>
      </c>
      <c r="S6" s="12"/>
      <c r="T6" s="12"/>
      <c r="U6" s="12"/>
      <c r="V6" s="12"/>
      <c r="W6" s="12"/>
      <c r="X6" s="12"/>
    </row>
    <row r="7" customFormat="false" ht="15" hidden="false" customHeight="false" outlineLevel="0" collapsed="false">
      <c r="A7" s="19" t="n">
        <v>6</v>
      </c>
      <c r="B7" s="30" t="s">
        <v>1166</v>
      </c>
      <c r="C7" s="44" t="n">
        <v>45622</v>
      </c>
      <c r="D7" s="30" t="s">
        <v>46</v>
      </c>
      <c r="E7" s="30" t="s">
        <v>105</v>
      </c>
      <c r="F7" s="30" t="s">
        <v>90</v>
      </c>
      <c r="G7" s="31" t="n">
        <v>2519</v>
      </c>
      <c r="H7" s="19" t="n">
        <v>2</v>
      </c>
      <c r="I7" s="32" t="n">
        <v>0.15</v>
      </c>
      <c r="J7" s="30" t="s">
        <v>52</v>
      </c>
      <c r="K7" s="30" t="s">
        <v>47</v>
      </c>
      <c r="L7" s="30" t="s">
        <v>94</v>
      </c>
      <c r="M7" s="31" t="n">
        <f aca="false">AVERAGEIF($E$2:$E$1197,E7,$G$2:$G$1197)</f>
        <v>2870.26771653543</v>
      </c>
      <c r="N7" s="19" t="str">
        <f aca="false">IF(G7&gt;M7*3,"نعم","لا")</f>
        <v>لا</v>
      </c>
      <c r="O7" s="19" t="str">
        <f aca="false">IF(OR(C7="",ISNUMBER(C7)),"لا","نعم")</f>
        <v>لا</v>
      </c>
      <c r="P7" s="19" t="str">
        <f aca="false">IF(COUNTIF($B$2:B7,B7)&gt;1,"مكرر","فريد")</f>
        <v>فريد</v>
      </c>
      <c r="Q7" s="19" t="str">
        <f aca="false">IF(COUNTBLANK(D7:L7)&gt;0,"نعم","لا")</f>
        <v>لا</v>
      </c>
    </row>
    <row r="8" customFormat="false" ht="15" hidden="false" customHeight="false" outlineLevel="0" collapsed="false">
      <c r="A8" s="19" t="n">
        <v>7</v>
      </c>
      <c r="B8" s="30" t="s">
        <v>859</v>
      </c>
      <c r="C8" s="44" t="n">
        <v>45532</v>
      </c>
      <c r="D8" s="30" t="s">
        <v>46</v>
      </c>
      <c r="E8" s="30" t="s">
        <v>107</v>
      </c>
      <c r="F8" s="30" t="s">
        <v>115</v>
      </c>
      <c r="G8" s="31" t="n">
        <v>2949</v>
      </c>
      <c r="H8" s="19" t="n">
        <v>5</v>
      </c>
      <c r="I8" s="32" t="n">
        <v>0.05</v>
      </c>
      <c r="J8" s="30" t="s">
        <v>48</v>
      </c>
      <c r="K8" s="30" t="s">
        <v>51</v>
      </c>
      <c r="L8" s="30" t="s">
        <v>84</v>
      </c>
      <c r="M8" s="31" t="n">
        <f aca="false">AVERAGEIF($E$2:$E$1197,E8,$G$2:$G$1197)</f>
        <v>4981.14563106796</v>
      </c>
      <c r="N8" s="19" t="str">
        <f aca="false">IF(G8&gt;M8*3,"نعم","لا")</f>
        <v>لا</v>
      </c>
      <c r="O8" s="19" t="str">
        <f aca="false">IF(OR(C8="",ISNUMBER(C8)),"لا","نعم")</f>
        <v>لا</v>
      </c>
      <c r="P8" s="19" t="str">
        <f aca="false">IF(COUNTIF($B$2:B8,B8)&gt;1,"مكرر","فريد")</f>
        <v>فريد</v>
      </c>
      <c r="Q8" s="19" t="str">
        <f aca="false">IF(COUNTBLANK(D8:L8)&gt;0,"نعم","لا")</f>
        <v>لا</v>
      </c>
    </row>
    <row r="9" customFormat="false" ht="15" hidden="false" customHeight="false" outlineLevel="0" collapsed="false">
      <c r="A9" s="19" t="n">
        <v>8</v>
      </c>
      <c r="B9" s="30" t="s">
        <v>782</v>
      </c>
      <c r="C9" s="44" t="n">
        <v>45511</v>
      </c>
      <c r="D9" s="30" t="s">
        <v>50</v>
      </c>
      <c r="E9" s="30" t="s">
        <v>109</v>
      </c>
      <c r="F9" s="30" t="s">
        <v>175</v>
      </c>
      <c r="G9" s="31" t="n">
        <v>99</v>
      </c>
      <c r="H9" s="19" t="n">
        <v>2</v>
      </c>
      <c r="I9" s="32" t="n">
        <v>0.05</v>
      </c>
      <c r="J9" s="30" t="s">
        <v>48</v>
      </c>
      <c r="K9" s="30" t="s">
        <v>51</v>
      </c>
      <c r="L9" s="30" t="s">
        <v>99</v>
      </c>
      <c r="M9" s="31" t="n">
        <f aca="false">AVERAGEIF($E$2:$E$1197,E9,$G$2:$G$1197)</f>
        <v>186.056291390729</v>
      </c>
      <c r="N9" s="19" t="str">
        <f aca="false">IF(G9&gt;M9*3,"نعم","لا")</f>
        <v>لا</v>
      </c>
      <c r="O9" s="19" t="str">
        <f aca="false">IF(OR(C9="",ISNUMBER(C9)),"لا","نعم")</f>
        <v>لا</v>
      </c>
      <c r="P9" s="19" t="str">
        <f aca="false">IF(COUNTIF($B$2:B9,B9)&gt;1,"مكرر","فريد")</f>
        <v>فريد</v>
      </c>
      <c r="Q9" s="19" t="str">
        <f aca="false">IF(COUNTBLANK(D9:L9)&gt;0,"نعم","لا")</f>
        <v>لا</v>
      </c>
    </row>
    <row r="10" customFormat="false" ht="15" hidden="false" customHeight="false" outlineLevel="0" collapsed="false">
      <c r="A10" s="19" t="n">
        <v>9</v>
      </c>
      <c r="B10" s="30" t="s">
        <v>277</v>
      </c>
      <c r="C10" s="44" t="n">
        <v>45331</v>
      </c>
      <c r="D10" s="30" t="s">
        <v>57</v>
      </c>
      <c r="E10" s="30" t="s">
        <v>105</v>
      </c>
      <c r="F10" s="30" t="s">
        <v>79</v>
      </c>
      <c r="G10" s="31" t="n">
        <v>1279</v>
      </c>
      <c r="H10" s="19" t="n">
        <v>10</v>
      </c>
      <c r="I10" s="32" t="n">
        <v>0.15</v>
      </c>
      <c r="J10" s="30" t="s">
        <v>55</v>
      </c>
      <c r="K10" s="30" t="s">
        <v>51</v>
      </c>
      <c r="L10" s="30" t="s">
        <v>96</v>
      </c>
      <c r="M10" s="31" t="n">
        <f aca="false">AVERAGEIF($E$2:$E$1197,E10,$G$2:$G$1197)</f>
        <v>2870.26771653543</v>
      </c>
      <c r="N10" s="19" t="str">
        <f aca="false">IF(G10&gt;M10*3,"نعم","لا")</f>
        <v>لا</v>
      </c>
      <c r="O10" s="19" t="str">
        <f aca="false">IF(OR(C10="",ISNUMBER(C10)),"لا","نعم")</f>
        <v>لا</v>
      </c>
      <c r="P10" s="19" t="str">
        <f aca="false">IF(COUNTIF($B$2:B10,B10)&gt;1,"مكرر","فريد")</f>
        <v>فريد</v>
      </c>
      <c r="Q10" s="19" t="str">
        <f aca="false">IF(COUNTBLANK(D10:L10)&gt;0,"نعم","لا")</f>
        <v>لا</v>
      </c>
    </row>
    <row r="11" customFormat="false" ht="15" hidden="false" customHeight="false" outlineLevel="0" collapsed="false">
      <c r="A11" s="19" t="n">
        <v>10</v>
      </c>
      <c r="B11" s="30" t="s">
        <v>740</v>
      </c>
      <c r="C11" s="44" t="n">
        <v>45498</v>
      </c>
      <c r="D11" s="30" t="s">
        <v>54</v>
      </c>
      <c r="E11" s="30" t="s">
        <v>113</v>
      </c>
      <c r="F11" s="30" t="s">
        <v>100</v>
      </c>
      <c r="G11" s="31" t="n">
        <v>549</v>
      </c>
      <c r="H11" s="19" t="n">
        <v>1</v>
      </c>
      <c r="I11" s="32" t="n">
        <v>0.15</v>
      </c>
      <c r="J11" s="30" t="s">
        <v>55</v>
      </c>
      <c r="K11" s="30" t="s">
        <v>47</v>
      </c>
      <c r="L11" s="30" t="s">
        <v>94</v>
      </c>
      <c r="M11" s="31" t="n">
        <f aca="false">AVERAGEIF($E$2:$E$1197,E11,$G$2:$G$1197)</f>
        <v>545.358823529412</v>
      </c>
      <c r="N11" s="19" t="str">
        <f aca="false">IF(G11&gt;M11*3,"نعم","لا")</f>
        <v>لا</v>
      </c>
      <c r="O11" s="19" t="str">
        <f aca="false">IF(OR(C11="",ISNUMBER(C11)),"لا","نعم")</f>
        <v>لا</v>
      </c>
      <c r="P11" s="19" t="str">
        <f aca="false">IF(COUNTIF($B$2:B11,B11)&gt;1,"مكرر","فريد")</f>
        <v>فريد</v>
      </c>
      <c r="Q11" s="19" t="str">
        <f aca="false">IF(COUNTBLANK(D11:L11)&gt;0,"نعم","لا")</f>
        <v>لا</v>
      </c>
    </row>
    <row r="12" customFormat="false" ht="15" hidden="false" customHeight="false" outlineLevel="0" collapsed="false">
      <c r="A12" s="19" t="n">
        <v>11</v>
      </c>
      <c r="B12" s="30" t="s">
        <v>731</v>
      </c>
      <c r="C12" s="44" t="n">
        <v>45496</v>
      </c>
      <c r="D12" s="30" t="s">
        <v>50</v>
      </c>
      <c r="E12" s="30" t="s">
        <v>107</v>
      </c>
      <c r="F12" s="30" t="s">
        <v>114</v>
      </c>
      <c r="G12" s="31" t="n">
        <v>5729</v>
      </c>
      <c r="H12" s="19" t="n">
        <v>2</v>
      </c>
      <c r="I12" s="32" t="n">
        <v>0.15</v>
      </c>
      <c r="J12" s="30" t="s">
        <v>55</v>
      </c>
      <c r="K12" s="30" t="s">
        <v>51</v>
      </c>
      <c r="L12" s="30" t="s">
        <v>81</v>
      </c>
      <c r="M12" s="31" t="n">
        <f aca="false">AVERAGEIF($E$2:$E$1197,E12,$G$2:$G$1197)</f>
        <v>4981.14563106796</v>
      </c>
      <c r="N12" s="19" t="str">
        <f aca="false">IF(G12&gt;M12*3,"نعم","لا")</f>
        <v>لا</v>
      </c>
      <c r="O12" s="19" t="str">
        <f aca="false">IF(OR(C12="",ISNUMBER(C12)),"لا","نعم")</f>
        <v>لا</v>
      </c>
      <c r="P12" s="19" t="str">
        <f aca="false">IF(COUNTIF($B$2:B12,B12)&gt;1,"مكرر","فريد")</f>
        <v>فريد</v>
      </c>
      <c r="Q12" s="19" t="str">
        <f aca="false">IF(COUNTBLANK(D12:L12)&gt;0,"نعم","لا")</f>
        <v>لا</v>
      </c>
    </row>
    <row r="13" customFormat="false" ht="15" hidden="false" customHeight="false" outlineLevel="0" collapsed="false">
      <c r="A13" s="19" t="n">
        <v>12</v>
      </c>
      <c r="B13" s="30" t="s">
        <v>218</v>
      </c>
      <c r="C13" s="44" t="n">
        <v>45308</v>
      </c>
      <c r="D13" s="30" t="s">
        <v>50</v>
      </c>
      <c r="E13" s="30" t="s">
        <v>109</v>
      </c>
      <c r="F13" s="30" t="s">
        <v>175</v>
      </c>
      <c r="G13" s="31" t="n">
        <v>79</v>
      </c>
      <c r="H13" s="19" t="n">
        <v>1</v>
      </c>
      <c r="I13" s="32" t="n">
        <v>0</v>
      </c>
      <c r="J13" s="30" t="s">
        <v>52</v>
      </c>
      <c r="K13" s="30" t="s">
        <v>47</v>
      </c>
      <c r="L13" s="30" t="s">
        <v>89</v>
      </c>
      <c r="M13" s="31" t="n">
        <f aca="false">AVERAGEIF($E$2:$E$1197,E13,$G$2:$G$1197)</f>
        <v>186.056291390729</v>
      </c>
      <c r="N13" s="19" t="str">
        <f aca="false">IF(G13&gt;M13*3,"نعم","لا")</f>
        <v>لا</v>
      </c>
      <c r="O13" s="19" t="str">
        <f aca="false">IF(OR(C13="",ISNUMBER(C13)),"لا","نعم")</f>
        <v>لا</v>
      </c>
      <c r="P13" s="19" t="str">
        <f aca="false">IF(COUNTIF($B$2:B13,B13)&gt;1,"مكرر","فريد")</f>
        <v>فريد</v>
      </c>
      <c r="Q13" s="19" t="str">
        <f aca="false">IF(COUNTBLANK(D13:L13)&gt;0,"نعم","لا")</f>
        <v>لا</v>
      </c>
    </row>
    <row r="14" customFormat="false" ht="15" hidden="false" customHeight="false" outlineLevel="0" collapsed="false">
      <c r="A14" s="19" t="n">
        <v>13</v>
      </c>
      <c r="B14" s="30" t="s">
        <v>221</v>
      </c>
      <c r="C14" s="44" t="n">
        <v>45309</v>
      </c>
      <c r="D14" s="30" t="s">
        <v>50</v>
      </c>
      <c r="E14" s="30" t="s">
        <v>111</v>
      </c>
      <c r="F14" s="30" t="s">
        <v>118</v>
      </c>
      <c r="G14" s="31" t="n">
        <v>449</v>
      </c>
      <c r="H14" s="19" t="n">
        <v>1</v>
      </c>
      <c r="I14" s="32" t="n">
        <v>0</v>
      </c>
      <c r="J14" s="30" t="s">
        <v>52</v>
      </c>
      <c r="K14" s="30" t="s">
        <v>47</v>
      </c>
      <c r="L14" s="30" t="s">
        <v>81</v>
      </c>
      <c r="M14" s="31" t="n">
        <f aca="false">AVERAGEIF($E$2:$E$1197,E14,$G$2:$G$1197)</f>
        <v>366.306569343066</v>
      </c>
      <c r="N14" s="19" t="str">
        <f aca="false">IF(G14&gt;M14*3,"نعم","لا")</f>
        <v>لا</v>
      </c>
      <c r="O14" s="19" t="str">
        <f aca="false">IF(OR(C14="",ISNUMBER(C14)),"لا","نعم")</f>
        <v>لا</v>
      </c>
      <c r="P14" s="19" t="str">
        <f aca="false">IF(COUNTIF($B$2:B14,B14)&gt;1,"مكرر","فريد")</f>
        <v>فريد</v>
      </c>
      <c r="Q14" s="19" t="str">
        <f aca="false">IF(COUNTBLANK(D14:L14)&gt;0,"نعم","لا")</f>
        <v>لا</v>
      </c>
    </row>
    <row r="15" customFormat="false" ht="15" hidden="false" customHeight="false" outlineLevel="0" collapsed="false">
      <c r="A15" s="19" t="n">
        <v>14</v>
      </c>
      <c r="B15" s="30" t="s">
        <v>757</v>
      </c>
      <c r="C15" s="44" t="n">
        <v>45506</v>
      </c>
      <c r="D15" s="30" t="s">
        <v>54</v>
      </c>
      <c r="E15" s="30" t="s">
        <v>105</v>
      </c>
      <c r="F15" s="30" t="s">
        <v>179</v>
      </c>
      <c r="G15" s="31" t="n">
        <v>1309</v>
      </c>
      <c r="H15" s="19" t="n">
        <v>10</v>
      </c>
      <c r="I15" s="32" t="n">
        <v>0.05</v>
      </c>
      <c r="J15" s="30" t="s">
        <v>48</v>
      </c>
      <c r="K15" s="30"/>
      <c r="L15" s="30" t="s">
        <v>94</v>
      </c>
      <c r="M15" s="31" t="n">
        <f aca="false">AVERAGEIF($E$2:$E$1197,E15,$G$2:$G$1197)</f>
        <v>2870.26771653543</v>
      </c>
      <c r="N15" s="19" t="str">
        <f aca="false">IF(G15&gt;M15*3,"نعم","لا")</f>
        <v>لا</v>
      </c>
      <c r="O15" s="19" t="str">
        <f aca="false">IF(OR(C15="",ISNUMBER(C15)),"لا","نعم")</f>
        <v>لا</v>
      </c>
      <c r="P15" s="19" t="str">
        <f aca="false">IF(COUNTIF($B$2:B15,B15)&gt;1,"مكرر","فريد")</f>
        <v>فريد</v>
      </c>
      <c r="Q15" s="19" t="str">
        <f aca="false">IF(COUNTBLANK(D15:L15)&gt;0,"نعم","لا")</f>
        <v>نعم</v>
      </c>
    </row>
    <row r="16" customFormat="false" ht="15" hidden="false" customHeight="false" outlineLevel="0" collapsed="false">
      <c r="A16" s="19" t="n">
        <v>15</v>
      </c>
      <c r="B16" s="30" t="s">
        <v>566</v>
      </c>
      <c r="C16" s="44" t="n">
        <v>45437</v>
      </c>
      <c r="D16" s="30" t="s">
        <v>50</v>
      </c>
      <c r="E16" s="30" t="s">
        <v>107</v>
      </c>
      <c r="F16" s="30" t="s">
        <v>272</v>
      </c>
      <c r="G16" s="31" t="n">
        <v>5449</v>
      </c>
      <c r="H16" s="19" t="n">
        <v>1</v>
      </c>
      <c r="I16" s="32" t="n">
        <v>0</v>
      </c>
      <c r="J16" s="30" t="s">
        <v>1335</v>
      </c>
      <c r="K16" s="30" t="s">
        <v>51</v>
      </c>
      <c r="L16" s="30" t="s">
        <v>96</v>
      </c>
      <c r="M16" s="31" t="n">
        <f aca="false">AVERAGEIF($E$2:$E$1197,E16,$G$2:$G$1197)</f>
        <v>4981.14563106796</v>
      </c>
      <c r="N16" s="19" t="str">
        <f aca="false">IF(G16&gt;M16*3,"نعم","لا")</f>
        <v>لا</v>
      </c>
      <c r="O16" s="19" t="str">
        <f aca="false">IF(OR(C16="",ISNUMBER(C16)),"لا","نعم")</f>
        <v>لا</v>
      </c>
      <c r="P16" s="19" t="str">
        <f aca="false">IF(COUNTIF($B$2:B16,B16)&gt;1,"مكرر","فريد")</f>
        <v>فريد</v>
      </c>
      <c r="Q16" s="19" t="str">
        <f aca="false">IF(COUNTBLANK(D16:L16)&gt;0,"نعم","لا")</f>
        <v>لا</v>
      </c>
    </row>
    <row r="17" customFormat="false" ht="15" hidden="false" customHeight="false" outlineLevel="0" collapsed="false">
      <c r="A17" s="19" t="n">
        <v>16</v>
      </c>
      <c r="B17" s="30" t="s">
        <v>626</v>
      </c>
      <c r="C17" s="44" t="n">
        <v>45459</v>
      </c>
      <c r="D17" s="30" t="s">
        <v>54</v>
      </c>
      <c r="E17" s="30" t="s">
        <v>109</v>
      </c>
      <c r="F17" s="30" t="s">
        <v>171</v>
      </c>
      <c r="G17" s="31" t="n">
        <v>329</v>
      </c>
      <c r="H17" s="19" t="n">
        <v>2</v>
      </c>
      <c r="I17" s="32" t="n">
        <v>0.05</v>
      </c>
      <c r="J17" s="30" t="s">
        <v>48</v>
      </c>
      <c r="K17" s="30" t="s">
        <v>47</v>
      </c>
      <c r="L17" s="30" t="s">
        <v>92</v>
      </c>
      <c r="M17" s="31" t="n">
        <f aca="false">AVERAGEIF($E$2:$E$1197,E17,$G$2:$G$1197)</f>
        <v>186.056291390729</v>
      </c>
      <c r="N17" s="19" t="str">
        <f aca="false">IF(G17&gt;M17*3,"نعم","لا")</f>
        <v>لا</v>
      </c>
      <c r="O17" s="19" t="str">
        <f aca="false">IF(OR(C17="",ISNUMBER(C17)),"لا","نعم")</f>
        <v>لا</v>
      </c>
      <c r="P17" s="19" t="str">
        <f aca="false">IF(COUNTIF($B$2:B17,B17)&gt;1,"مكرر","فريد")</f>
        <v>فريد</v>
      </c>
      <c r="Q17" s="19" t="str">
        <f aca="false">IF(COUNTBLANK(D17:L17)&gt;0,"نعم","لا")</f>
        <v>لا</v>
      </c>
    </row>
    <row r="18" customFormat="false" ht="15" hidden="false" customHeight="false" outlineLevel="0" collapsed="false">
      <c r="A18" s="19" t="n">
        <v>17</v>
      </c>
      <c r="B18" s="30" t="s">
        <v>911</v>
      </c>
      <c r="C18" s="30" t="s">
        <v>1336</v>
      </c>
      <c r="D18" s="30" t="s">
        <v>46</v>
      </c>
      <c r="E18" s="30" t="s">
        <v>109</v>
      </c>
      <c r="F18" s="30" t="s">
        <v>192</v>
      </c>
      <c r="G18" s="31" t="n">
        <v>169</v>
      </c>
      <c r="H18" s="19" t="n">
        <v>1</v>
      </c>
      <c r="I18" s="32" t="n">
        <v>0.1</v>
      </c>
      <c r="J18" s="30" t="s">
        <v>55</v>
      </c>
      <c r="K18" s="30" t="s">
        <v>47</v>
      </c>
      <c r="L18" s="30" t="s">
        <v>84</v>
      </c>
      <c r="M18" s="31" t="n">
        <f aca="false">AVERAGEIF($E$2:$E$1197,E18,$G$2:$G$1197)</f>
        <v>186.056291390729</v>
      </c>
      <c r="N18" s="19" t="str">
        <f aca="false">IF(G18&gt;M18*3,"نعم","لا")</f>
        <v>لا</v>
      </c>
      <c r="O18" s="19" t="str">
        <f aca="false">IF(OR(C18="",ISNUMBER(C18)),"لا","نعم")</f>
        <v>نعم</v>
      </c>
      <c r="P18" s="19" t="str">
        <f aca="false">IF(COUNTIF($B$2:B18,B18)&gt;1,"مكرر","فريد")</f>
        <v>فريد</v>
      </c>
      <c r="Q18" s="19" t="str">
        <f aca="false">IF(COUNTBLANK(D18:L18)&gt;0,"نعم","لا")</f>
        <v>لا</v>
      </c>
    </row>
    <row r="19" customFormat="false" ht="15" hidden="false" customHeight="false" outlineLevel="0" collapsed="false">
      <c r="A19" s="19" t="n">
        <v>18</v>
      </c>
      <c r="B19" s="30" t="s">
        <v>378</v>
      </c>
      <c r="C19" s="44" t="n">
        <v>45368</v>
      </c>
      <c r="D19" s="30" t="s">
        <v>1337</v>
      </c>
      <c r="E19" s="30" t="s">
        <v>107</v>
      </c>
      <c r="F19" s="30" t="s">
        <v>115</v>
      </c>
      <c r="G19" s="31" t="n">
        <v>4549</v>
      </c>
      <c r="H19" s="19" t="n">
        <v>1</v>
      </c>
      <c r="I19" s="32" t="n">
        <v>0.1</v>
      </c>
      <c r="J19" s="30" t="s">
        <v>52</v>
      </c>
      <c r="K19" s="30" t="s">
        <v>47</v>
      </c>
      <c r="L19" s="30" t="s">
        <v>99</v>
      </c>
      <c r="M19" s="31" t="n">
        <f aca="false">AVERAGEIF($E$2:$E$1197,E19,$G$2:$G$1197)</f>
        <v>4981.14563106796</v>
      </c>
      <c r="N19" s="19" t="str">
        <f aca="false">IF(G19&gt;M19*3,"نعم","لا")</f>
        <v>لا</v>
      </c>
      <c r="O19" s="19" t="str">
        <f aca="false">IF(OR(C19="",ISNUMBER(C19)),"لا","نعم")</f>
        <v>لا</v>
      </c>
      <c r="P19" s="19" t="str">
        <f aca="false">IF(COUNTIF($B$2:B19,B19)&gt;1,"مكرر","فريد")</f>
        <v>فريد</v>
      </c>
      <c r="Q19" s="19" t="str">
        <f aca="false">IF(COUNTBLANK(D19:L19)&gt;0,"نعم","لا")</f>
        <v>لا</v>
      </c>
    </row>
    <row r="20" customFormat="false" ht="15" hidden="false" customHeight="false" outlineLevel="0" collapsed="false">
      <c r="A20" s="19" t="n">
        <v>19</v>
      </c>
      <c r="B20" s="30" t="s">
        <v>874</v>
      </c>
      <c r="C20" s="44" t="n">
        <v>45535</v>
      </c>
      <c r="D20" s="30" t="s">
        <v>50</v>
      </c>
      <c r="E20" s="30" t="s">
        <v>105</v>
      </c>
      <c r="F20" s="30" t="s">
        <v>85</v>
      </c>
      <c r="G20" s="31" t="n">
        <v>2019</v>
      </c>
      <c r="H20" s="19" t="n">
        <v>2</v>
      </c>
      <c r="I20" s="32" t="n">
        <v>0.1</v>
      </c>
      <c r="J20" s="30" t="s">
        <v>55</v>
      </c>
      <c r="K20" s="30" t="s">
        <v>47</v>
      </c>
      <c r="L20" s="30" t="s">
        <v>86</v>
      </c>
      <c r="M20" s="31" t="n">
        <f aca="false">AVERAGEIF($E$2:$E$1197,E20,$G$2:$G$1197)</f>
        <v>2870.26771653543</v>
      </c>
      <c r="N20" s="19" t="str">
        <f aca="false">IF(G20&gt;M20*3,"نعم","لا")</f>
        <v>لا</v>
      </c>
      <c r="O20" s="19" t="str">
        <f aca="false">IF(OR(C20="",ISNUMBER(C20)),"لا","نعم")</f>
        <v>لا</v>
      </c>
      <c r="P20" s="19" t="str">
        <f aca="false">IF(COUNTIF($B$2:B20,B20)&gt;1,"مكرر","فريد")</f>
        <v>فريد</v>
      </c>
      <c r="Q20" s="19" t="str">
        <f aca="false">IF(COUNTBLANK(D20:L20)&gt;0,"نعم","لا")</f>
        <v>لا</v>
      </c>
    </row>
    <row r="21" customFormat="false" ht="15" hidden="false" customHeight="false" outlineLevel="0" collapsed="false">
      <c r="A21" s="19" t="n">
        <v>20</v>
      </c>
      <c r="B21" s="30" t="s">
        <v>1048</v>
      </c>
      <c r="C21" s="44" t="n">
        <v>45596</v>
      </c>
      <c r="D21" s="30" t="s">
        <v>46</v>
      </c>
      <c r="E21" s="30" t="s">
        <v>107</v>
      </c>
      <c r="F21" s="30" t="s">
        <v>114</v>
      </c>
      <c r="G21" s="31" t="n">
        <v>6809</v>
      </c>
      <c r="H21" s="19" t="n">
        <v>3</v>
      </c>
      <c r="I21" s="32" t="n">
        <v>0.05</v>
      </c>
      <c r="J21" s="30" t="s">
        <v>48</v>
      </c>
      <c r="K21" s="30" t="s">
        <v>51</v>
      </c>
      <c r="L21" s="30" t="s">
        <v>81</v>
      </c>
      <c r="M21" s="31" t="n">
        <f aca="false">AVERAGEIF($E$2:$E$1197,E21,$G$2:$G$1197)</f>
        <v>4981.14563106796</v>
      </c>
      <c r="N21" s="19" t="str">
        <f aca="false">IF(G21&gt;M21*3,"نعم","لا")</f>
        <v>لا</v>
      </c>
      <c r="O21" s="19" t="str">
        <f aca="false">IF(OR(C21="",ISNUMBER(C21)),"لا","نعم")</f>
        <v>لا</v>
      </c>
      <c r="P21" s="19" t="str">
        <f aca="false">IF(COUNTIF($B$2:B21,B21)&gt;1,"مكرر","فريد")</f>
        <v>فريد</v>
      </c>
      <c r="Q21" s="19" t="str">
        <f aca="false">IF(COUNTBLANK(D21:L21)&gt;0,"نعم","لا")</f>
        <v>لا</v>
      </c>
    </row>
    <row r="22" customFormat="false" ht="15" hidden="false" customHeight="false" outlineLevel="0" collapsed="false">
      <c r="A22" s="19" t="n">
        <v>21</v>
      </c>
      <c r="B22" s="30" t="s">
        <v>337</v>
      </c>
      <c r="C22" s="44" t="n">
        <v>45357</v>
      </c>
      <c r="D22" s="30" t="s">
        <v>50</v>
      </c>
      <c r="E22" s="30" t="s">
        <v>109</v>
      </c>
      <c r="F22" s="30" t="s">
        <v>175</v>
      </c>
      <c r="G22" s="31" t="n">
        <v>59</v>
      </c>
      <c r="H22" s="19" t="n">
        <v>6</v>
      </c>
      <c r="I22" s="32" t="n">
        <v>0.05</v>
      </c>
      <c r="J22" s="30" t="s">
        <v>58</v>
      </c>
      <c r="K22" s="30" t="s">
        <v>51</v>
      </c>
      <c r="L22" s="30" t="s">
        <v>99</v>
      </c>
      <c r="M22" s="31" t="n">
        <f aca="false">AVERAGEIF($E$2:$E$1197,E22,$G$2:$G$1197)</f>
        <v>186.056291390729</v>
      </c>
      <c r="N22" s="19" t="str">
        <f aca="false">IF(G22&gt;M22*3,"نعم","لا")</f>
        <v>لا</v>
      </c>
      <c r="O22" s="19" t="str">
        <f aca="false">IF(OR(C22="",ISNUMBER(C22)),"لا","نعم")</f>
        <v>لا</v>
      </c>
      <c r="P22" s="19" t="str">
        <f aca="false">IF(COUNTIF($B$2:B22,B22)&gt;1,"مكرر","فريد")</f>
        <v>فريد</v>
      </c>
      <c r="Q22" s="19" t="str">
        <f aca="false">IF(COUNTBLANK(D22:L22)&gt;0,"نعم","لا")</f>
        <v>لا</v>
      </c>
    </row>
    <row r="23" customFormat="false" ht="15" hidden="false" customHeight="false" outlineLevel="0" collapsed="false">
      <c r="A23" s="19" t="n">
        <v>22</v>
      </c>
      <c r="B23" s="30" t="s">
        <v>1087</v>
      </c>
      <c r="C23" s="44" t="n">
        <v>45605</v>
      </c>
      <c r="D23" s="30" t="s">
        <v>1338</v>
      </c>
      <c r="E23" s="30" t="s">
        <v>113</v>
      </c>
      <c r="F23" s="30" t="s">
        <v>100</v>
      </c>
      <c r="G23" s="31" t="n">
        <v>489</v>
      </c>
      <c r="H23" s="19" t="n">
        <v>1</v>
      </c>
      <c r="I23" s="32" t="n">
        <v>0.05</v>
      </c>
      <c r="J23" s="30" t="s">
        <v>48</v>
      </c>
      <c r="K23" s="30" t="s">
        <v>47</v>
      </c>
      <c r="L23" s="30" t="s">
        <v>76</v>
      </c>
      <c r="M23" s="31" t="n">
        <f aca="false">AVERAGEIF($E$2:$E$1197,E23,$G$2:$G$1197)</f>
        <v>545.358823529412</v>
      </c>
      <c r="N23" s="19" t="str">
        <f aca="false">IF(G23&gt;M23*3,"نعم","لا")</f>
        <v>لا</v>
      </c>
      <c r="O23" s="19" t="str">
        <f aca="false">IF(OR(C23="",ISNUMBER(C23)),"لا","نعم")</f>
        <v>لا</v>
      </c>
      <c r="P23" s="19" t="str">
        <f aca="false">IF(COUNTIF($B$2:B23,B23)&gt;1,"مكرر","فريد")</f>
        <v>فريد</v>
      </c>
      <c r="Q23" s="19" t="str">
        <f aca="false">IF(COUNTBLANK(D23:L23)&gt;0,"نعم","لا")</f>
        <v>لا</v>
      </c>
    </row>
    <row r="24" customFormat="false" ht="15" hidden="false" customHeight="false" outlineLevel="0" collapsed="false">
      <c r="A24" s="19" t="n">
        <v>23</v>
      </c>
      <c r="B24" s="30" t="s">
        <v>984</v>
      </c>
      <c r="C24" s="44" t="n">
        <v>45575</v>
      </c>
      <c r="D24" s="30" t="s">
        <v>50</v>
      </c>
      <c r="E24" s="30" t="s">
        <v>105</v>
      </c>
      <c r="F24" s="30" t="s">
        <v>82</v>
      </c>
      <c r="G24" s="31" t="n">
        <v>1509</v>
      </c>
      <c r="H24" s="19" t="n">
        <v>5</v>
      </c>
      <c r="I24" s="32" t="n">
        <v>0.15</v>
      </c>
      <c r="J24" s="30" t="s">
        <v>48</v>
      </c>
      <c r="K24" s="30"/>
      <c r="L24" s="30" t="s">
        <v>81</v>
      </c>
      <c r="M24" s="31" t="n">
        <f aca="false">AVERAGEIF($E$2:$E$1197,E24,$G$2:$G$1197)</f>
        <v>2870.26771653543</v>
      </c>
      <c r="N24" s="19" t="str">
        <f aca="false">IF(G24&gt;M24*3,"نعم","لا")</f>
        <v>لا</v>
      </c>
      <c r="O24" s="19" t="str">
        <f aca="false">IF(OR(C24="",ISNUMBER(C24)),"لا","نعم")</f>
        <v>لا</v>
      </c>
      <c r="P24" s="19" t="str">
        <f aca="false">IF(COUNTIF($B$2:B24,B24)&gt;1,"مكرر","فريد")</f>
        <v>فريد</v>
      </c>
      <c r="Q24" s="19" t="str">
        <f aca="false">IF(COUNTBLANK(D24:L24)&gt;0,"نعم","لا")</f>
        <v>نعم</v>
      </c>
    </row>
    <row r="25" customFormat="false" ht="15" hidden="false" customHeight="false" outlineLevel="0" collapsed="false">
      <c r="A25" s="19" t="n">
        <v>24</v>
      </c>
      <c r="B25" s="30" t="s">
        <v>489</v>
      </c>
      <c r="C25" s="44" t="n">
        <v>45409</v>
      </c>
      <c r="D25" s="30" t="s">
        <v>57</v>
      </c>
      <c r="E25" s="30" t="s">
        <v>109</v>
      </c>
      <c r="F25" s="30" t="s">
        <v>171</v>
      </c>
      <c r="G25" s="31" t="n">
        <v>139</v>
      </c>
      <c r="H25" s="19" t="n">
        <v>1</v>
      </c>
      <c r="I25" s="32" t="n">
        <v>0</v>
      </c>
      <c r="J25" s="30" t="s">
        <v>52</v>
      </c>
      <c r="K25" s="30" t="s">
        <v>47</v>
      </c>
      <c r="L25" s="30" t="s">
        <v>81</v>
      </c>
      <c r="M25" s="31" t="n">
        <f aca="false">AVERAGEIF($E$2:$E$1197,E25,$G$2:$G$1197)</f>
        <v>186.056291390729</v>
      </c>
      <c r="N25" s="19" t="str">
        <f aca="false">IF(G25&gt;M25*3,"نعم","لا")</f>
        <v>لا</v>
      </c>
      <c r="O25" s="19" t="str">
        <f aca="false">IF(OR(C25="",ISNUMBER(C25)),"لا","نعم")</f>
        <v>لا</v>
      </c>
      <c r="P25" s="19" t="str">
        <f aca="false">IF(COUNTIF($B$2:B25,B25)&gt;1,"مكرر","فريد")</f>
        <v>فريد</v>
      </c>
      <c r="Q25" s="19" t="str">
        <f aca="false">IF(COUNTBLANK(D25:L25)&gt;0,"نعم","لا")</f>
        <v>لا</v>
      </c>
    </row>
    <row r="26" customFormat="false" ht="15" hidden="false" customHeight="false" outlineLevel="0" collapsed="false">
      <c r="A26" s="19" t="n">
        <v>25</v>
      </c>
      <c r="B26" s="30" t="s">
        <v>586</v>
      </c>
      <c r="C26" s="44" t="n">
        <v>45446</v>
      </c>
      <c r="D26" s="30" t="s">
        <v>57</v>
      </c>
      <c r="E26" s="30" t="s">
        <v>107</v>
      </c>
      <c r="F26" s="30" t="s">
        <v>114</v>
      </c>
      <c r="G26" s="31" t="n">
        <v>5379</v>
      </c>
      <c r="H26" s="19" t="n">
        <v>1</v>
      </c>
      <c r="I26" s="32" t="n">
        <v>0.15</v>
      </c>
      <c r="J26" s="30" t="s">
        <v>58</v>
      </c>
      <c r="K26" s="30" t="s">
        <v>47</v>
      </c>
      <c r="L26" s="30" t="s">
        <v>76</v>
      </c>
      <c r="M26" s="31" t="n">
        <f aca="false">AVERAGEIF($E$2:$E$1197,E26,$G$2:$G$1197)</f>
        <v>4981.14563106796</v>
      </c>
      <c r="N26" s="19" t="str">
        <f aca="false">IF(G26&gt;M26*3,"نعم","لا")</f>
        <v>لا</v>
      </c>
      <c r="O26" s="19" t="str">
        <f aca="false">IF(OR(C26="",ISNUMBER(C26)),"لا","نعم")</f>
        <v>لا</v>
      </c>
      <c r="P26" s="19" t="str">
        <f aca="false">IF(COUNTIF($B$2:B26,B26)&gt;1,"مكرر","فريد")</f>
        <v>فريد</v>
      </c>
      <c r="Q26" s="19" t="str">
        <f aca="false">IF(COUNTBLANK(D26:L26)&gt;0,"نعم","لا")</f>
        <v>لا</v>
      </c>
    </row>
    <row r="27" customFormat="false" ht="15" hidden="false" customHeight="false" outlineLevel="0" collapsed="false">
      <c r="A27" s="19" t="n">
        <v>26</v>
      </c>
      <c r="B27" s="30" t="s">
        <v>689</v>
      </c>
      <c r="C27" s="44" t="n">
        <v>45481</v>
      </c>
      <c r="D27" s="30" t="s">
        <v>46</v>
      </c>
      <c r="E27" s="30" t="s">
        <v>105</v>
      </c>
      <c r="F27" s="30" t="s">
        <v>179</v>
      </c>
      <c r="G27" s="31" t="n">
        <v>2029</v>
      </c>
      <c r="H27" s="19" t="n">
        <v>2</v>
      </c>
      <c r="I27" s="32" t="n">
        <v>0.2</v>
      </c>
      <c r="J27" s="30" t="s">
        <v>52</v>
      </c>
      <c r="K27" s="30" t="s">
        <v>51</v>
      </c>
      <c r="L27" s="30" t="s">
        <v>84</v>
      </c>
      <c r="M27" s="31" t="n">
        <f aca="false">AVERAGEIF($E$2:$E$1197,E27,$G$2:$G$1197)</f>
        <v>2870.26771653543</v>
      </c>
      <c r="N27" s="19" t="str">
        <f aca="false">IF(G27&gt;M27*3,"نعم","لا")</f>
        <v>لا</v>
      </c>
      <c r="O27" s="19" t="str">
        <f aca="false">IF(OR(C27="",ISNUMBER(C27)),"لا","نعم")</f>
        <v>لا</v>
      </c>
      <c r="P27" s="19" t="str">
        <f aca="false">IF(COUNTIF($B$2:B27,B27)&gt;1,"مكرر","فريد")</f>
        <v>فريد</v>
      </c>
      <c r="Q27" s="19" t="str">
        <f aca="false">IF(COUNTBLANK(D27:L27)&gt;0,"نعم","لا")</f>
        <v>لا</v>
      </c>
    </row>
    <row r="28" customFormat="false" ht="15" hidden="false" customHeight="false" outlineLevel="0" collapsed="false">
      <c r="A28" s="19" t="n">
        <v>27</v>
      </c>
      <c r="B28" s="30" t="s">
        <v>299</v>
      </c>
      <c r="C28" s="44" t="n">
        <v>45340</v>
      </c>
      <c r="D28" s="30" t="s">
        <v>60</v>
      </c>
      <c r="E28" s="30" t="s">
        <v>107</v>
      </c>
      <c r="F28" s="30" t="s">
        <v>115</v>
      </c>
      <c r="G28" s="31" t="n">
        <v>1849</v>
      </c>
      <c r="H28" s="19" t="n">
        <v>1</v>
      </c>
      <c r="I28" s="32" t="n">
        <v>0.05</v>
      </c>
      <c r="J28" s="30" t="s">
        <v>48</v>
      </c>
      <c r="K28" s="30" t="s">
        <v>47</v>
      </c>
      <c r="L28" s="30" t="s">
        <v>78</v>
      </c>
      <c r="M28" s="31" t="n">
        <f aca="false">AVERAGEIF($E$2:$E$1197,E28,$G$2:$G$1197)</f>
        <v>4981.14563106796</v>
      </c>
      <c r="N28" s="19" t="str">
        <f aca="false">IF(G28&gt;M28*3,"نعم","لا")</f>
        <v>لا</v>
      </c>
      <c r="O28" s="19" t="str">
        <f aca="false">IF(OR(C28="",ISNUMBER(C28)),"لا","نعم")</f>
        <v>لا</v>
      </c>
      <c r="P28" s="19" t="str">
        <f aca="false">IF(COUNTIF($B$2:B28,B28)&gt;1,"مكرر","فريد")</f>
        <v>فريد</v>
      </c>
      <c r="Q28" s="19" t="str">
        <f aca="false">IF(COUNTBLANK(D28:L28)&gt;0,"نعم","لا")</f>
        <v>لا</v>
      </c>
    </row>
    <row r="29" customFormat="false" ht="15" hidden="false" customHeight="false" outlineLevel="0" collapsed="false">
      <c r="A29" s="19" t="n">
        <v>28</v>
      </c>
      <c r="B29" s="30" t="s">
        <v>725</v>
      </c>
      <c r="C29" s="44" t="n">
        <v>45495</v>
      </c>
      <c r="D29" s="30" t="s">
        <v>50</v>
      </c>
      <c r="E29" s="30" t="s">
        <v>109</v>
      </c>
      <c r="F29" s="30" t="s">
        <v>192</v>
      </c>
      <c r="G29" s="31" t="n">
        <v>79</v>
      </c>
      <c r="H29" s="19" t="n">
        <v>1</v>
      </c>
      <c r="I29" s="32" t="n">
        <v>0.05</v>
      </c>
      <c r="J29" s="30" t="s">
        <v>48</v>
      </c>
      <c r="K29" s="30" t="s">
        <v>47</v>
      </c>
      <c r="L29" s="30" t="s">
        <v>86</v>
      </c>
      <c r="M29" s="31" t="n">
        <f aca="false">AVERAGEIF($E$2:$E$1197,E29,$G$2:$G$1197)</f>
        <v>186.056291390729</v>
      </c>
      <c r="N29" s="19" t="str">
        <f aca="false">IF(G29&gt;M29*3,"نعم","لا")</f>
        <v>لا</v>
      </c>
      <c r="O29" s="19" t="str">
        <f aca="false">IF(OR(C29="",ISNUMBER(C29)),"لا","نعم")</f>
        <v>لا</v>
      </c>
      <c r="P29" s="19" t="str">
        <f aca="false">IF(COUNTIF($B$2:B29,B29)&gt;1,"مكرر","فريد")</f>
        <v>فريد</v>
      </c>
      <c r="Q29" s="19" t="str">
        <f aca="false">IF(COUNTBLANK(D29:L29)&gt;0,"نعم","لا")</f>
        <v>لا</v>
      </c>
    </row>
    <row r="30" customFormat="false" ht="15" hidden="false" customHeight="false" outlineLevel="0" collapsed="false">
      <c r="A30" s="19" t="n">
        <v>29</v>
      </c>
      <c r="B30" s="30" t="s">
        <v>1255</v>
      </c>
      <c r="C30" s="44" t="n">
        <v>45647</v>
      </c>
      <c r="D30" s="30" t="s">
        <v>46</v>
      </c>
      <c r="E30" s="30" t="s">
        <v>109</v>
      </c>
      <c r="F30" s="30" t="s">
        <v>110</v>
      </c>
      <c r="G30" s="31" t="n">
        <v>139</v>
      </c>
      <c r="H30" s="19" t="n">
        <v>1</v>
      </c>
      <c r="I30" s="32" t="n">
        <v>0</v>
      </c>
      <c r="J30" s="30" t="s">
        <v>48</v>
      </c>
      <c r="K30" s="30" t="s">
        <v>47</v>
      </c>
      <c r="L30" s="30" t="s">
        <v>89</v>
      </c>
      <c r="M30" s="31" t="n">
        <f aca="false">AVERAGEIF($E$2:$E$1197,E30,$G$2:$G$1197)</f>
        <v>186.056291390729</v>
      </c>
      <c r="N30" s="19" t="str">
        <f aca="false">IF(G30&gt;M30*3,"نعم","لا")</f>
        <v>لا</v>
      </c>
      <c r="O30" s="19" t="str">
        <f aca="false">IF(OR(C30="",ISNUMBER(C30)),"لا","نعم")</f>
        <v>لا</v>
      </c>
      <c r="P30" s="19" t="str">
        <f aca="false">IF(COUNTIF($B$2:B30,B30)&gt;1,"مكرر","فريد")</f>
        <v>فريد</v>
      </c>
      <c r="Q30" s="19" t="str">
        <f aca="false">IF(COUNTBLANK(D30:L30)&gt;0,"نعم","لا")</f>
        <v>لا</v>
      </c>
    </row>
    <row r="31" customFormat="false" ht="15" hidden="false" customHeight="false" outlineLevel="0" collapsed="false">
      <c r="A31" s="19" t="n">
        <v>30</v>
      </c>
      <c r="B31" s="30" t="s">
        <v>570</v>
      </c>
      <c r="C31" s="44" t="n">
        <v>45438</v>
      </c>
      <c r="D31" s="30" t="s">
        <v>57</v>
      </c>
      <c r="E31" s="30" t="s">
        <v>107</v>
      </c>
      <c r="F31" s="30" t="s">
        <v>272</v>
      </c>
      <c r="G31" s="31" t="n">
        <v>3669</v>
      </c>
      <c r="H31" s="19" t="n">
        <v>2</v>
      </c>
      <c r="I31" s="32" t="n">
        <v>0</v>
      </c>
      <c r="J31" s="30" t="s">
        <v>48</v>
      </c>
      <c r="K31" s="30" t="s">
        <v>47</v>
      </c>
      <c r="L31" s="30" t="s">
        <v>81</v>
      </c>
      <c r="M31" s="31" t="n">
        <f aca="false">AVERAGEIF($E$2:$E$1197,E31,$G$2:$G$1197)</f>
        <v>4981.14563106796</v>
      </c>
      <c r="N31" s="19" t="str">
        <f aca="false">IF(G31&gt;M31*3,"نعم","لا")</f>
        <v>لا</v>
      </c>
      <c r="O31" s="19" t="str">
        <f aca="false">IF(OR(C31="",ISNUMBER(C31)),"لا","نعم")</f>
        <v>لا</v>
      </c>
      <c r="P31" s="19" t="str">
        <f aca="false">IF(COUNTIF($B$2:B31,B31)&gt;1,"مكرر","فريد")</f>
        <v>فريد</v>
      </c>
      <c r="Q31" s="19" t="str">
        <f aca="false">IF(COUNTBLANK(D31:L31)&gt;0,"نعم","لا")</f>
        <v>لا</v>
      </c>
    </row>
    <row r="32" customFormat="false" ht="15" hidden="false" customHeight="false" outlineLevel="0" collapsed="false">
      <c r="A32" s="19" t="n">
        <v>31</v>
      </c>
      <c r="B32" s="30" t="s">
        <v>1133</v>
      </c>
      <c r="C32" s="30" t="s">
        <v>1339</v>
      </c>
      <c r="D32" s="30" t="s">
        <v>46</v>
      </c>
      <c r="E32" s="30" t="s">
        <v>105</v>
      </c>
      <c r="F32" s="30" t="s">
        <v>79</v>
      </c>
      <c r="G32" s="31" t="n">
        <v>2859</v>
      </c>
      <c r="H32" s="19" t="n">
        <v>5</v>
      </c>
      <c r="I32" s="32" t="n">
        <v>0.05</v>
      </c>
      <c r="J32" s="30" t="s">
        <v>48</v>
      </c>
      <c r="K32" s="30" t="s">
        <v>51</v>
      </c>
      <c r="L32" s="30" t="s">
        <v>96</v>
      </c>
      <c r="M32" s="31" t="n">
        <f aca="false">AVERAGEIF($E$2:$E$1197,E32,$G$2:$G$1197)</f>
        <v>2870.26771653543</v>
      </c>
      <c r="N32" s="19" t="str">
        <f aca="false">IF(G32&gt;M32*3,"نعم","لا")</f>
        <v>لا</v>
      </c>
      <c r="O32" s="19" t="str">
        <f aca="false">IF(OR(C32="",ISNUMBER(C32)),"لا","نعم")</f>
        <v>نعم</v>
      </c>
      <c r="P32" s="19" t="str">
        <f aca="false">IF(COUNTIF($B$2:B32,B32)&gt;1,"مكرر","فريد")</f>
        <v>فريد</v>
      </c>
      <c r="Q32" s="19" t="str">
        <f aca="false">IF(COUNTBLANK(D32:L32)&gt;0,"نعم","لا")</f>
        <v>لا</v>
      </c>
    </row>
    <row r="33" customFormat="false" ht="15" hidden="false" customHeight="false" outlineLevel="0" collapsed="false">
      <c r="A33" s="19" t="n">
        <v>32</v>
      </c>
      <c r="B33" s="30" t="s">
        <v>325</v>
      </c>
      <c r="C33" s="44" t="n">
        <v>45353</v>
      </c>
      <c r="D33" s="30" t="s">
        <v>46</v>
      </c>
      <c r="E33" s="30" t="s">
        <v>111</v>
      </c>
      <c r="F33" s="30" t="s">
        <v>120</v>
      </c>
      <c r="G33" s="31" t="n">
        <v>129</v>
      </c>
      <c r="H33" s="19" t="n">
        <v>2</v>
      </c>
      <c r="I33" s="32" t="n">
        <v>0</v>
      </c>
      <c r="J33" s="30" t="s">
        <v>52</v>
      </c>
      <c r="K33" s="30" t="s">
        <v>47</v>
      </c>
      <c r="L33" s="30" t="s">
        <v>86</v>
      </c>
      <c r="M33" s="31" t="n">
        <f aca="false">AVERAGEIF($E$2:$E$1197,E33,$G$2:$G$1197)</f>
        <v>366.306569343066</v>
      </c>
      <c r="N33" s="19" t="str">
        <f aca="false">IF(G33&gt;M33*3,"نعم","لا")</f>
        <v>لا</v>
      </c>
      <c r="O33" s="19" t="str">
        <f aca="false">IF(OR(C33="",ISNUMBER(C33)),"لا","نعم")</f>
        <v>لا</v>
      </c>
      <c r="P33" s="19" t="str">
        <f aca="false">IF(COUNTIF($B$2:B33,B33)&gt;1,"مكرر","فريد")</f>
        <v>فريد</v>
      </c>
      <c r="Q33" s="19" t="str">
        <f aca="false">IF(COUNTBLANK(D33:L33)&gt;0,"نعم","لا")</f>
        <v>لا</v>
      </c>
    </row>
    <row r="34" customFormat="false" ht="15" hidden="false" customHeight="false" outlineLevel="0" collapsed="false">
      <c r="A34" s="19" t="n">
        <v>33</v>
      </c>
      <c r="B34" s="30" t="s">
        <v>1068</v>
      </c>
      <c r="C34" s="44" t="n">
        <v>45601</v>
      </c>
      <c r="D34" s="30" t="s">
        <v>60</v>
      </c>
      <c r="E34" s="30" t="s">
        <v>105</v>
      </c>
      <c r="F34" s="30" t="s">
        <v>79</v>
      </c>
      <c r="G34" s="31" t="n">
        <v>4119</v>
      </c>
      <c r="H34" s="19" t="n">
        <v>3</v>
      </c>
      <c r="I34" s="32" t="n">
        <v>0</v>
      </c>
      <c r="J34" s="30" t="s">
        <v>55</v>
      </c>
      <c r="K34" s="30" t="s">
        <v>47</v>
      </c>
      <c r="L34" s="30" t="s">
        <v>86</v>
      </c>
      <c r="M34" s="31" t="n">
        <f aca="false">AVERAGEIF($E$2:$E$1197,E34,$G$2:$G$1197)</f>
        <v>2870.26771653543</v>
      </c>
      <c r="N34" s="19" t="str">
        <f aca="false">IF(G34&gt;M34*3,"نعم","لا")</f>
        <v>لا</v>
      </c>
      <c r="O34" s="19" t="str">
        <f aca="false">IF(OR(C34="",ISNUMBER(C34)),"لا","نعم")</f>
        <v>لا</v>
      </c>
      <c r="P34" s="19" t="str">
        <f aca="false">IF(COUNTIF($B$2:B34,B34)&gt;1,"مكرر","فريد")</f>
        <v>فريد</v>
      </c>
      <c r="Q34" s="19" t="str">
        <f aca="false">IF(COUNTBLANK(D34:L34)&gt;0,"نعم","لا")</f>
        <v>لا</v>
      </c>
    </row>
    <row r="35" customFormat="false" ht="15" hidden="false" customHeight="false" outlineLevel="0" collapsed="false">
      <c r="A35" s="19" t="n">
        <v>34</v>
      </c>
      <c r="B35" s="30" t="s">
        <v>851</v>
      </c>
      <c r="C35" s="30" t="s">
        <v>1340</v>
      </c>
      <c r="D35" s="30" t="s">
        <v>50</v>
      </c>
      <c r="E35" s="30" t="s">
        <v>105</v>
      </c>
      <c r="F35" s="30" t="s">
        <v>1341</v>
      </c>
      <c r="G35" s="31" t="n">
        <v>1189</v>
      </c>
      <c r="H35" s="19" t="n">
        <v>1</v>
      </c>
      <c r="I35" s="32" t="n">
        <v>0.05</v>
      </c>
      <c r="J35" s="30" t="s">
        <v>52</v>
      </c>
      <c r="K35" s="30" t="s">
        <v>47</v>
      </c>
      <c r="L35" s="30" t="s">
        <v>86</v>
      </c>
      <c r="M35" s="31" t="n">
        <f aca="false">AVERAGEIF($E$2:$E$1197,E35,$G$2:$G$1197)</f>
        <v>2870.26771653543</v>
      </c>
      <c r="N35" s="19" t="str">
        <f aca="false">IF(G35&gt;M35*3,"نعم","لا")</f>
        <v>لا</v>
      </c>
      <c r="O35" s="19" t="str">
        <f aca="false">IF(OR(C35="",ISNUMBER(C35)),"لا","نعم")</f>
        <v>نعم</v>
      </c>
      <c r="P35" s="19" t="str">
        <f aca="false">IF(COUNTIF($B$2:B35,B35)&gt;1,"مكرر","فريد")</f>
        <v>فريد</v>
      </c>
      <c r="Q35" s="19" t="str">
        <f aca="false">IF(COUNTBLANK(D35:L35)&gt;0,"نعم","لا")</f>
        <v>لا</v>
      </c>
    </row>
    <row r="36" customFormat="false" ht="15" hidden="false" customHeight="false" outlineLevel="0" collapsed="false">
      <c r="A36" s="19" t="n">
        <v>35</v>
      </c>
      <c r="B36" s="30" t="s">
        <v>1287</v>
      </c>
      <c r="C36" s="44" t="n">
        <v>45656</v>
      </c>
      <c r="D36" s="30" t="s">
        <v>50</v>
      </c>
      <c r="E36" s="30" t="s">
        <v>105</v>
      </c>
      <c r="F36" s="30" t="s">
        <v>79</v>
      </c>
      <c r="G36" s="31" t="n">
        <v>1969</v>
      </c>
      <c r="H36" s="19" t="n">
        <v>1</v>
      </c>
      <c r="I36" s="32" t="n">
        <v>0</v>
      </c>
      <c r="J36" s="30" t="s">
        <v>58</v>
      </c>
      <c r="K36" s="30" t="s">
        <v>47</v>
      </c>
      <c r="L36" s="30" t="s">
        <v>84</v>
      </c>
      <c r="M36" s="31" t="n">
        <f aca="false">AVERAGEIF($E$2:$E$1197,E36,$G$2:$G$1197)</f>
        <v>2870.26771653543</v>
      </c>
      <c r="N36" s="19" t="str">
        <f aca="false">IF(G36&gt;M36*3,"نعم","لا")</f>
        <v>لا</v>
      </c>
      <c r="O36" s="19" t="str">
        <f aca="false">IF(OR(C36="",ISNUMBER(C36)),"لا","نعم")</f>
        <v>لا</v>
      </c>
      <c r="P36" s="19" t="str">
        <f aca="false">IF(COUNTIF($B$2:B36,B36)&gt;1,"مكرر","فريد")</f>
        <v>فريد</v>
      </c>
      <c r="Q36" s="19" t="str">
        <f aca="false">IF(COUNTBLANK(D36:L36)&gt;0,"نعم","لا")</f>
        <v>لا</v>
      </c>
    </row>
    <row r="37" customFormat="false" ht="15" hidden="false" customHeight="false" outlineLevel="0" collapsed="false">
      <c r="A37" s="19" t="n">
        <v>36</v>
      </c>
      <c r="B37" s="30" t="s">
        <v>305</v>
      </c>
      <c r="C37" s="44" t="n">
        <v>45342</v>
      </c>
      <c r="D37" s="30" t="s">
        <v>54</v>
      </c>
      <c r="E37" s="30" t="s">
        <v>107</v>
      </c>
      <c r="F37" s="30" t="s">
        <v>272</v>
      </c>
      <c r="G37" s="31" t="n">
        <v>7189</v>
      </c>
      <c r="H37" s="19" t="n">
        <v>1</v>
      </c>
      <c r="I37" s="32" t="n">
        <v>0</v>
      </c>
      <c r="J37" s="30" t="s">
        <v>58</v>
      </c>
      <c r="K37" s="30" t="s">
        <v>47</v>
      </c>
      <c r="L37" s="30" t="s">
        <v>94</v>
      </c>
      <c r="M37" s="31" t="n">
        <f aca="false">AVERAGEIF($E$2:$E$1197,E37,$G$2:$G$1197)</f>
        <v>4981.14563106796</v>
      </c>
      <c r="N37" s="19" t="str">
        <f aca="false">IF(G37&gt;M37*3,"نعم","لا")</f>
        <v>لا</v>
      </c>
      <c r="O37" s="19" t="str">
        <f aca="false">IF(OR(C37="",ISNUMBER(C37)),"لا","نعم")</f>
        <v>لا</v>
      </c>
      <c r="P37" s="19" t="str">
        <f aca="false">IF(COUNTIF($B$2:B37,B37)&gt;1,"مكرر","فريد")</f>
        <v>فريد</v>
      </c>
      <c r="Q37" s="19" t="str">
        <f aca="false">IF(COUNTBLANK(D37:L37)&gt;0,"نعم","لا")</f>
        <v>لا</v>
      </c>
    </row>
    <row r="38" customFormat="false" ht="15" hidden="false" customHeight="false" outlineLevel="0" collapsed="false">
      <c r="A38" s="19" t="n">
        <v>37</v>
      </c>
      <c r="B38" s="30" t="s">
        <v>950</v>
      </c>
      <c r="C38" s="30" t="s">
        <v>1342</v>
      </c>
      <c r="D38" s="30" t="s">
        <v>60</v>
      </c>
      <c r="E38" s="30" t="s">
        <v>105</v>
      </c>
      <c r="F38" s="30" t="s">
        <v>85</v>
      </c>
      <c r="G38" s="31" t="n">
        <v>1819</v>
      </c>
      <c r="H38" s="19" t="n">
        <v>1</v>
      </c>
      <c r="I38" s="32" t="n">
        <v>0</v>
      </c>
      <c r="J38" s="30" t="s">
        <v>58</v>
      </c>
      <c r="K38" s="30" t="s">
        <v>47</v>
      </c>
      <c r="L38" s="30" t="s">
        <v>89</v>
      </c>
      <c r="M38" s="31" t="n">
        <f aca="false">AVERAGEIF($E$2:$E$1197,E38,$G$2:$G$1197)</f>
        <v>2870.26771653543</v>
      </c>
      <c r="N38" s="19" t="str">
        <f aca="false">IF(G38&gt;M38*3,"نعم","لا")</f>
        <v>لا</v>
      </c>
      <c r="O38" s="19" t="str">
        <f aca="false">IF(OR(C38="",ISNUMBER(C38)),"لا","نعم")</f>
        <v>نعم</v>
      </c>
      <c r="P38" s="19" t="str">
        <f aca="false">IF(COUNTIF($B$2:B38,B38)&gt;1,"مكرر","فريد")</f>
        <v>فريد</v>
      </c>
      <c r="Q38" s="19" t="str">
        <f aca="false">IF(COUNTBLANK(D38:L38)&gt;0,"نعم","لا")</f>
        <v>لا</v>
      </c>
    </row>
    <row r="39" customFormat="false" ht="15" hidden="false" customHeight="false" outlineLevel="0" collapsed="false">
      <c r="A39" s="19" t="n">
        <v>38</v>
      </c>
      <c r="B39" s="30" t="s">
        <v>241</v>
      </c>
      <c r="C39" s="44" t="n">
        <v>45317</v>
      </c>
      <c r="D39" s="30" t="s">
        <v>54</v>
      </c>
      <c r="E39" s="30" t="s">
        <v>109</v>
      </c>
      <c r="F39" s="30" t="s">
        <v>93</v>
      </c>
      <c r="G39" s="31" t="n">
        <v>69</v>
      </c>
      <c r="H39" s="19" t="n">
        <v>1</v>
      </c>
      <c r="I39" s="32" t="n">
        <v>0</v>
      </c>
      <c r="J39" s="30" t="s">
        <v>48</v>
      </c>
      <c r="K39" s="30" t="s">
        <v>47</v>
      </c>
      <c r="L39" s="30" t="s">
        <v>99</v>
      </c>
      <c r="M39" s="31" t="n">
        <f aca="false">AVERAGEIF($E$2:$E$1197,E39,$G$2:$G$1197)</f>
        <v>186.056291390729</v>
      </c>
      <c r="N39" s="19" t="str">
        <f aca="false">IF(G39&gt;M39*3,"نعم","لا")</f>
        <v>لا</v>
      </c>
      <c r="O39" s="19" t="str">
        <f aca="false">IF(OR(C39="",ISNUMBER(C39)),"لا","نعم")</f>
        <v>لا</v>
      </c>
      <c r="P39" s="19" t="str">
        <f aca="false">IF(COUNTIF($B$2:B39,B39)&gt;1,"مكرر","فريد")</f>
        <v>فريد</v>
      </c>
      <c r="Q39" s="19" t="str">
        <f aca="false">IF(COUNTBLANK(D39:L39)&gt;0,"نعم","لا")</f>
        <v>لا</v>
      </c>
    </row>
    <row r="40" customFormat="false" ht="15" hidden="false" customHeight="false" outlineLevel="0" collapsed="false">
      <c r="A40" s="19" t="n">
        <v>39</v>
      </c>
      <c r="B40" s="30" t="s">
        <v>484</v>
      </c>
      <c r="C40" s="44" t="n">
        <v>45406</v>
      </c>
      <c r="D40" s="30" t="s">
        <v>46</v>
      </c>
      <c r="E40" s="30" t="s">
        <v>105</v>
      </c>
      <c r="F40" s="30" t="s">
        <v>179</v>
      </c>
      <c r="G40" s="31" t="n">
        <v>1409</v>
      </c>
      <c r="H40" s="19" t="n">
        <v>2</v>
      </c>
      <c r="I40" s="32" t="n">
        <v>0.15</v>
      </c>
      <c r="J40" s="30" t="s">
        <v>58</v>
      </c>
      <c r="K40" s="30" t="s">
        <v>47</v>
      </c>
      <c r="L40" s="30" t="s">
        <v>84</v>
      </c>
      <c r="M40" s="31" t="n">
        <f aca="false">AVERAGEIF($E$2:$E$1197,E40,$G$2:$G$1197)</f>
        <v>2870.26771653543</v>
      </c>
      <c r="N40" s="19" t="str">
        <f aca="false">IF(G40&gt;M40*3,"نعم","لا")</f>
        <v>لا</v>
      </c>
      <c r="O40" s="19" t="str">
        <f aca="false">IF(OR(C40="",ISNUMBER(C40)),"لا","نعم")</f>
        <v>لا</v>
      </c>
      <c r="P40" s="19" t="str">
        <f aca="false">IF(COUNTIF($B$2:B40,B40)&gt;1,"مكرر","فريد")</f>
        <v>فريد</v>
      </c>
      <c r="Q40" s="19" t="str">
        <f aca="false">IF(COUNTBLANK(D40:L40)&gt;0,"نعم","لا")</f>
        <v>لا</v>
      </c>
    </row>
    <row r="41" customFormat="false" ht="15" hidden="false" customHeight="false" outlineLevel="0" collapsed="false">
      <c r="A41" s="19" t="n">
        <v>40</v>
      </c>
      <c r="B41" s="30" t="s">
        <v>816</v>
      </c>
      <c r="C41" s="44" t="n">
        <v>45520</v>
      </c>
      <c r="D41" s="30" t="s">
        <v>46</v>
      </c>
      <c r="E41" s="30" t="s">
        <v>105</v>
      </c>
      <c r="F41" s="30" t="s">
        <v>79</v>
      </c>
      <c r="G41" s="31" t="n">
        <v>3219</v>
      </c>
      <c r="H41" s="19" t="n">
        <v>2</v>
      </c>
      <c r="I41" s="32" t="n">
        <v>0.05</v>
      </c>
      <c r="J41" s="30" t="s">
        <v>55</v>
      </c>
      <c r="K41" s="30" t="s">
        <v>47</v>
      </c>
      <c r="L41" s="30" t="s">
        <v>81</v>
      </c>
      <c r="M41" s="31" t="n">
        <f aca="false">AVERAGEIF($E$2:$E$1197,E41,$G$2:$G$1197)</f>
        <v>2870.26771653543</v>
      </c>
      <c r="N41" s="19" t="str">
        <f aca="false">IF(G41&gt;M41*3,"نعم","لا")</f>
        <v>لا</v>
      </c>
      <c r="O41" s="19" t="str">
        <f aca="false">IF(OR(C41="",ISNUMBER(C41)),"لا","نعم")</f>
        <v>لا</v>
      </c>
      <c r="P41" s="19" t="str">
        <f aca="false">IF(COUNTIF($B$2:B41,B41)&gt;1,"مكرر","فريد")</f>
        <v>فريد</v>
      </c>
      <c r="Q41" s="19" t="str">
        <f aca="false">IF(COUNTBLANK(D41:L41)&gt;0,"نعم","لا")</f>
        <v>لا</v>
      </c>
    </row>
    <row r="42" customFormat="false" ht="15" hidden="false" customHeight="false" outlineLevel="0" collapsed="false">
      <c r="A42" s="19" t="n">
        <v>41</v>
      </c>
      <c r="B42" s="30" t="s">
        <v>537</v>
      </c>
      <c r="C42" s="44" t="n">
        <v>45427</v>
      </c>
      <c r="D42" s="30" t="s">
        <v>54</v>
      </c>
      <c r="E42" s="30" t="s">
        <v>113</v>
      </c>
      <c r="F42" s="30" t="s">
        <v>95</v>
      </c>
      <c r="G42" s="31" t="n">
        <v>869</v>
      </c>
      <c r="H42" s="19" t="n">
        <v>1</v>
      </c>
      <c r="I42" s="32" t="n">
        <v>0</v>
      </c>
      <c r="J42" s="30" t="s">
        <v>58</v>
      </c>
      <c r="K42" s="30" t="s">
        <v>47</v>
      </c>
      <c r="L42" s="30" t="s">
        <v>84</v>
      </c>
      <c r="M42" s="31" t="n">
        <f aca="false">AVERAGEIF($E$2:$E$1197,E42,$G$2:$G$1197)</f>
        <v>545.358823529412</v>
      </c>
      <c r="N42" s="19" t="str">
        <f aca="false">IF(G42&gt;M42*3,"نعم","لا")</f>
        <v>لا</v>
      </c>
      <c r="O42" s="19" t="str">
        <f aca="false">IF(OR(C42="",ISNUMBER(C42)),"لا","نعم")</f>
        <v>لا</v>
      </c>
      <c r="P42" s="19" t="str">
        <f aca="false">IF(COUNTIF($B$2:B42,B42)&gt;1,"مكرر","فريد")</f>
        <v>فريد</v>
      </c>
      <c r="Q42" s="19" t="str">
        <f aca="false">IF(COUNTBLANK(D42:L42)&gt;0,"نعم","لا")</f>
        <v>لا</v>
      </c>
    </row>
    <row r="43" customFormat="false" ht="15" hidden="false" customHeight="false" outlineLevel="0" collapsed="false">
      <c r="A43" s="19" t="n">
        <v>42</v>
      </c>
      <c r="B43" s="30" t="s">
        <v>273</v>
      </c>
      <c r="C43" s="44" t="n">
        <v>45330</v>
      </c>
      <c r="D43" s="30" t="s">
        <v>54</v>
      </c>
      <c r="E43" s="30" t="s">
        <v>105</v>
      </c>
      <c r="F43" s="30" t="s">
        <v>90</v>
      </c>
      <c r="G43" s="31" t="n">
        <v>3709</v>
      </c>
      <c r="H43" s="19" t="n">
        <v>1</v>
      </c>
      <c r="I43" s="32" t="n">
        <v>0</v>
      </c>
      <c r="J43" s="30" t="s">
        <v>55</v>
      </c>
      <c r="K43" s="30" t="s">
        <v>47</v>
      </c>
      <c r="L43" s="30" t="s">
        <v>86</v>
      </c>
      <c r="M43" s="31" t="n">
        <f aca="false">AVERAGEIF($E$2:$E$1197,E43,$G$2:$G$1197)</f>
        <v>2870.26771653543</v>
      </c>
      <c r="N43" s="19" t="str">
        <f aca="false">IF(G43&gt;M43*3,"نعم","لا")</f>
        <v>لا</v>
      </c>
      <c r="O43" s="19" t="str">
        <f aca="false">IF(OR(C43="",ISNUMBER(C43)),"لا","نعم")</f>
        <v>لا</v>
      </c>
      <c r="P43" s="19" t="str">
        <f aca="false">IF(COUNTIF($B$2:B43,B43)&gt;1,"مكرر","فريد")</f>
        <v>فريد</v>
      </c>
      <c r="Q43" s="19" t="str">
        <f aca="false">IF(COUNTBLANK(D43:L43)&gt;0,"نعم","لا")</f>
        <v>لا</v>
      </c>
    </row>
    <row r="44" customFormat="false" ht="15" hidden="false" customHeight="false" outlineLevel="0" collapsed="false">
      <c r="A44" s="19" t="n">
        <v>43</v>
      </c>
      <c r="B44" s="30" t="s">
        <v>1155</v>
      </c>
      <c r="C44" s="44" t="n">
        <v>45619</v>
      </c>
      <c r="D44" s="30" t="s">
        <v>57</v>
      </c>
      <c r="E44" s="30" t="s">
        <v>109</v>
      </c>
      <c r="F44" s="30" t="s">
        <v>192</v>
      </c>
      <c r="G44" s="31" t="n">
        <v>269</v>
      </c>
      <c r="H44" s="19" t="n">
        <v>1</v>
      </c>
      <c r="I44" s="32" t="n">
        <v>0</v>
      </c>
      <c r="J44" s="30" t="s">
        <v>48</v>
      </c>
      <c r="K44" s="30" t="s">
        <v>47</v>
      </c>
      <c r="L44" s="30" t="s">
        <v>78</v>
      </c>
      <c r="M44" s="31" t="n">
        <f aca="false">AVERAGEIF($E$2:$E$1197,E44,$G$2:$G$1197)</f>
        <v>186.056291390729</v>
      </c>
      <c r="N44" s="19" t="str">
        <f aca="false">IF(G44&gt;M44*3,"نعم","لا")</f>
        <v>لا</v>
      </c>
      <c r="O44" s="19" t="str">
        <f aca="false">IF(OR(C44="",ISNUMBER(C44)),"لا","نعم")</f>
        <v>لا</v>
      </c>
      <c r="P44" s="19" t="str">
        <f aca="false">IF(COUNTIF($B$2:B44,B44)&gt;1,"مكرر","فريد")</f>
        <v>فريد</v>
      </c>
      <c r="Q44" s="19" t="str">
        <f aca="false">IF(COUNTBLANK(D44:L44)&gt;0,"نعم","لا")</f>
        <v>لا</v>
      </c>
    </row>
    <row r="45" customFormat="false" ht="15" hidden="false" customHeight="false" outlineLevel="0" collapsed="false">
      <c r="A45" s="19" t="n">
        <v>44</v>
      </c>
      <c r="B45" s="30" t="s">
        <v>1156</v>
      </c>
      <c r="C45" s="44" t="n">
        <v>45619</v>
      </c>
      <c r="D45" s="30" t="s">
        <v>50</v>
      </c>
      <c r="E45" s="30" t="s">
        <v>111</v>
      </c>
      <c r="F45" s="30" t="s">
        <v>118</v>
      </c>
      <c r="G45" s="31" t="n">
        <v>379</v>
      </c>
      <c r="H45" s="19" t="n">
        <v>4</v>
      </c>
      <c r="I45" s="32" t="n">
        <v>0.05</v>
      </c>
      <c r="J45" s="30" t="s">
        <v>52</v>
      </c>
      <c r="K45" s="30" t="s">
        <v>51</v>
      </c>
      <c r="L45" s="30" t="s">
        <v>89</v>
      </c>
      <c r="M45" s="31" t="n">
        <f aca="false">AVERAGEIF($E$2:$E$1197,E45,$G$2:$G$1197)</f>
        <v>366.306569343066</v>
      </c>
      <c r="N45" s="19" t="str">
        <f aca="false">IF(G45&gt;M45*3,"نعم","لا")</f>
        <v>لا</v>
      </c>
      <c r="O45" s="19" t="str">
        <f aca="false">IF(OR(C45="",ISNUMBER(C45)),"لا","نعم")</f>
        <v>لا</v>
      </c>
      <c r="P45" s="19" t="str">
        <f aca="false">IF(COUNTIF($B$2:B45,B45)&gt;1,"مكرر","فريد")</f>
        <v>فريد</v>
      </c>
      <c r="Q45" s="19" t="str">
        <f aca="false">IF(COUNTBLANK(D45:L45)&gt;0,"نعم","لا")</f>
        <v>لا</v>
      </c>
    </row>
    <row r="46" customFormat="false" ht="15" hidden="false" customHeight="false" outlineLevel="0" collapsed="false">
      <c r="A46" s="19" t="n">
        <v>45</v>
      </c>
      <c r="B46" s="30" t="s">
        <v>766</v>
      </c>
      <c r="C46" s="44" t="n">
        <v>45507</v>
      </c>
      <c r="D46" s="30" t="s">
        <v>46</v>
      </c>
      <c r="E46" s="30" t="s">
        <v>109</v>
      </c>
      <c r="F46" s="30" t="s">
        <v>175</v>
      </c>
      <c r="G46" s="31" t="n">
        <v>289</v>
      </c>
      <c r="H46" s="19" t="n">
        <v>1</v>
      </c>
      <c r="I46" s="32" t="n">
        <v>0.05</v>
      </c>
      <c r="J46" s="30" t="s">
        <v>48</v>
      </c>
      <c r="K46" s="30"/>
      <c r="L46" s="30" t="s">
        <v>94</v>
      </c>
      <c r="M46" s="31" t="n">
        <f aca="false">AVERAGEIF($E$2:$E$1197,E46,$G$2:$G$1197)</f>
        <v>186.056291390729</v>
      </c>
      <c r="N46" s="19" t="str">
        <f aca="false">IF(G46&gt;M46*3,"نعم","لا")</f>
        <v>لا</v>
      </c>
      <c r="O46" s="19" t="str">
        <f aca="false">IF(OR(C46="",ISNUMBER(C46)),"لا","نعم")</f>
        <v>لا</v>
      </c>
      <c r="P46" s="19" t="str">
        <f aca="false">IF(COUNTIF($B$2:B46,B46)&gt;1,"مكرر","فريد")</f>
        <v>فريد</v>
      </c>
      <c r="Q46" s="19" t="str">
        <f aca="false">IF(COUNTBLANK(D46:L46)&gt;0,"نعم","لا")</f>
        <v>نعم</v>
      </c>
    </row>
    <row r="47" customFormat="false" ht="15" hidden="false" customHeight="false" outlineLevel="0" collapsed="false">
      <c r="A47" s="19" t="n">
        <v>46</v>
      </c>
      <c r="B47" s="30" t="s">
        <v>624</v>
      </c>
      <c r="C47" s="44" t="n">
        <v>45458</v>
      </c>
      <c r="D47" s="30" t="s">
        <v>46</v>
      </c>
      <c r="E47" s="30" t="s">
        <v>105</v>
      </c>
      <c r="F47" s="30" t="s">
        <v>79</v>
      </c>
      <c r="G47" s="31" t="n">
        <v>4049</v>
      </c>
      <c r="H47" s="19" t="n">
        <v>2</v>
      </c>
      <c r="I47" s="32" t="n">
        <v>0</v>
      </c>
      <c r="J47" s="30" t="s">
        <v>1343</v>
      </c>
      <c r="K47" s="30" t="s">
        <v>51</v>
      </c>
      <c r="L47" s="30" t="s">
        <v>89</v>
      </c>
      <c r="M47" s="31" t="n">
        <f aca="false">AVERAGEIF($E$2:$E$1197,E47,$G$2:$G$1197)</f>
        <v>2870.26771653543</v>
      </c>
      <c r="N47" s="19" t="str">
        <f aca="false">IF(G47&gt;M47*3,"نعم","لا")</f>
        <v>لا</v>
      </c>
      <c r="O47" s="19" t="str">
        <f aca="false">IF(OR(C47="",ISNUMBER(C47)),"لا","نعم")</f>
        <v>لا</v>
      </c>
      <c r="P47" s="19" t="str">
        <f aca="false">IF(COUNTIF($B$2:B47,B47)&gt;1,"مكرر","فريد")</f>
        <v>فريد</v>
      </c>
      <c r="Q47" s="19" t="str">
        <f aca="false">IF(COUNTBLANK(D47:L47)&gt;0,"نعم","لا")</f>
        <v>لا</v>
      </c>
    </row>
    <row r="48" customFormat="false" ht="15" hidden="false" customHeight="false" outlineLevel="0" collapsed="false">
      <c r="A48" s="19" t="n">
        <v>47</v>
      </c>
      <c r="B48" s="30" t="s">
        <v>515</v>
      </c>
      <c r="C48" s="44" t="n">
        <v>45420</v>
      </c>
      <c r="D48" s="30" t="s">
        <v>46</v>
      </c>
      <c r="E48" s="30" t="s">
        <v>113</v>
      </c>
      <c r="F48" s="30" t="s">
        <v>95</v>
      </c>
      <c r="G48" s="31" t="n">
        <v>829</v>
      </c>
      <c r="H48" s="19" t="n">
        <v>2</v>
      </c>
      <c r="I48" s="32" t="n">
        <v>0</v>
      </c>
      <c r="J48" s="30" t="s">
        <v>52</v>
      </c>
      <c r="K48" s="30" t="s">
        <v>47</v>
      </c>
      <c r="L48" s="30" t="s">
        <v>84</v>
      </c>
      <c r="M48" s="31" t="n">
        <f aca="false">AVERAGEIF($E$2:$E$1197,E48,$G$2:$G$1197)</f>
        <v>545.358823529412</v>
      </c>
      <c r="N48" s="19" t="str">
        <f aca="false">IF(G48&gt;M48*3,"نعم","لا")</f>
        <v>لا</v>
      </c>
      <c r="O48" s="19" t="str">
        <f aca="false">IF(OR(C48="",ISNUMBER(C48)),"لا","نعم")</f>
        <v>لا</v>
      </c>
      <c r="P48" s="19" t="str">
        <f aca="false">IF(COUNTIF($B$2:B48,B48)&gt;1,"مكرر","فريد")</f>
        <v>فريد</v>
      </c>
      <c r="Q48" s="19" t="str">
        <f aca="false">IF(COUNTBLANK(D48:L48)&gt;0,"نعم","لا")</f>
        <v>لا</v>
      </c>
    </row>
    <row r="49" customFormat="false" ht="15" hidden="false" customHeight="false" outlineLevel="0" collapsed="false">
      <c r="A49" s="19" t="n">
        <v>48</v>
      </c>
      <c r="B49" s="30" t="s">
        <v>197</v>
      </c>
      <c r="C49" s="44" t="n">
        <v>45300</v>
      </c>
      <c r="D49" s="30" t="s">
        <v>46</v>
      </c>
      <c r="E49" s="30" t="s">
        <v>111</v>
      </c>
      <c r="F49" s="30" t="s">
        <v>120</v>
      </c>
      <c r="G49" s="31" t="n">
        <v>159</v>
      </c>
      <c r="H49" s="19" t="n">
        <v>1</v>
      </c>
      <c r="I49" s="32" t="n">
        <v>0</v>
      </c>
      <c r="J49" s="30" t="s">
        <v>48</v>
      </c>
      <c r="K49" s="30" t="s">
        <v>47</v>
      </c>
      <c r="L49" s="30" t="s">
        <v>81</v>
      </c>
      <c r="M49" s="31" t="n">
        <f aca="false">AVERAGEIF($E$2:$E$1197,E49,$G$2:$G$1197)</f>
        <v>366.306569343066</v>
      </c>
      <c r="N49" s="19" t="str">
        <f aca="false">IF(G49&gt;M49*3,"نعم","لا")</f>
        <v>لا</v>
      </c>
      <c r="O49" s="19" t="str">
        <f aca="false">IF(OR(C49="",ISNUMBER(C49)),"لا","نعم")</f>
        <v>لا</v>
      </c>
      <c r="P49" s="19" t="str">
        <f aca="false">IF(COUNTIF($B$2:B49,B49)&gt;1,"مكرر","فريد")</f>
        <v>فريد</v>
      </c>
      <c r="Q49" s="19" t="str">
        <f aca="false">IF(COUNTBLANK(D49:L49)&gt;0,"نعم","لا")</f>
        <v>لا</v>
      </c>
    </row>
    <row r="50" customFormat="false" ht="15" hidden="false" customHeight="false" outlineLevel="0" collapsed="false">
      <c r="A50" s="19" t="n">
        <v>49</v>
      </c>
      <c r="B50" s="30" t="s">
        <v>219</v>
      </c>
      <c r="C50" s="44" t="n">
        <v>45308</v>
      </c>
      <c r="D50" s="30" t="s">
        <v>50</v>
      </c>
      <c r="E50" s="30" t="s">
        <v>113</v>
      </c>
      <c r="F50" s="30" t="s">
        <v>95</v>
      </c>
      <c r="G50" s="31" t="n">
        <v>409</v>
      </c>
      <c r="H50" s="19" t="n">
        <v>2</v>
      </c>
      <c r="I50" s="32" t="n">
        <v>0.1</v>
      </c>
      <c r="J50" s="30" t="s">
        <v>52</v>
      </c>
      <c r="K50" s="30" t="s">
        <v>47</v>
      </c>
      <c r="L50" s="30" t="s">
        <v>92</v>
      </c>
      <c r="M50" s="31" t="n">
        <f aca="false">AVERAGEIF($E$2:$E$1197,E50,$G$2:$G$1197)</f>
        <v>545.358823529412</v>
      </c>
      <c r="N50" s="19" t="str">
        <f aca="false">IF(G50&gt;M50*3,"نعم","لا")</f>
        <v>لا</v>
      </c>
      <c r="O50" s="19" t="str">
        <f aca="false">IF(OR(C50="",ISNUMBER(C50)),"لا","نعم")</f>
        <v>لا</v>
      </c>
      <c r="P50" s="19" t="str">
        <f aca="false">IF(COUNTIF($B$2:B50,B50)&gt;1,"مكرر","فريد")</f>
        <v>فريد</v>
      </c>
      <c r="Q50" s="19" t="str">
        <f aca="false">IF(COUNTBLANK(D50:L50)&gt;0,"نعم","لا")</f>
        <v>لا</v>
      </c>
    </row>
    <row r="51" customFormat="false" ht="15" hidden="false" customHeight="false" outlineLevel="0" collapsed="false">
      <c r="A51" s="19" t="n">
        <v>50</v>
      </c>
      <c r="B51" s="30" t="s">
        <v>712</v>
      </c>
      <c r="C51" s="44" t="n">
        <v>45489</v>
      </c>
      <c r="D51" s="30" t="s">
        <v>50</v>
      </c>
      <c r="E51" s="30" t="s">
        <v>109</v>
      </c>
      <c r="F51" s="30" t="s">
        <v>175</v>
      </c>
      <c r="G51" s="31" t="n">
        <v>249</v>
      </c>
      <c r="H51" s="19" t="n">
        <v>1</v>
      </c>
      <c r="I51" s="32" t="n">
        <v>0.1</v>
      </c>
      <c r="J51" s="30" t="s">
        <v>52</v>
      </c>
      <c r="K51" s="30" t="s">
        <v>47</v>
      </c>
      <c r="L51" s="30" t="s">
        <v>81</v>
      </c>
      <c r="M51" s="31" t="n">
        <f aca="false">AVERAGEIF($E$2:$E$1197,E51,$G$2:$G$1197)</f>
        <v>186.056291390729</v>
      </c>
      <c r="N51" s="19" t="str">
        <f aca="false">IF(G51&gt;M51*3,"نعم","لا")</f>
        <v>لا</v>
      </c>
      <c r="O51" s="19" t="str">
        <f aca="false">IF(OR(C51="",ISNUMBER(C51)),"لا","نعم")</f>
        <v>لا</v>
      </c>
      <c r="P51" s="19" t="str">
        <f aca="false">IF(COUNTIF($B$2:B51,B51)&gt;1,"مكرر","فريد")</f>
        <v>فريد</v>
      </c>
      <c r="Q51" s="19" t="str">
        <f aca="false">IF(COUNTBLANK(D51:L51)&gt;0,"نعم","لا")</f>
        <v>لا</v>
      </c>
    </row>
    <row r="52" customFormat="false" ht="15" hidden="false" customHeight="false" outlineLevel="0" collapsed="false">
      <c r="A52" s="19" t="n">
        <v>51</v>
      </c>
      <c r="B52" s="30" t="s">
        <v>619</v>
      </c>
      <c r="C52" s="44" t="n">
        <v>45457</v>
      </c>
      <c r="D52" s="30" t="s">
        <v>50</v>
      </c>
      <c r="E52" s="30" t="s">
        <v>105</v>
      </c>
      <c r="F52" s="30" t="s">
        <v>179</v>
      </c>
      <c r="G52" s="31" t="n">
        <v>939</v>
      </c>
      <c r="H52" s="19" t="n">
        <v>1</v>
      </c>
      <c r="I52" s="32" t="n">
        <v>0.05</v>
      </c>
      <c r="J52" s="30" t="s">
        <v>48</v>
      </c>
      <c r="K52" s="30" t="s">
        <v>47</v>
      </c>
      <c r="L52" s="30" t="s">
        <v>89</v>
      </c>
      <c r="M52" s="31" t="n">
        <f aca="false">AVERAGEIF($E$2:$E$1197,E52,$G$2:$G$1197)</f>
        <v>2870.26771653543</v>
      </c>
      <c r="N52" s="19" t="str">
        <f aca="false">IF(G52&gt;M52*3,"نعم","لا")</f>
        <v>لا</v>
      </c>
      <c r="O52" s="19" t="str">
        <f aca="false">IF(OR(C52="",ISNUMBER(C52)),"لا","نعم")</f>
        <v>لا</v>
      </c>
      <c r="P52" s="19" t="str">
        <f aca="false">IF(COUNTIF($B$2:B52,B52)&gt;1,"مكرر","فريد")</f>
        <v>فريد</v>
      </c>
      <c r="Q52" s="19" t="str">
        <f aca="false">IF(COUNTBLANK(D52:L52)&gt;0,"نعم","لا")</f>
        <v>لا</v>
      </c>
    </row>
    <row r="53" customFormat="false" ht="15" hidden="false" customHeight="false" outlineLevel="0" collapsed="false">
      <c r="A53" s="19" t="n">
        <v>52</v>
      </c>
      <c r="B53" s="30" t="s">
        <v>934</v>
      </c>
      <c r="C53" s="44" t="n">
        <v>45560</v>
      </c>
      <c r="D53" s="30" t="s">
        <v>46</v>
      </c>
      <c r="E53" s="30" t="s">
        <v>105</v>
      </c>
      <c r="F53" s="30" t="s">
        <v>82</v>
      </c>
      <c r="G53" s="31" t="n">
        <v>1409</v>
      </c>
      <c r="H53" s="19" t="n">
        <v>2</v>
      </c>
      <c r="I53" s="32" t="n">
        <v>0.1</v>
      </c>
      <c r="J53" s="30" t="s">
        <v>52</v>
      </c>
      <c r="K53" s="30" t="s">
        <v>47</v>
      </c>
      <c r="L53" s="30" t="s">
        <v>84</v>
      </c>
      <c r="M53" s="31" t="n">
        <f aca="false">AVERAGEIF($E$2:$E$1197,E53,$G$2:$G$1197)</f>
        <v>2870.26771653543</v>
      </c>
      <c r="N53" s="19" t="str">
        <f aca="false">IF(G53&gt;M53*3,"نعم","لا")</f>
        <v>لا</v>
      </c>
      <c r="O53" s="19" t="str">
        <f aca="false">IF(OR(C53="",ISNUMBER(C53)),"لا","نعم")</f>
        <v>لا</v>
      </c>
      <c r="P53" s="19" t="str">
        <f aca="false">IF(COUNTIF($B$2:B53,B53)&gt;1,"مكرر","فريد")</f>
        <v>فريد</v>
      </c>
      <c r="Q53" s="19" t="str">
        <f aca="false">IF(COUNTBLANK(D53:L53)&gt;0,"نعم","لا")</f>
        <v>لا</v>
      </c>
    </row>
    <row r="54" customFormat="false" ht="15" hidden="false" customHeight="false" outlineLevel="0" collapsed="false">
      <c r="A54" s="19" t="n">
        <v>53</v>
      </c>
      <c r="B54" s="30" t="s">
        <v>463</v>
      </c>
      <c r="C54" s="44" t="n">
        <v>45396</v>
      </c>
      <c r="D54" s="30" t="s">
        <v>46</v>
      </c>
      <c r="E54" s="30" t="s">
        <v>109</v>
      </c>
      <c r="F54" s="30" t="s">
        <v>175</v>
      </c>
      <c r="G54" s="31" t="n">
        <v>189</v>
      </c>
      <c r="H54" s="19" t="n">
        <v>3</v>
      </c>
      <c r="I54" s="32" t="n">
        <v>0.05</v>
      </c>
      <c r="J54" s="30" t="s">
        <v>55</v>
      </c>
      <c r="K54" s="30" t="s">
        <v>47</v>
      </c>
      <c r="L54" s="30" t="s">
        <v>86</v>
      </c>
      <c r="M54" s="31" t="n">
        <f aca="false">AVERAGEIF($E$2:$E$1197,E54,$G$2:$G$1197)</f>
        <v>186.056291390729</v>
      </c>
      <c r="N54" s="19" t="str">
        <f aca="false">IF(G54&gt;M54*3,"نعم","لا")</f>
        <v>لا</v>
      </c>
      <c r="O54" s="19" t="str">
        <f aca="false">IF(OR(C54="",ISNUMBER(C54)),"لا","نعم")</f>
        <v>لا</v>
      </c>
      <c r="P54" s="19" t="str">
        <f aca="false">IF(COUNTIF($B$2:B54,B54)&gt;1,"مكرر","فريد")</f>
        <v>فريد</v>
      </c>
      <c r="Q54" s="19" t="str">
        <f aca="false">IF(COUNTBLANK(D54:L54)&gt;0,"نعم","لا")</f>
        <v>لا</v>
      </c>
    </row>
    <row r="55" customFormat="false" ht="15" hidden="false" customHeight="false" outlineLevel="0" collapsed="false">
      <c r="A55" s="19" t="n">
        <v>54</v>
      </c>
      <c r="B55" s="30" t="s">
        <v>1344</v>
      </c>
      <c r="C55" s="44" t="n">
        <v>45517</v>
      </c>
      <c r="D55" s="30" t="s">
        <v>46</v>
      </c>
      <c r="E55" s="30" t="s">
        <v>109</v>
      </c>
      <c r="F55" s="30" t="s">
        <v>110</v>
      </c>
      <c r="G55" s="31" t="n">
        <v>129</v>
      </c>
      <c r="H55" s="19" t="n">
        <v>-2</v>
      </c>
      <c r="I55" s="32" t="n">
        <v>0.1</v>
      </c>
      <c r="J55" s="30" t="s">
        <v>48</v>
      </c>
      <c r="K55" s="30" t="s">
        <v>47</v>
      </c>
      <c r="L55" s="30" t="s">
        <v>99</v>
      </c>
      <c r="M55" s="31" t="n">
        <f aca="false">AVERAGEIF($E$2:$E$1197,E55,$G$2:$G$1197)</f>
        <v>186.056291390729</v>
      </c>
      <c r="N55" s="19" t="str">
        <f aca="false">IF(G55&gt;M55*3,"نعم","لا")</f>
        <v>لا</v>
      </c>
      <c r="O55" s="19" t="str">
        <f aca="false">IF(OR(C55="",ISNUMBER(C55)),"لا","نعم")</f>
        <v>لا</v>
      </c>
      <c r="P55" s="19" t="str">
        <f aca="false">IF(COUNTIF($B$2:B55,B55)&gt;1,"مكرر","فريد")</f>
        <v>فريد</v>
      </c>
      <c r="Q55" s="19" t="str">
        <f aca="false">IF(COUNTBLANK(D55:L55)&gt;0,"نعم","لا")</f>
        <v>لا</v>
      </c>
    </row>
    <row r="56" customFormat="false" ht="15" hidden="false" customHeight="false" outlineLevel="0" collapsed="false">
      <c r="A56" s="19" t="n">
        <v>55</v>
      </c>
      <c r="B56" s="30" t="s">
        <v>1157</v>
      </c>
      <c r="C56" s="44" t="n">
        <v>45619</v>
      </c>
      <c r="D56" s="30" t="s">
        <v>46</v>
      </c>
      <c r="E56" s="30" t="s">
        <v>111</v>
      </c>
      <c r="F56" s="30" t="s">
        <v>122</v>
      </c>
      <c r="G56" s="31" t="n">
        <v>149</v>
      </c>
      <c r="H56" s="19" t="n">
        <v>2</v>
      </c>
      <c r="I56" s="32" t="n">
        <v>0.15</v>
      </c>
      <c r="J56" s="30" t="s">
        <v>58</v>
      </c>
      <c r="K56" s="30" t="s">
        <v>51</v>
      </c>
      <c r="L56" s="30" t="s">
        <v>84</v>
      </c>
      <c r="M56" s="31" t="n">
        <f aca="false">AVERAGEIF($E$2:$E$1197,E56,$G$2:$G$1197)</f>
        <v>366.306569343066</v>
      </c>
      <c r="N56" s="19" t="str">
        <f aca="false">IF(G56&gt;M56*3,"نعم","لا")</f>
        <v>لا</v>
      </c>
      <c r="O56" s="19" t="str">
        <f aca="false">IF(OR(C56="",ISNUMBER(C56)),"لا","نعم")</f>
        <v>لا</v>
      </c>
      <c r="P56" s="19" t="str">
        <f aca="false">IF(COUNTIF($B$2:B56,B56)&gt;1,"مكرر","فريد")</f>
        <v>فريد</v>
      </c>
      <c r="Q56" s="19" t="str">
        <f aca="false">IF(COUNTBLANK(D56:L56)&gt;0,"نعم","لا")</f>
        <v>لا</v>
      </c>
    </row>
    <row r="57" customFormat="false" ht="15" hidden="false" customHeight="false" outlineLevel="0" collapsed="false">
      <c r="A57" s="19" t="n">
        <v>56</v>
      </c>
      <c r="B57" s="30" t="s">
        <v>710</v>
      </c>
      <c r="C57" s="44" t="n">
        <v>45489</v>
      </c>
      <c r="D57" s="30" t="s">
        <v>60</v>
      </c>
      <c r="E57" s="30" t="s">
        <v>105</v>
      </c>
      <c r="F57" s="30" t="s">
        <v>79</v>
      </c>
      <c r="G57" s="31" t="n">
        <v>2319</v>
      </c>
      <c r="H57" s="19" t="n">
        <v>8</v>
      </c>
      <c r="I57" s="32" t="n">
        <v>0.05</v>
      </c>
      <c r="J57" s="30" t="s">
        <v>55</v>
      </c>
      <c r="K57" s="30" t="s">
        <v>51</v>
      </c>
      <c r="L57" s="30" t="s">
        <v>86</v>
      </c>
      <c r="M57" s="31" t="n">
        <f aca="false">AVERAGEIF($E$2:$E$1197,E57,$G$2:$G$1197)</f>
        <v>2870.26771653543</v>
      </c>
      <c r="N57" s="19" t="str">
        <f aca="false">IF(G57&gt;M57*3,"نعم","لا")</f>
        <v>لا</v>
      </c>
      <c r="O57" s="19" t="str">
        <f aca="false">IF(OR(C57="",ISNUMBER(C57)),"لا","نعم")</f>
        <v>لا</v>
      </c>
      <c r="P57" s="19" t="str">
        <f aca="false">IF(COUNTIF($B$2:B57,B57)&gt;1,"مكرر","فريد")</f>
        <v>فريد</v>
      </c>
      <c r="Q57" s="19" t="str">
        <f aca="false">IF(COUNTBLANK(D57:L57)&gt;0,"نعم","لا")</f>
        <v>لا</v>
      </c>
    </row>
    <row r="58" customFormat="false" ht="15" hidden="false" customHeight="false" outlineLevel="0" collapsed="false">
      <c r="A58" s="19" t="n">
        <v>57</v>
      </c>
      <c r="B58" s="30" t="s">
        <v>1256</v>
      </c>
      <c r="C58" s="44" t="n">
        <v>45647</v>
      </c>
      <c r="D58" s="30" t="s">
        <v>46</v>
      </c>
      <c r="E58" s="30" t="s">
        <v>105</v>
      </c>
      <c r="F58" s="30" t="s">
        <v>79</v>
      </c>
      <c r="G58" s="31" t="n">
        <v>4269</v>
      </c>
      <c r="H58" s="19" t="n">
        <v>1</v>
      </c>
      <c r="I58" s="32" t="n">
        <v>0</v>
      </c>
      <c r="J58" s="30" t="s">
        <v>48</v>
      </c>
      <c r="K58" s="30" t="s">
        <v>47</v>
      </c>
      <c r="L58" s="30" t="s">
        <v>92</v>
      </c>
      <c r="M58" s="31" t="n">
        <f aca="false">AVERAGEIF($E$2:$E$1197,E58,$G$2:$G$1197)</f>
        <v>2870.26771653543</v>
      </c>
      <c r="N58" s="19" t="str">
        <f aca="false">IF(G58&gt;M58*3,"نعم","لا")</f>
        <v>لا</v>
      </c>
      <c r="O58" s="19" t="str">
        <f aca="false">IF(OR(C58="",ISNUMBER(C58)),"لا","نعم")</f>
        <v>لا</v>
      </c>
      <c r="P58" s="19" t="str">
        <f aca="false">IF(COUNTIF($B$2:B58,B58)&gt;1,"مكرر","فريد")</f>
        <v>فريد</v>
      </c>
      <c r="Q58" s="19" t="str">
        <f aca="false">IF(COUNTBLANK(D58:L58)&gt;0,"نعم","لا")</f>
        <v>لا</v>
      </c>
    </row>
    <row r="59" customFormat="false" ht="15" hidden="false" customHeight="false" outlineLevel="0" collapsed="false">
      <c r="A59" s="19" t="n">
        <v>58</v>
      </c>
      <c r="B59" s="30" t="s">
        <v>1345</v>
      </c>
      <c r="C59" s="30" t="s">
        <v>1346</v>
      </c>
      <c r="D59" s="30" t="s">
        <v>46</v>
      </c>
      <c r="E59" s="30" t="s">
        <v>105</v>
      </c>
      <c r="F59" s="30" t="s">
        <v>82</v>
      </c>
      <c r="G59" s="31" t="n">
        <v>2999</v>
      </c>
      <c r="H59" s="19" t="n">
        <v>-1</v>
      </c>
      <c r="I59" s="32" t="n">
        <v>0</v>
      </c>
      <c r="J59" s="30" t="s">
        <v>52</v>
      </c>
      <c r="K59" s="30" t="s">
        <v>47</v>
      </c>
      <c r="L59" s="30" t="s">
        <v>84</v>
      </c>
      <c r="M59" s="31" t="n">
        <f aca="false">AVERAGEIF($E$2:$E$1197,E59,$G$2:$G$1197)</f>
        <v>2870.26771653543</v>
      </c>
      <c r="N59" s="19" t="str">
        <f aca="false">IF(G59&gt;M59*3,"نعم","لا")</f>
        <v>لا</v>
      </c>
      <c r="O59" s="19" t="str">
        <f aca="false">IF(OR(C59="",ISNUMBER(C59)),"لا","نعم")</f>
        <v>نعم</v>
      </c>
      <c r="P59" s="19" t="str">
        <f aca="false">IF(COUNTIF($B$2:B59,B59)&gt;1,"مكرر","فريد")</f>
        <v>فريد</v>
      </c>
      <c r="Q59" s="19" t="str">
        <f aca="false">IF(COUNTBLANK(D59:L59)&gt;0,"نعم","لا")</f>
        <v>لا</v>
      </c>
    </row>
    <row r="60" customFormat="false" ht="15" hidden="false" customHeight="false" outlineLevel="0" collapsed="false">
      <c r="A60" s="19" t="n">
        <v>59</v>
      </c>
      <c r="B60" s="30" t="s">
        <v>996</v>
      </c>
      <c r="C60" s="44" t="n">
        <v>45582</v>
      </c>
      <c r="D60" s="30" t="s">
        <v>46</v>
      </c>
      <c r="E60" s="30" t="s">
        <v>107</v>
      </c>
      <c r="F60" s="30" t="s">
        <v>114</v>
      </c>
      <c r="G60" s="31" t="n">
        <v>7449</v>
      </c>
      <c r="H60" s="19" t="n">
        <v>1</v>
      </c>
      <c r="I60" s="32" t="n">
        <v>0.05</v>
      </c>
      <c r="J60" s="30" t="s">
        <v>48</v>
      </c>
      <c r="K60" s="30" t="s">
        <v>47</v>
      </c>
      <c r="L60" s="30" t="s">
        <v>99</v>
      </c>
      <c r="M60" s="31" t="n">
        <f aca="false">AVERAGEIF($E$2:$E$1197,E60,$G$2:$G$1197)</f>
        <v>4981.14563106796</v>
      </c>
      <c r="N60" s="19" t="str">
        <f aca="false">IF(G60&gt;M60*3,"نعم","لا")</f>
        <v>لا</v>
      </c>
      <c r="O60" s="19" t="str">
        <f aca="false">IF(OR(C60="",ISNUMBER(C60)),"لا","نعم")</f>
        <v>لا</v>
      </c>
      <c r="P60" s="19" t="str">
        <f aca="false">IF(COUNTIF($B$2:B60,B60)&gt;1,"مكرر","فريد")</f>
        <v>فريد</v>
      </c>
      <c r="Q60" s="19" t="str">
        <f aca="false">IF(COUNTBLANK(D60:L60)&gt;0,"نعم","لا")</f>
        <v>لا</v>
      </c>
    </row>
    <row r="61" customFormat="false" ht="15" hidden="false" customHeight="false" outlineLevel="0" collapsed="false">
      <c r="A61" s="19" t="n">
        <v>60</v>
      </c>
      <c r="B61" s="30" t="s">
        <v>883</v>
      </c>
      <c r="C61" s="44" t="n">
        <v>45539</v>
      </c>
      <c r="D61" s="30" t="s">
        <v>46</v>
      </c>
      <c r="E61" s="30" t="s">
        <v>113</v>
      </c>
      <c r="F61" s="30" t="s">
        <v>1347</v>
      </c>
      <c r="G61" s="31" t="n">
        <v>809</v>
      </c>
      <c r="H61" s="19" t="n">
        <v>1</v>
      </c>
      <c r="I61" s="32" t="n">
        <v>0</v>
      </c>
      <c r="J61" s="30" t="s">
        <v>48</v>
      </c>
      <c r="K61" s="30" t="s">
        <v>47</v>
      </c>
      <c r="L61" s="30" t="s">
        <v>89</v>
      </c>
      <c r="M61" s="31" t="n">
        <f aca="false">AVERAGEIF($E$2:$E$1197,E61,$G$2:$G$1197)</f>
        <v>545.358823529412</v>
      </c>
      <c r="N61" s="19" t="str">
        <f aca="false">IF(G61&gt;M61*3,"نعم","لا")</f>
        <v>لا</v>
      </c>
      <c r="O61" s="19" t="str">
        <f aca="false">IF(OR(C61="",ISNUMBER(C61)),"لا","نعم")</f>
        <v>لا</v>
      </c>
      <c r="P61" s="19" t="str">
        <f aca="false">IF(COUNTIF($B$2:B61,B61)&gt;1,"مكرر","فريد")</f>
        <v>فريد</v>
      </c>
      <c r="Q61" s="19" t="str">
        <f aca="false">IF(COUNTBLANK(D61:L61)&gt;0,"نعم","لا")</f>
        <v>لا</v>
      </c>
    </row>
    <row r="62" customFormat="false" ht="15" hidden="false" customHeight="false" outlineLevel="0" collapsed="false">
      <c r="A62" s="19" t="n">
        <v>61</v>
      </c>
      <c r="B62" s="30" t="s">
        <v>889</v>
      </c>
      <c r="C62" s="44" t="n">
        <v>45541</v>
      </c>
      <c r="D62" s="30" t="s">
        <v>46</v>
      </c>
      <c r="E62" s="30" t="s">
        <v>113</v>
      </c>
      <c r="F62" s="30" t="s">
        <v>97</v>
      </c>
      <c r="G62" s="31" t="n">
        <v>769</v>
      </c>
      <c r="H62" s="19" t="n">
        <v>1</v>
      </c>
      <c r="I62" s="32" t="n">
        <v>0</v>
      </c>
      <c r="J62" s="30" t="s">
        <v>1348</v>
      </c>
      <c r="K62" s="30" t="s">
        <v>47</v>
      </c>
      <c r="L62" s="30" t="s">
        <v>86</v>
      </c>
      <c r="M62" s="31" t="n">
        <f aca="false">AVERAGEIF($E$2:$E$1197,E62,$G$2:$G$1197)</f>
        <v>545.358823529412</v>
      </c>
      <c r="N62" s="19" t="str">
        <f aca="false">IF(G62&gt;M62*3,"نعم","لا")</f>
        <v>لا</v>
      </c>
      <c r="O62" s="19" t="str">
        <f aca="false">IF(OR(C62="",ISNUMBER(C62)),"لا","نعم")</f>
        <v>لا</v>
      </c>
      <c r="P62" s="19" t="str">
        <f aca="false">IF(COUNTIF($B$2:B62,B62)&gt;1,"مكرر","فريد")</f>
        <v>فريد</v>
      </c>
      <c r="Q62" s="19" t="str">
        <f aca="false">IF(COUNTBLANK(D62:L62)&gt;0,"نعم","لا")</f>
        <v>لا</v>
      </c>
    </row>
    <row r="63" customFormat="false" ht="15" hidden="false" customHeight="false" outlineLevel="0" collapsed="false">
      <c r="A63" s="19" t="n">
        <v>62</v>
      </c>
      <c r="B63" s="30" t="s">
        <v>828</v>
      </c>
      <c r="C63" s="44" t="n">
        <v>45523</v>
      </c>
      <c r="D63" s="30" t="s">
        <v>46</v>
      </c>
      <c r="E63" s="30" t="s">
        <v>107</v>
      </c>
      <c r="F63" s="30" t="s">
        <v>184</v>
      </c>
      <c r="G63" s="31" t="n">
        <v>7289</v>
      </c>
      <c r="H63" s="19" t="n">
        <v>1</v>
      </c>
      <c r="I63" s="32" t="n">
        <v>0</v>
      </c>
      <c r="J63" s="30" t="s">
        <v>55</v>
      </c>
      <c r="K63" s="30" t="s">
        <v>47</v>
      </c>
      <c r="L63" s="30" t="s">
        <v>92</v>
      </c>
      <c r="M63" s="31" t="n">
        <f aca="false">AVERAGEIF($E$2:$E$1197,E63,$G$2:$G$1197)</f>
        <v>4981.14563106796</v>
      </c>
      <c r="N63" s="19" t="str">
        <f aca="false">IF(G63&gt;M63*3,"نعم","لا")</f>
        <v>لا</v>
      </c>
      <c r="O63" s="19" t="str">
        <f aca="false">IF(OR(C63="",ISNUMBER(C63)),"لا","نعم")</f>
        <v>لا</v>
      </c>
      <c r="P63" s="19" t="str">
        <f aca="false">IF(COUNTIF($B$2:B63,B63)&gt;1,"مكرر","فريد")</f>
        <v>فريد</v>
      </c>
      <c r="Q63" s="19" t="str">
        <f aca="false">IF(COUNTBLANK(D63:L63)&gt;0,"نعم","لا")</f>
        <v>لا</v>
      </c>
    </row>
    <row r="64" customFormat="false" ht="15" hidden="false" customHeight="false" outlineLevel="0" collapsed="false">
      <c r="A64" s="19" t="n">
        <v>63</v>
      </c>
      <c r="B64" s="30" t="s">
        <v>499</v>
      </c>
      <c r="C64" s="44" t="n">
        <v>45414</v>
      </c>
      <c r="D64" s="30" t="s">
        <v>46</v>
      </c>
      <c r="E64" s="30" t="s">
        <v>109</v>
      </c>
      <c r="F64" s="30" t="s">
        <v>110</v>
      </c>
      <c r="G64" s="31" t="n">
        <v>169</v>
      </c>
      <c r="H64" s="19" t="n">
        <v>1</v>
      </c>
      <c r="I64" s="32" t="n">
        <v>0</v>
      </c>
      <c r="J64" s="30" t="s">
        <v>58</v>
      </c>
      <c r="K64" s="30" t="s">
        <v>47</v>
      </c>
      <c r="L64" s="30" t="s">
        <v>84</v>
      </c>
      <c r="M64" s="31" t="n">
        <f aca="false">AVERAGEIF($E$2:$E$1197,E64,$G$2:$G$1197)</f>
        <v>186.056291390729</v>
      </c>
      <c r="N64" s="19" t="str">
        <f aca="false">IF(G64&gt;M64*3,"نعم","لا")</f>
        <v>لا</v>
      </c>
      <c r="O64" s="19" t="str">
        <f aca="false">IF(OR(C64="",ISNUMBER(C64)),"لا","نعم")</f>
        <v>لا</v>
      </c>
      <c r="P64" s="19" t="str">
        <f aca="false">IF(COUNTIF($B$2:B64,B64)&gt;1,"مكرر","فريد")</f>
        <v>فريد</v>
      </c>
      <c r="Q64" s="19" t="str">
        <f aca="false">IF(COUNTBLANK(D64:L64)&gt;0,"نعم","لا")</f>
        <v>لا</v>
      </c>
    </row>
    <row r="65" customFormat="false" ht="15" hidden="false" customHeight="false" outlineLevel="0" collapsed="false">
      <c r="A65" s="19" t="n">
        <v>64</v>
      </c>
      <c r="B65" s="30" t="s">
        <v>339</v>
      </c>
      <c r="C65" s="44" t="n">
        <v>45358</v>
      </c>
      <c r="D65" s="30" t="s">
        <v>57</v>
      </c>
      <c r="E65" s="30" t="s">
        <v>109</v>
      </c>
      <c r="F65" s="30" t="s">
        <v>192</v>
      </c>
      <c r="G65" s="31" t="n">
        <v>119</v>
      </c>
      <c r="H65" s="19" t="n">
        <v>1</v>
      </c>
      <c r="I65" s="32" t="n">
        <v>0.05</v>
      </c>
      <c r="J65" s="30" t="s">
        <v>55</v>
      </c>
      <c r="K65" s="30" t="s">
        <v>47</v>
      </c>
      <c r="L65" s="30" t="s">
        <v>78</v>
      </c>
      <c r="M65" s="31" t="n">
        <f aca="false">AVERAGEIF($E$2:$E$1197,E65,$G$2:$G$1197)</f>
        <v>186.056291390729</v>
      </c>
      <c r="N65" s="19" t="str">
        <f aca="false">IF(G65&gt;M65*3,"نعم","لا")</f>
        <v>لا</v>
      </c>
      <c r="O65" s="19" t="str">
        <f aca="false">IF(OR(C65="",ISNUMBER(C65)),"لا","نعم")</f>
        <v>لا</v>
      </c>
      <c r="P65" s="19" t="str">
        <f aca="false">IF(COUNTIF($B$2:B65,B65)&gt;1,"مكرر","فريد")</f>
        <v>فريد</v>
      </c>
      <c r="Q65" s="19" t="str">
        <f aca="false">IF(COUNTBLANK(D65:L65)&gt;0,"نعم","لا")</f>
        <v>لا</v>
      </c>
    </row>
    <row r="66" customFormat="false" ht="15" hidden="false" customHeight="false" outlineLevel="0" collapsed="false">
      <c r="A66" s="19" t="n">
        <v>65</v>
      </c>
      <c r="B66" s="30" t="s">
        <v>294</v>
      </c>
      <c r="C66" s="44" t="n">
        <v>45338</v>
      </c>
      <c r="D66" s="30" t="s">
        <v>46</v>
      </c>
      <c r="E66" s="30" t="s">
        <v>113</v>
      </c>
      <c r="F66" s="30" t="s">
        <v>100</v>
      </c>
      <c r="G66" s="31" t="n">
        <v>859</v>
      </c>
      <c r="H66" s="19" t="n">
        <v>1</v>
      </c>
      <c r="I66" s="32" t="n">
        <v>0</v>
      </c>
      <c r="J66" s="30" t="s">
        <v>58</v>
      </c>
      <c r="K66" s="30" t="s">
        <v>47</v>
      </c>
      <c r="L66" s="30" t="s">
        <v>84</v>
      </c>
      <c r="M66" s="31" t="n">
        <f aca="false">AVERAGEIF($E$2:$E$1197,E66,$G$2:$G$1197)</f>
        <v>545.358823529412</v>
      </c>
      <c r="N66" s="19" t="str">
        <f aca="false">IF(G66&gt;M66*3,"نعم","لا")</f>
        <v>لا</v>
      </c>
      <c r="O66" s="19" t="str">
        <f aca="false">IF(OR(C66="",ISNUMBER(C66)),"لا","نعم")</f>
        <v>لا</v>
      </c>
      <c r="P66" s="19" t="str">
        <f aca="false">IF(COUNTIF($B$2:B66,B66)&gt;1,"مكرر","فريد")</f>
        <v>فريد</v>
      </c>
      <c r="Q66" s="19" t="str">
        <f aca="false">IF(COUNTBLANK(D66:L66)&gt;0,"نعم","لا")</f>
        <v>لا</v>
      </c>
    </row>
    <row r="67" customFormat="false" ht="15" hidden="false" customHeight="false" outlineLevel="0" collapsed="false">
      <c r="A67" s="19" t="n">
        <v>66</v>
      </c>
      <c r="B67" s="30" t="s">
        <v>395</v>
      </c>
      <c r="C67" s="44" t="n">
        <v>45375</v>
      </c>
      <c r="D67" s="30" t="s">
        <v>46</v>
      </c>
      <c r="E67" s="30" t="s">
        <v>105</v>
      </c>
      <c r="F67" s="30" t="s">
        <v>82</v>
      </c>
      <c r="G67" s="31" t="n">
        <v>4409</v>
      </c>
      <c r="H67" s="19" t="n">
        <v>1</v>
      </c>
      <c r="I67" s="32" t="n">
        <v>0.1</v>
      </c>
      <c r="J67" s="30" t="s">
        <v>52</v>
      </c>
      <c r="K67" s="30" t="s">
        <v>47</v>
      </c>
      <c r="L67" s="30" t="s">
        <v>84</v>
      </c>
      <c r="M67" s="31" t="n">
        <f aca="false">AVERAGEIF($E$2:$E$1197,E67,$G$2:$G$1197)</f>
        <v>2870.26771653543</v>
      </c>
      <c r="N67" s="19" t="str">
        <f aca="false">IF(G67&gt;M67*3,"نعم","لا")</f>
        <v>لا</v>
      </c>
      <c r="O67" s="19" t="str">
        <f aca="false">IF(OR(C67="",ISNUMBER(C67)),"لا","نعم")</f>
        <v>لا</v>
      </c>
      <c r="P67" s="19" t="str">
        <f aca="false">IF(COUNTIF($B$2:B67,B67)&gt;1,"مكرر","فريد")</f>
        <v>فريد</v>
      </c>
      <c r="Q67" s="19" t="str">
        <f aca="false">IF(COUNTBLANK(D67:L67)&gt;0,"نعم","لا")</f>
        <v>لا</v>
      </c>
    </row>
    <row r="68" customFormat="false" ht="15" hidden="false" customHeight="false" outlineLevel="0" collapsed="false">
      <c r="A68" s="19" t="n">
        <v>67</v>
      </c>
      <c r="B68" s="30" t="s">
        <v>223</v>
      </c>
      <c r="C68" s="44" t="n">
        <v>45310</v>
      </c>
      <c r="D68" s="30" t="s">
        <v>54</v>
      </c>
      <c r="E68" s="30" t="s">
        <v>113</v>
      </c>
      <c r="F68" s="30" t="s">
        <v>97</v>
      </c>
      <c r="G68" s="31" t="n">
        <v>559</v>
      </c>
      <c r="H68" s="19" t="n">
        <v>8</v>
      </c>
      <c r="I68" s="32" t="n">
        <v>0</v>
      </c>
      <c r="J68" s="30" t="s">
        <v>48</v>
      </c>
      <c r="K68" s="30" t="s">
        <v>51</v>
      </c>
      <c r="L68" s="30" t="s">
        <v>96</v>
      </c>
      <c r="M68" s="31" t="n">
        <f aca="false">AVERAGEIF($E$2:$E$1197,E68,$G$2:$G$1197)</f>
        <v>545.358823529412</v>
      </c>
      <c r="N68" s="19" t="str">
        <f aca="false">IF(G68&gt;M68*3,"نعم","لا")</f>
        <v>لا</v>
      </c>
      <c r="O68" s="19" t="str">
        <f aca="false">IF(OR(C68="",ISNUMBER(C68)),"لا","نعم")</f>
        <v>لا</v>
      </c>
      <c r="P68" s="19" t="str">
        <f aca="false">IF(COUNTIF($B$2:B68,B68)&gt;1,"مكرر","فريد")</f>
        <v>فريد</v>
      </c>
      <c r="Q68" s="19" t="str">
        <f aca="false">IF(COUNTBLANK(D68:L68)&gt;0,"نعم","لا")</f>
        <v>لا</v>
      </c>
    </row>
    <row r="69" customFormat="false" ht="15" hidden="false" customHeight="false" outlineLevel="0" collapsed="false">
      <c r="A69" s="19" t="n">
        <v>68</v>
      </c>
      <c r="B69" s="30" t="s">
        <v>1349</v>
      </c>
      <c r="C69" s="44" t="n">
        <v>45646</v>
      </c>
      <c r="D69" s="30"/>
      <c r="E69" s="30" t="s">
        <v>107</v>
      </c>
      <c r="F69" s="30" t="s">
        <v>272</v>
      </c>
      <c r="G69" s="31" t="n">
        <v>5139</v>
      </c>
      <c r="H69" s="19" t="n">
        <v>1</v>
      </c>
      <c r="I69" s="32" t="n">
        <v>0</v>
      </c>
      <c r="J69" s="30" t="s">
        <v>48</v>
      </c>
      <c r="K69" s="30" t="s">
        <v>47</v>
      </c>
      <c r="L69" s="30" t="s">
        <v>96</v>
      </c>
      <c r="M69" s="31" t="n">
        <f aca="false">AVERAGEIF($E$2:$E$1197,E69,$G$2:$G$1197)</f>
        <v>4981.14563106796</v>
      </c>
      <c r="N69" s="19" t="str">
        <f aca="false">IF(G69&gt;M69*3,"نعم","لا")</f>
        <v>لا</v>
      </c>
      <c r="O69" s="19" t="str">
        <f aca="false">IF(OR(C69="",ISNUMBER(C69)),"لا","نعم")</f>
        <v>لا</v>
      </c>
      <c r="P69" s="19" t="str">
        <f aca="false">IF(COUNTIF($B$2:B69,B69)&gt;1,"مكرر","فريد")</f>
        <v>فريد</v>
      </c>
      <c r="Q69" s="19" t="str">
        <f aca="false">IF(COUNTBLANK(D69:L69)&gt;0,"نعم","لا")</f>
        <v>نعم</v>
      </c>
    </row>
    <row r="70" customFormat="false" ht="15" hidden="false" customHeight="false" outlineLevel="0" collapsed="false">
      <c r="A70" s="19" t="n">
        <v>69</v>
      </c>
      <c r="B70" s="30" t="s">
        <v>997</v>
      </c>
      <c r="C70" s="30" t="s">
        <v>1350</v>
      </c>
      <c r="D70" s="30" t="s">
        <v>50</v>
      </c>
      <c r="E70" s="30" t="s">
        <v>105</v>
      </c>
      <c r="F70" s="30" t="s">
        <v>179</v>
      </c>
      <c r="G70" s="31" t="n">
        <v>1879</v>
      </c>
      <c r="H70" s="19" t="n">
        <v>1</v>
      </c>
      <c r="I70" s="32" t="n">
        <v>0</v>
      </c>
      <c r="J70" s="30" t="s">
        <v>58</v>
      </c>
      <c r="K70" s="30" t="s">
        <v>47</v>
      </c>
      <c r="L70" s="30" t="s">
        <v>89</v>
      </c>
      <c r="M70" s="31" t="n">
        <f aca="false">AVERAGEIF($E$2:$E$1197,E70,$G$2:$G$1197)</f>
        <v>2870.26771653543</v>
      </c>
      <c r="N70" s="19" t="str">
        <f aca="false">IF(G70&gt;M70*3,"نعم","لا")</f>
        <v>لا</v>
      </c>
      <c r="O70" s="19" t="str">
        <f aca="false">IF(OR(C70="",ISNUMBER(C70)),"لا","نعم")</f>
        <v>نعم</v>
      </c>
      <c r="P70" s="19" t="str">
        <f aca="false">IF(COUNTIF($B$2:B70,B70)&gt;1,"مكرر","فريد")</f>
        <v>فريد</v>
      </c>
      <c r="Q70" s="19" t="str">
        <f aca="false">IF(COUNTBLANK(D70:L70)&gt;0,"نعم","لا")</f>
        <v>لا</v>
      </c>
    </row>
    <row r="71" customFormat="false" ht="15" hidden="false" customHeight="false" outlineLevel="0" collapsed="false">
      <c r="A71" s="19" t="n">
        <v>70</v>
      </c>
      <c r="B71" s="30" t="s">
        <v>1055</v>
      </c>
      <c r="C71" s="44" t="n">
        <v>45598</v>
      </c>
      <c r="D71" s="30" t="s">
        <v>1338</v>
      </c>
      <c r="E71" s="30" t="s">
        <v>107</v>
      </c>
      <c r="F71" s="30" t="s">
        <v>114</v>
      </c>
      <c r="G71" s="31" t="n">
        <v>2769</v>
      </c>
      <c r="H71" s="19" t="n">
        <v>1</v>
      </c>
      <c r="I71" s="32" t="n">
        <v>0.05</v>
      </c>
      <c r="J71" s="30" t="s">
        <v>48</v>
      </c>
      <c r="K71" s="30" t="s">
        <v>47</v>
      </c>
      <c r="L71" s="30" t="s">
        <v>81</v>
      </c>
      <c r="M71" s="31" t="n">
        <f aca="false">AVERAGEIF($E$2:$E$1197,E71,$G$2:$G$1197)</f>
        <v>4981.14563106796</v>
      </c>
      <c r="N71" s="19" t="str">
        <f aca="false">IF(G71&gt;M71*3,"نعم","لا")</f>
        <v>لا</v>
      </c>
      <c r="O71" s="19" t="str">
        <f aca="false">IF(OR(C71="",ISNUMBER(C71)),"لا","نعم")</f>
        <v>لا</v>
      </c>
      <c r="P71" s="19" t="str">
        <f aca="false">IF(COUNTIF($B$2:B71,B71)&gt;1,"مكرر","فريد")</f>
        <v>فريد</v>
      </c>
      <c r="Q71" s="19" t="str">
        <f aca="false">IF(COUNTBLANK(D71:L71)&gt;0,"نعم","لا")</f>
        <v>لا</v>
      </c>
    </row>
    <row r="72" customFormat="false" ht="15" hidden="false" customHeight="false" outlineLevel="0" collapsed="false">
      <c r="A72" s="19" t="n">
        <v>71</v>
      </c>
      <c r="B72" s="30" t="s">
        <v>584</v>
      </c>
      <c r="C72" s="44" t="n">
        <v>45445</v>
      </c>
      <c r="D72" s="30" t="s">
        <v>50</v>
      </c>
      <c r="E72" s="30" t="s">
        <v>105</v>
      </c>
      <c r="F72" s="30" t="s">
        <v>90</v>
      </c>
      <c r="G72" s="31" t="n">
        <v>3049</v>
      </c>
      <c r="H72" s="19" t="n">
        <v>1</v>
      </c>
      <c r="I72" s="32" t="n">
        <v>0.05</v>
      </c>
      <c r="J72" s="30" t="s">
        <v>52</v>
      </c>
      <c r="K72" s="30" t="s">
        <v>47</v>
      </c>
      <c r="L72" s="30" t="s">
        <v>86</v>
      </c>
      <c r="M72" s="31" t="n">
        <f aca="false">AVERAGEIF($E$2:$E$1197,E72,$G$2:$G$1197)</f>
        <v>2870.26771653543</v>
      </c>
      <c r="N72" s="19" t="str">
        <f aca="false">IF(G72&gt;M72*3,"نعم","لا")</f>
        <v>لا</v>
      </c>
      <c r="O72" s="19" t="str">
        <f aca="false">IF(OR(C72="",ISNUMBER(C72)),"لا","نعم")</f>
        <v>لا</v>
      </c>
      <c r="P72" s="19" t="str">
        <f aca="false">IF(COUNTIF($B$2:B72,B72)&gt;1,"مكرر","فريد")</f>
        <v>فريد</v>
      </c>
      <c r="Q72" s="19" t="str">
        <f aca="false">IF(COUNTBLANK(D72:L72)&gt;0,"نعم","لا")</f>
        <v>لا</v>
      </c>
    </row>
    <row r="73" customFormat="false" ht="15" hidden="false" customHeight="false" outlineLevel="0" collapsed="false">
      <c r="A73" s="19" t="n">
        <v>72</v>
      </c>
      <c r="B73" s="30" t="s">
        <v>1022</v>
      </c>
      <c r="C73" s="44" t="n">
        <v>45590</v>
      </c>
      <c r="D73" s="30" t="s">
        <v>54</v>
      </c>
      <c r="E73" s="30" t="s">
        <v>107</v>
      </c>
      <c r="F73" s="30" t="s">
        <v>272</v>
      </c>
      <c r="G73" s="31" t="n">
        <v>6899</v>
      </c>
      <c r="H73" s="19" t="n">
        <v>3</v>
      </c>
      <c r="I73" s="32" t="n">
        <v>0</v>
      </c>
      <c r="J73" s="30" t="s">
        <v>48</v>
      </c>
      <c r="K73" s="30" t="s">
        <v>47</v>
      </c>
      <c r="L73" s="30" t="s">
        <v>76</v>
      </c>
      <c r="M73" s="31" t="n">
        <f aca="false">AVERAGEIF($E$2:$E$1197,E73,$G$2:$G$1197)</f>
        <v>4981.14563106796</v>
      </c>
      <c r="N73" s="19" t="str">
        <f aca="false">IF(G73&gt;M73*3,"نعم","لا")</f>
        <v>لا</v>
      </c>
      <c r="O73" s="19" t="str">
        <f aca="false">IF(OR(C73="",ISNUMBER(C73)),"لا","نعم")</f>
        <v>لا</v>
      </c>
      <c r="P73" s="19" t="str">
        <f aca="false">IF(COUNTIF($B$2:B73,B73)&gt;1,"مكرر","فريد")</f>
        <v>فريد</v>
      </c>
      <c r="Q73" s="19" t="str">
        <f aca="false">IF(COUNTBLANK(D73:L73)&gt;0,"نعم","لا")</f>
        <v>لا</v>
      </c>
    </row>
    <row r="74" customFormat="false" ht="15" hidden="false" customHeight="false" outlineLevel="0" collapsed="false">
      <c r="A74" s="19" t="n">
        <v>73</v>
      </c>
      <c r="B74" s="30" t="s">
        <v>256</v>
      </c>
      <c r="C74" s="44" t="n">
        <v>45325</v>
      </c>
      <c r="D74" s="30" t="s">
        <v>60</v>
      </c>
      <c r="E74" s="30" t="s">
        <v>105</v>
      </c>
      <c r="F74" s="30" t="s">
        <v>179</v>
      </c>
      <c r="G74" s="31" t="n">
        <v>3979</v>
      </c>
      <c r="H74" s="19" t="n">
        <v>2</v>
      </c>
      <c r="I74" s="32" t="n">
        <v>0</v>
      </c>
      <c r="J74" s="30" t="s">
        <v>52</v>
      </c>
      <c r="K74" s="30" t="s">
        <v>47</v>
      </c>
      <c r="L74" s="30" t="s">
        <v>92</v>
      </c>
      <c r="M74" s="31" t="n">
        <f aca="false">AVERAGEIF($E$2:$E$1197,E74,$G$2:$G$1197)</f>
        <v>2870.26771653543</v>
      </c>
      <c r="N74" s="19" t="str">
        <f aca="false">IF(G74&gt;M74*3,"نعم","لا")</f>
        <v>لا</v>
      </c>
      <c r="O74" s="19" t="str">
        <f aca="false">IF(OR(C74="",ISNUMBER(C74)),"لا","نعم")</f>
        <v>لا</v>
      </c>
      <c r="P74" s="19" t="str">
        <f aca="false">IF(COUNTIF($B$2:B74,B74)&gt;1,"مكرر","فريد")</f>
        <v>فريد</v>
      </c>
      <c r="Q74" s="19" t="str">
        <f aca="false">IF(COUNTBLANK(D74:L74)&gt;0,"نعم","لا")</f>
        <v>لا</v>
      </c>
    </row>
    <row r="75" customFormat="false" ht="15" hidden="false" customHeight="false" outlineLevel="0" collapsed="false">
      <c r="A75" s="19" t="n">
        <v>74</v>
      </c>
      <c r="B75" s="30" t="s">
        <v>227</v>
      </c>
      <c r="C75" s="44" t="n">
        <v>45312</v>
      </c>
      <c r="D75" s="30" t="s">
        <v>1337</v>
      </c>
      <c r="E75" s="30" t="s">
        <v>109</v>
      </c>
      <c r="F75" s="30" t="s">
        <v>93</v>
      </c>
      <c r="G75" s="31" t="n">
        <v>269</v>
      </c>
      <c r="H75" s="19" t="n">
        <v>1</v>
      </c>
      <c r="I75" s="32" t="n">
        <v>0</v>
      </c>
      <c r="J75" s="30" t="s">
        <v>48</v>
      </c>
      <c r="K75" s="30" t="s">
        <v>47</v>
      </c>
      <c r="L75" s="30" t="s">
        <v>86</v>
      </c>
      <c r="M75" s="31" t="n">
        <f aca="false">AVERAGEIF($E$2:$E$1197,E75,$G$2:$G$1197)</f>
        <v>186.056291390729</v>
      </c>
      <c r="N75" s="19" t="str">
        <f aca="false">IF(G75&gt;M75*3,"نعم","لا")</f>
        <v>لا</v>
      </c>
      <c r="O75" s="19" t="str">
        <f aca="false">IF(OR(C75="",ISNUMBER(C75)),"لا","نعم")</f>
        <v>لا</v>
      </c>
      <c r="P75" s="19" t="str">
        <f aca="false">IF(COUNTIF($B$2:B75,B75)&gt;1,"مكرر","فريد")</f>
        <v>فريد</v>
      </c>
      <c r="Q75" s="19" t="str">
        <f aca="false">IF(COUNTBLANK(D75:L75)&gt;0,"نعم","لا")</f>
        <v>لا</v>
      </c>
    </row>
    <row r="76" customFormat="false" ht="15" hidden="false" customHeight="false" outlineLevel="0" collapsed="false">
      <c r="A76" s="19" t="n">
        <v>75</v>
      </c>
      <c r="B76" s="30" t="s">
        <v>250</v>
      </c>
      <c r="C76" s="44" t="n">
        <v>45322</v>
      </c>
      <c r="D76" s="30" t="s">
        <v>50</v>
      </c>
      <c r="E76" s="30" t="s">
        <v>111</v>
      </c>
      <c r="F76" s="30" t="s">
        <v>122</v>
      </c>
      <c r="G76" s="31" t="n">
        <v>289</v>
      </c>
      <c r="H76" s="19" t="n">
        <v>1</v>
      </c>
      <c r="I76" s="32" t="n">
        <v>0.15</v>
      </c>
      <c r="J76" s="30" t="s">
        <v>48</v>
      </c>
      <c r="K76" s="30" t="s">
        <v>47</v>
      </c>
      <c r="L76" s="30" t="s">
        <v>99</v>
      </c>
      <c r="M76" s="31" t="n">
        <f aca="false">AVERAGEIF($E$2:$E$1197,E76,$G$2:$G$1197)</f>
        <v>366.306569343066</v>
      </c>
      <c r="N76" s="19" t="str">
        <f aca="false">IF(G76&gt;M76*3,"نعم","لا")</f>
        <v>لا</v>
      </c>
      <c r="O76" s="19" t="str">
        <f aca="false">IF(OR(C76="",ISNUMBER(C76)),"لا","نعم")</f>
        <v>لا</v>
      </c>
      <c r="P76" s="19" t="str">
        <f aca="false">IF(COUNTIF($B$2:B76,B76)&gt;1,"مكرر","فريد")</f>
        <v>فريد</v>
      </c>
      <c r="Q76" s="19" t="str">
        <f aca="false">IF(COUNTBLANK(D76:L76)&gt;0,"نعم","لا")</f>
        <v>لا</v>
      </c>
    </row>
    <row r="77" customFormat="false" ht="15" hidden="false" customHeight="false" outlineLevel="0" collapsed="false">
      <c r="A77" s="19" t="n">
        <v>76</v>
      </c>
      <c r="B77" s="30" t="s">
        <v>1351</v>
      </c>
      <c r="C77" s="44" t="n">
        <v>45356</v>
      </c>
      <c r="D77" s="30" t="s">
        <v>50</v>
      </c>
      <c r="E77" s="30" t="s">
        <v>111</v>
      </c>
      <c r="F77" s="30" t="s">
        <v>122</v>
      </c>
      <c r="G77" s="31" t="n">
        <v>329</v>
      </c>
      <c r="H77" s="19" t="n">
        <v>-2</v>
      </c>
      <c r="I77" s="32" t="n">
        <v>0</v>
      </c>
      <c r="J77" s="30" t="s">
        <v>55</v>
      </c>
      <c r="K77" s="30" t="s">
        <v>47</v>
      </c>
      <c r="L77" s="30" t="s">
        <v>76</v>
      </c>
      <c r="M77" s="31" t="n">
        <f aca="false">AVERAGEIF($E$2:$E$1197,E77,$G$2:$G$1197)</f>
        <v>366.306569343066</v>
      </c>
      <c r="N77" s="19" t="str">
        <f aca="false">IF(G77&gt;M77*3,"نعم","لا")</f>
        <v>لا</v>
      </c>
      <c r="O77" s="19" t="str">
        <f aca="false">IF(OR(C77="",ISNUMBER(C77)),"لا","نعم")</f>
        <v>لا</v>
      </c>
      <c r="P77" s="19" t="str">
        <f aca="false">IF(COUNTIF($B$2:B77,B77)&gt;1,"مكرر","فريد")</f>
        <v>فريد</v>
      </c>
      <c r="Q77" s="19" t="str">
        <f aca="false">IF(COUNTBLANK(D77:L77)&gt;0,"نعم","لا")</f>
        <v>لا</v>
      </c>
    </row>
    <row r="78" customFormat="false" ht="15" hidden="false" customHeight="false" outlineLevel="0" collapsed="false">
      <c r="A78" s="19" t="n">
        <v>77</v>
      </c>
      <c r="B78" s="30" t="s">
        <v>769</v>
      </c>
      <c r="C78" s="44" t="n">
        <v>45509</v>
      </c>
      <c r="D78" s="30" t="s">
        <v>46</v>
      </c>
      <c r="E78" s="30" t="s">
        <v>107</v>
      </c>
      <c r="F78" s="30" t="s">
        <v>184</v>
      </c>
      <c r="G78" s="31" t="n">
        <v>3919</v>
      </c>
      <c r="H78" s="19" t="n">
        <v>2</v>
      </c>
      <c r="I78" s="32" t="n">
        <v>0</v>
      </c>
      <c r="J78" s="30" t="s">
        <v>48</v>
      </c>
      <c r="K78" s="30" t="s">
        <v>47</v>
      </c>
      <c r="L78" s="30" t="s">
        <v>84</v>
      </c>
      <c r="M78" s="31" t="n">
        <f aca="false">AVERAGEIF($E$2:$E$1197,E78,$G$2:$G$1197)</f>
        <v>4981.14563106796</v>
      </c>
      <c r="N78" s="19" t="str">
        <f aca="false">IF(G78&gt;M78*3,"نعم","لا")</f>
        <v>لا</v>
      </c>
      <c r="O78" s="19" t="str">
        <f aca="false">IF(OR(C78="",ISNUMBER(C78)),"لا","نعم")</f>
        <v>لا</v>
      </c>
      <c r="P78" s="19" t="str">
        <f aca="false">IF(COUNTIF($B$2:B78,B78)&gt;1,"مكرر","فريد")</f>
        <v>فريد</v>
      </c>
      <c r="Q78" s="19" t="str">
        <f aca="false">IF(COUNTBLANK(D78:L78)&gt;0,"نعم","لا")</f>
        <v>لا</v>
      </c>
    </row>
    <row r="79" customFormat="false" ht="15" hidden="false" customHeight="false" outlineLevel="0" collapsed="false">
      <c r="A79" s="19" t="n">
        <v>78</v>
      </c>
      <c r="B79" s="30" t="s">
        <v>226</v>
      </c>
      <c r="C79" s="44" t="n">
        <v>45312</v>
      </c>
      <c r="D79" s="30" t="s">
        <v>54</v>
      </c>
      <c r="E79" s="30" t="s">
        <v>113</v>
      </c>
      <c r="F79" s="30" t="s">
        <v>100</v>
      </c>
      <c r="G79" s="31" t="n">
        <v>199</v>
      </c>
      <c r="H79" s="19" t="n">
        <v>6</v>
      </c>
      <c r="I79" s="32" t="n">
        <v>0.15</v>
      </c>
      <c r="J79" s="30" t="s">
        <v>48</v>
      </c>
      <c r="K79" s="30" t="s">
        <v>51</v>
      </c>
      <c r="L79" s="30" t="s">
        <v>76</v>
      </c>
      <c r="M79" s="31" t="n">
        <f aca="false">AVERAGEIF($E$2:$E$1197,E79,$G$2:$G$1197)</f>
        <v>545.358823529412</v>
      </c>
      <c r="N79" s="19" t="str">
        <f aca="false">IF(G79&gt;M79*3,"نعم","لا")</f>
        <v>لا</v>
      </c>
      <c r="O79" s="19" t="str">
        <f aca="false">IF(OR(C79="",ISNUMBER(C79)),"لا","نعم")</f>
        <v>لا</v>
      </c>
      <c r="P79" s="19" t="str">
        <f aca="false">IF(COUNTIF($B$2:B79,B79)&gt;1,"مكرر","فريد")</f>
        <v>فريد</v>
      </c>
      <c r="Q79" s="19" t="str">
        <f aca="false">IF(COUNTBLANK(D79:L79)&gt;0,"نعم","لا")</f>
        <v>لا</v>
      </c>
    </row>
    <row r="80" customFormat="false" ht="15" hidden="false" customHeight="false" outlineLevel="0" collapsed="false">
      <c r="A80" s="19" t="n">
        <v>79</v>
      </c>
      <c r="B80" s="30" t="s">
        <v>622</v>
      </c>
      <c r="C80" s="44" t="n">
        <v>45458</v>
      </c>
      <c r="D80" s="30" t="s">
        <v>50</v>
      </c>
      <c r="E80" s="30" t="s">
        <v>105</v>
      </c>
      <c r="F80" s="30" t="s">
        <v>79</v>
      </c>
      <c r="G80" s="31" t="n">
        <v>809</v>
      </c>
      <c r="H80" s="19" t="n">
        <v>1</v>
      </c>
      <c r="I80" s="32" t="n">
        <v>0</v>
      </c>
      <c r="J80" s="30" t="s">
        <v>48</v>
      </c>
      <c r="K80" s="30" t="s">
        <v>47</v>
      </c>
      <c r="L80" s="30" t="s">
        <v>99</v>
      </c>
      <c r="M80" s="31" t="n">
        <f aca="false">AVERAGEIF($E$2:$E$1197,E80,$G$2:$G$1197)</f>
        <v>2870.26771653543</v>
      </c>
      <c r="N80" s="19" t="str">
        <f aca="false">IF(G80&gt;M80*3,"نعم","لا")</f>
        <v>لا</v>
      </c>
      <c r="O80" s="19" t="str">
        <f aca="false">IF(OR(C80="",ISNUMBER(C80)),"لا","نعم")</f>
        <v>لا</v>
      </c>
      <c r="P80" s="19" t="str">
        <f aca="false">IF(COUNTIF($B$2:B80,B80)&gt;1,"مكرر","فريد")</f>
        <v>فريد</v>
      </c>
      <c r="Q80" s="19" t="str">
        <f aca="false">IF(COUNTBLANK(D80:L80)&gt;0,"نعم","لا")</f>
        <v>لا</v>
      </c>
    </row>
    <row r="81" customFormat="false" ht="15" hidden="false" customHeight="false" outlineLevel="0" collapsed="false">
      <c r="A81" s="19" t="n">
        <v>80</v>
      </c>
      <c r="B81" s="30" t="s">
        <v>1239</v>
      </c>
      <c r="C81" s="44" t="n">
        <v>45642</v>
      </c>
      <c r="D81" s="30" t="s">
        <v>54</v>
      </c>
      <c r="E81" s="30" t="s">
        <v>107</v>
      </c>
      <c r="F81" s="30" t="s">
        <v>184</v>
      </c>
      <c r="G81" s="31" t="n">
        <v>5109</v>
      </c>
      <c r="H81" s="19" t="n">
        <v>2</v>
      </c>
      <c r="I81" s="32" t="n">
        <v>0</v>
      </c>
      <c r="J81" s="30" t="s">
        <v>48</v>
      </c>
      <c r="K81" s="30" t="s">
        <v>47</v>
      </c>
      <c r="L81" s="30" t="s">
        <v>76</v>
      </c>
      <c r="M81" s="31" t="n">
        <f aca="false">AVERAGEIF($E$2:$E$1197,E81,$G$2:$G$1197)</f>
        <v>4981.14563106796</v>
      </c>
      <c r="N81" s="19" t="str">
        <f aca="false">IF(G81&gt;M81*3,"نعم","لا")</f>
        <v>لا</v>
      </c>
      <c r="O81" s="19" t="str">
        <f aca="false">IF(OR(C81="",ISNUMBER(C81)),"لا","نعم")</f>
        <v>لا</v>
      </c>
      <c r="P81" s="19" t="str">
        <f aca="false">IF(COUNTIF($B$2:B81,B81)&gt;1,"مكرر","فريد")</f>
        <v>فريد</v>
      </c>
      <c r="Q81" s="19" t="str">
        <f aca="false">IF(COUNTBLANK(D81:L81)&gt;0,"نعم","لا")</f>
        <v>لا</v>
      </c>
    </row>
    <row r="82" customFormat="false" ht="15" hidden="false" customHeight="false" outlineLevel="0" collapsed="false">
      <c r="A82" s="19" t="n">
        <v>81</v>
      </c>
      <c r="B82" s="30" t="s">
        <v>520</v>
      </c>
      <c r="C82" s="44" t="n">
        <v>45422</v>
      </c>
      <c r="D82" s="30" t="s">
        <v>1337</v>
      </c>
      <c r="E82" s="30" t="s">
        <v>109</v>
      </c>
      <c r="F82" s="30" t="s">
        <v>93</v>
      </c>
      <c r="G82" s="31" t="n">
        <v>299</v>
      </c>
      <c r="H82" s="19" t="n">
        <v>1</v>
      </c>
      <c r="I82" s="32" t="n">
        <v>0</v>
      </c>
      <c r="J82" s="30" t="s">
        <v>48</v>
      </c>
      <c r="K82" s="30" t="s">
        <v>47</v>
      </c>
      <c r="L82" s="30" t="s">
        <v>94</v>
      </c>
      <c r="M82" s="31" t="n">
        <f aca="false">AVERAGEIF($E$2:$E$1197,E82,$G$2:$G$1197)</f>
        <v>186.056291390729</v>
      </c>
      <c r="N82" s="19" t="str">
        <f aca="false">IF(G82&gt;M82*3,"نعم","لا")</f>
        <v>لا</v>
      </c>
      <c r="O82" s="19" t="str">
        <f aca="false">IF(OR(C82="",ISNUMBER(C82)),"لا","نعم")</f>
        <v>لا</v>
      </c>
      <c r="P82" s="19" t="str">
        <f aca="false">IF(COUNTIF($B$2:B82,B82)&gt;1,"مكرر","فريد")</f>
        <v>فريد</v>
      </c>
      <c r="Q82" s="19" t="str">
        <f aca="false">IF(COUNTBLANK(D82:L82)&gt;0,"نعم","لا")</f>
        <v>لا</v>
      </c>
    </row>
    <row r="83" customFormat="false" ht="15" hidden="false" customHeight="false" outlineLevel="0" collapsed="false">
      <c r="A83" s="19" t="n">
        <v>82</v>
      </c>
      <c r="B83" s="30" t="s">
        <v>281</v>
      </c>
      <c r="C83" s="44" t="n">
        <v>45333</v>
      </c>
      <c r="D83" s="30" t="s">
        <v>46</v>
      </c>
      <c r="E83" s="30" t="s">
        <v>105</v>
      </c>
      <c r="F83" s="30" t="s">
        <v>179</v>
      </c>
      <c r="G83" s="31" t="n">
        <v>1449</v>
      </c>
      <c r="H83" s="19" t="n">
        <v>3</v>
      </c>
      <c r="I83" s="32" t="n">
        <v>0.05</v>
      </c>
      <c r="J83" s="30" t="s">
        <v>55</v>
      </c>
      <c r="K83" s="30" t="s">
        <v>51</v>
      </c>
      <c r="L83" s="30" t="s">
        <v>81</v>
      </c>
      <c r="M83" s="31" t="n">
        <f aca="false">AVERAGEIF($E$2:$E$1197,E83,$G$2:$G$1197)</f>
        <v>2870.26771653543</v>
      </c>
      <c r="N83" s="19" t="str">
        <f aca="false">IF(G83&gt;M83*3,"نعم","لا")</f>
        <v>لا</v>
      </c>
      <c r="O83" s="19" t="str">
        <f aca="false">IF(OR(C83="",ISNUMBER(C83)),"لا","نعم")</f>
        <v>لا</v>
      </c>
      <c r="P83" s="19" t="str">
        <f aca="false">IF(COUNTIF($B$2:B83,B83)&gt;1,"مكرر","فريد")</f>
        <v>فريد</v>
      </c>
      <c r="Q83" s="19" t="str">
        <f aca="false">IF(COUNTBLANK(D83:L83)&gt;0,"نعم","لا")</f>
        <v>لا</v>
      </c>
    </row>
    <row r="84" customFormat="false" ht="15" hidden="false" customHeight="false" outlineLevel="0" collapsed="false">
      <c r="A84" s="19" t="n">
        <v>83</v>
      </c>
      <c r="B84" s="30" t="s">
        <v>369</v>
      </c>
      <c r="C84" s="44" t="n">
        <v>45365</v>
      </c>
      <c r="D84" s="30" t="s">
        <v>46</v>
      </c>
      <c r="E84" s="30" t="s">
        <v>113</v>
      </c>
      <c r="F84" s="30" t="s">
        <v>121</v>
      </c>
      <c r="G84" s="31" t="n">
        <v>559</v>
      </c>
      <c r="H84" s="19" t="n">
        <v>1</v>
      </c>
      <c r="I84" s="32" t="n">
        <v>0</v>
      </c>
      <c r="J84" s="30" t="s">
        <v>48</v>
      </c>
      <c r="K84" s="30" t="s">
        <v>47</v>
      </c>
      <c r="L84" s="30" t="s">
        <v>86</v>
      </c>
      <c r="M84" s="31" t="n">
        <f aca="false">AVERAGEIF($E$2:$E$1197,E84,$G$2:$G$1197)</f>
        <v>545.358823529412</v>
      </c>
      <c r="N84" s="19" t="str">
        <f aca="false">IF(G84&gt;M84*3,"نعم","لا")</f>
        <v>لا</v>
      </c>
      <c r="O84" s="19" t="str">
        <f aca="false">IF(OR(C84="",ISNUMBER(C84)),"لا","نعم")</f>
        <v>لا</v>
      </c>
      <c r="P84" s="19" t="str">
        <f aca="false">IF(COUNTIF($B$2:B84,B84)&gt;1,"مكرر","فريد")</f>
        <v>فريد</v>
      </c>
      <c r="Q84" s="19" t="str">
        <f aca="false">IF(COUNTBLANK(D84:L84)&gt;0,"نعم","لا")</f>
        <v>لا</v>
      </c>
    </row>
    <row r="85" customFormat="false" ht="15" hidden="false" customHeight="false" outlineLevel="0" collapsed="false">
      <c r="A85" s="19" t="n">
        <v>84</v>
      </c>
      <c r="B85" s="30" t="s">
        <v>1009</v>
      </c>
      <c r="C85" s="44" t="n">
        <v>45586</v>
      </c>
      <c r="D85" s="30" t="s">
        <v>60</v>
      </c>
      <c r="E85" s="30" t="s">
        <v>109</v>
      </c>
      <c r="F85" s="30" t="s">
        <v>93</v>
      </c>
      <c r="G85" s="31" t="n">
        <v>119</v>
      </c>
      <c r="H85" s="19" t="n">
        <v>2</v>
      </c>
      <c r="I85" s="32" t="n">
        <v>0.05</v>
      </c>
      <c r="J85" s="30" t="s">
        <v>48</v>
      </c>
      <c r="K85" s="30" t="s">
        <v>47</v>
      </c>
      <c r="L85" s="30" t="s">
        <v>94</v>
      </c>
      <c r="M85" s="31" t="n">
        <f aca="false">AVERAGEIF($E$2:$E$1197,E85,$G$2:$G$1197)</f>
        <v>186.056291390729</v>
      </c>
      <c r="N85" s="19" t="str">
        <f aca="false">IF(G85&gt;M85*3,"نعم","لا")</f>
        <v>لا</v>
      </c>
      <c r="O85" s="19" t="str">
        <f aca="false">IF(OR(C85="",ISNUMBER(C85)),"لا","نعم")</f>
        <v>لا</v>
      </c>
      <c r="P85" s="19" t="str">
        <f aca="false">IF(COUNTIF($B$2:B85,B85)&gt;1,"مكرر","فريد")</f>
        <v>فريد</v>
      </c>
      <c r="Q85" s="19" t="str">
        <f aca="false">IF(COUNTBLANK(D85:L85)&gt;0,"نعم","لا")</f>
        <v>لا</v>
      </c>
    </row>
    <row r="86" customFormat="false" ht="15" hidden="false" customHeight="false" outlineLevel="0" collapsed="false">
      <c r="A86" s="19" t="n">
        <v>85</v>
      </c>
      <c r="B86" s="30" t="s">
        <v>979</v>
      </c>
      <c r="C86" s="44" t="n">
        <v>45574</v>
      </c>
      <c r="D86" s="30" t="s">
        <v>60</v>
      </c>
      <c r="E86" s="30" t="s">
        <v>105</v>
      </c>
      <c r="F86" s="30" t="s">
        <v>79</v>
      </c>
      <c r="G86" s="31" t="n">
        <v>4309</v>
      </c>
      <c r="H86" s="19" t="n">
        <v>1</v>
      </c>
      <c r="I86" s="32"/>
      <c r="J86" s="30" t="s">
        <v>55</v>
      </c>
      <c r="K86" s="30" t="s">
        <v>47</v>
      </c>
      <c r="L86" s="30" t="s">
        <v>78</v>
      </c>
      <c r="M86" s="31" t="n">
        <f aca="false">AVERAGEIF($E$2:$E$1197,E86,$G$2:$G$1197)</f>
        <v>2870.26771653543</v>
      </c>
      <c r="N86" s="19" t="str">
        <f aca="false">IF(G86&gt;M86*3,"نعم","لا")</f>
        <v>لا</v>
      </c>
      <c r="O86" s="19" t="str">
        <f aca="false">IF(OR(C86="",ISNUMBER(C86)),"لا","نعم")</f>
        <v>لا</v>
      </c>
      <c r="P86" s="19" t="str">
        <f aca="false">IF(COUNTIF($B$2:B86,B86)&gt;1,"مكرر","فريد")</f>
        <v>فريد</v>
      </c>
      <c r="Q86" s="19" t="str">
        <f aca="false">IF(COUNTBLANK(D86:L86)&gt;0,"نعم","لا")</f>
        <v>نعم</v>
      </c>
    </row>
    <row r="87" customFormat="false" ht="15" hidden="false" customHeight="false" outlineLevel="0" collapsed="false">
      <c r="A87" s="19" t="n">
        <v>86</v>
      </c>
      <c r="B87" s="30" t="s">
        <v>982</v>
      </c>
      <c r="C87" s="44" t="n">
        <v>45575</v>
      </c>
      <c r="D87" s="30" t="s">
        <v>46</v>
      </c>
      <c r="E87" s="30" t="s">
        <v>105</v>
      </c>
      <c r="F87" s="30" t="s">
        <v>79</v>
      </c>
      <c r="G87" s="31" t="n">
        <v>1769</v>
      </c>
      <c r="H87" s="19" t="n">
        <v>1</v>
      </c>
      <c r="I87" s="32" t="n">
        <v>0</v>
      </c>
      <c r="J87" s="30" t="s">
        <v>52</v>
      </c>
      <c r="K87" s="30" t="s">
        <v>47</v>
      </c>
      <c r="L87" s="30" t="s">
        <v>94</v>
      </c>
      <c r="M87" s="31" t="n">
        <f aca="false">AVERAGEIF($E$2:$E$1197,E87,$G$2:$G$1197)</f>
        <v>2870.26771653543</v>
      </c>
      <c r="N87" s="19" t="str">
        <f aca="false">IF(G87&gt;M87*3,"نعم","لا")</f>
        <v>لا</v>
      </c>
      <c r="O87" s="19" t="str">
        <f aca="false">IF(OR(C87="",ISNUMBER(C87)),"لا","نعم")</f>
        <v>لا</v>
      </c>
      <c r="P87" s="19" t="str">
        <f aca="false">IF(COUNTIF($B$2:B87,B87)&gt;1,"مكرر","فريد")</f>
        <v>فريد</v>
      </c>
      <c r="Q87" s="19" t="str">
        <f aca="false">IF(COUNTBLANK(D87:L87)&gt;0,"نعم","لا")</f>
        <v>لا</v>
      </c>
    </row>
    <row r="88" customFormat="false" ht="15" hidden="false" customHeight="false" outlineLevel="0" collapsed="false">
      <c r="A88" s="19" t="n">
        <v>87</v>
      </c>
      <c r="B88" s="30" t="s">
        <v>773</v>
      </c>
      <c r="C88" s="44" t="n">
        <v>45510</v>
      </c>
      <c r="D88" s="30" t="s">
        <v>50</v>
      </c>
      <c r="E88" s="30" t="s">
        <v>105</v>
      </c>
      <c r="F88" s="30" t="s">
        <v>82</v>
      </c>
      <c r="G88" s="31" t="n">
        <v>1899</v>
      </c>
      <c r="H88" s="19" t="n">
        <v>2</v>
      </c>
      <c r="I88" s="32" t="n">
        <v>0.2</v>
      </c>
      <c r="J88" s="30" t="s">
        <v>1352</v>
      </c>
      <c r="K88" s="30" t="s">
        <v>47</v>
      </c>
      <c r="L88" s="30" t="s">
        <v>99</v>
      </c>
      <c r="M88" s="31" t="n">
        <f aca="false">AVERAGEIF($E$2:$E$1197,E88,$G$2:$G$1197)</f>
        <v>2870.26771653543</v>
      </c>
      <c r="N88" s="19" t="str">
        <f aca="false">IF(G88&gt;M88*3,"نعم","لا")</f>
        <v>لا</v>
      </c>
      <c r="O88" s="19" t="str">
        <f aca="false">IF(OR(C88="",ISNUMBER(C88)),"لا","نعم")</f>
        <v>لا</v>
      </c>
      <c r="P88" s="19" t="str">
        <f aca="false">IF(COUNTIF($B$2:B88,B88)&gt;1,"مكرر","فريد")</f>
        <v>فريد</v>
      </c>
      <c r="Q88" s="19" t="str">
        <f aca="false">IF(COUNTBLANK(D88:L88)&gt;0,"نعم","لا")</f>
        <v>لا</v>
      </c>
    </row>
    <row r="89" customFormat="false" ht="15" hidden="false" customHeight="false" outlineLevel="0" collapsed="false">
      <c r="A89" s="19" t="n">
        <v>88</v>
      </c>
      <c r="B89" s="30" t="s">
        <v>750</v>
      </c>
      <c r="C89" s="44" t="n">
        <v>45502</v>
      </c>
      <c r="D89" s="30" t="s">
        <v>46</v>
      </c>
      <c r="E89" s="30" t="s">
        <v>105</v>
      </c>
      <c r="F89" s="30" t="s">
        <v>85</v>
      </c>
      <c r="G89" s="31" t="n">
        <v>2499</v>
      </c>
      <c r="H89" s="19" t="n">
        <v>1</v>
      </c>
      <c r="I89" s="32" t="n">
        <v>0.1</v>
      </c>
      <c r="J89" s="30" t="s">
        <v>48</v>
      </c>
      <c r="K89" s="30" t="s">
        <v>47</v>
      </c>
      <c r="L89" s="30" t="s">
        <v>78</v>
      </c>
      <c r="M89" s="31" t="n">
        <f aca="false">AVERAGEIF($E$2:$E$1197,E89,$G$2:$G$1197)</f>
        <v>2870.26771653543</v>
      </c>
      <c r="N89" s="19" t="str">
        <f aca="false">IF(G89&gt;M89*3,"نعم","لا")</f>
        <v>لا</v>
      </c>
      <c r="O89" s="19" t="str">
        <f aca="false">IF(OR(C89="",ISNUMBER(C89)),"لا","نعم")</f>
        <v>لا</v>
      </c>
      <c r="P89" s="19" t="str">
        <f aca="false">IF(COUNTIF($B$2:B89,B89)&gt;1,"مكرر","فريد")</f>
        <v>فريد</v>
      </c>
      <c r="Q89" s="19" t="str">
        <f aca="false">IF(COUNTBLANK(D89:L89)&gt;0,"نعم","لا")</f>
        <v>لا</v>
      </c>
    </row>
    <row r="90" customFormat="false" ht="15" hidden="false" customHeight="false" outlineLevel="0" collapsed="false">
      <c r="A90" s="19" t="n">
        <v>89</v>
      </c>
      <c r="B90" s="30" t="s">
        <v>952</v>
      </c>
      <c r="C90" s="44" t="n">
        <v>45565</v>
      </c>
      <c r="D90" s="30" t="s">
        <v>57</v>
      </c>
      <c r="E90" s="30" t="s">
        <v>109</v>
      </c>
      <c r="F90" s="30" t="s">
        <v>110</v>
      </c>
      <c r="G90" s="31" t="n">
        <v>109</v>
      </c>
      <c r="H90" s="19" t="n">
        <v>1</v>
      </c>
      <c r="I90" s="32" t="n">
        <v>0</v>
      </c>
      <c r="J90" s="30" t="s">
        <v>55</v>
      </c>
      <c r="K90" s="30" t="s">
        <v>51</v>
      </c>
      <c r="L90" s="30" t="s">
        <v>78</v>
      </c>
      <c r="M90" s="31" t="n">
        <f aca="false">AVERAGEIF($E$2:$E$1197,E90,$G$2:$G$1197)</f>
        <v>186.056291390729</v>
      </c>
      <c r="N90" s="19" t="str">
        <f aca="false">IF(G90&gt;M90*3,"نعم","لا")</f>
        <v>لا</v>
      </c>
      <c r="O90" s="19" t="str">
        <f aca="false">IF(OR(C90="",ISNUMBER(C90)),"لا","نعم")</f>
        <v>لا</v>
      </c>
      <c r="P90" s="19" t="str">
        <f aca="false">IF(COUNTIF($B$2:B90,B90)&gt;1,"مكرر","فريد")</f>
        <v>فريد</v>
      </c>
      <c r="Q90" s="19" t="str">
        <f aca="false">IF(COUNTBLANK(D90:L90)&gt;0,"نعم","لا")</f>
        <v>لا</v>
      </c>
    </row>
    <row r="91" customFormat="false" ht="15" hidden="false" customHeight="false" outlineLevel="0" collapsed="false">
      <c r="A91" s="19" t="n">
        <v>90</v>
      </c>
      <c r="B91" s="30" t="s">
        <v>545</v>
      </c>
      <c r="C91" s="44" t="n">
        <v>45429</v>
      </c>
      <c r="D91" s="30" t="s">
        <v>46</v>
      </c>
      <c r="E91" s="30" t="s">
        <v>113</v>
      </c>
      <c r="F91" s="30" t="s">
        <v>97</v>
      </c>
      <c r="G91" s="31" t="n">
        <v>799</v>
      </c>
      <c r="H91" s="19" t="n">
        <v>1</v>
      </c>
      <c r="I91" s="32" t="n">
        <v>0.1</v>
      </c>
      <c r="J91" s="30" t="s">
        <v>52</v>
      </c>
      <c r="K91" s="30" t="s">
        <v>47</v>
      </c>
      <c r="L91" s="30" t="s">
        <v>78</v>
      </c>
      <c r="M91" s="31" t="n">
        <f aca="false">AVERAGEIF($E$2:$E$1197,E91,$G$2:$G$1197)</f>
        <v>545.358823529412</v>
      </c>
      <c r="N91" s="19" t="str">
        <f aca="false">IF(G91&gt;M91*3,"نعم","لا")</f>
        <v>لا</v>
      </c>
      <c r="O91" s="19" t="str">
        <f aca="false">IF(OR(C91="",ISNUMBER(C91)),"لا","نعم")</f>
        <v>لا</v>
      </c>
      <c r="P91" s="19" t="str">
        <f aca="false">IF(COUNTIF($B$2:B91,B91)&gt;1,"مكرر","فريد")</f>
        <v>فريد</v>
      </c>
      <c r="Q91" s="19" t="str">
        <f aca="false">IF(COUNTBLANK(D91:L91)&gt;0,"نعم","لا")</f>
        <v>لا</v>
      </c>
    </row>
    <row r="92" customFormat="false" ht="15" hidden="false" customHeight="false" outlineLevel="0" collapsed="false">
      <c r="A92" s="19" t="n">
        <v>91</v>
      </c>
      <c r="B92" s="30" t="s">
        <v>392</v>
      </c>
      <c r="C92" s="44" t="n">
        <v>45373</v>
      </c>
      <c r="D92" s="30" t="s">
        <v>46</v>
      </c>
      <c r="E92" s="30" t="s">
        <v>105</v>
      </c>
      <c r="F92" s="30" t="s">
        <v>90</v>
      </c>
      <c r="G92" s="31" t="n">
        <v>1439</v>
      </c>
      <c r="H92" s="19" t="n">
        <v>2</v>
      </c>
      <c r="I92" s="32" t="n">
        <v>0.05</v>
      </c>
      <c r="J92" s="30" t="s">
        <v>48</v>
      </c>
      <c r="K92" s="30" t="s">
        <v>47</v>
      </c>
      <c r="L92" s="30" t="s">
        <v>81</v>
      </c>
      <c r="M92" s="31" t="n">
        <f aca="false">AVERAGEIF($E$2:$E$1197,E92,$G$2:$G$1197)</f>
        <v>2870.26771653543</v>
      </c>
      <c r="N92" s="19" t="str">
        <f aca="false">IF(G92&gt;M92*3,"نعم","لا")</f>
        <v>لا</v>
      </c>
      <c r="O92" s="19" t="str">
        <f aca="false">IF(OR(C92="",ISNUMBER(C92)),"لا","نعم")</f>
        <v>لا</v>
      </c>
      <c r="P92" s="19" t="str">
        <f aca="false">IF(COUNTIF($B$2:B92,B92)&gt;1,"مكرر","فريد")</f>
        <v>فريد</v>
      </c>
      <c r="Q92" s="19" t="str">
        <f aca="false">IF(COUNTBLANK(D92:L92)&gt;0,"نعم","لا")</f>
        <v>لا</v>
      </c>
    </row>
    <row r="93" customFormat="false" ht="15" hidden="false" customHeight="false" outlineLevel="0" collapsed="false">
      <c r="A93" s="19" t="n">
        <v>92</v>
      </c>
      <c r="B93" s="30" t="s">
        <v>437</v>
      </c>
      <c r="C93" s="44" t="n">
        <v>45387</v>
      </c>
      <c r="D93" s="30" t="s">
        <v>46</v>
      </c>
      <c r="E93" s="30" t="s">
        <v>105</v>
      </c>
      <c r="F93" s="30" t="s">
        <v>179</v>
      </c>
      <c r="G93" s="31" t="n">
        <v>4079</v>
      </c>
      <c r="H93" s="19" t="n">
        <v>1</v>
      </c>
      <c r="I93" s="32" t="n">
        <v>0.1</v>
      </c>
      <c r="J93" s="30" t="s">
        <v>55</v>
      </c>
      <c r="K93" s="30" t="s">
        <v>47</v>
      </c>
      <c r="L93" s="30" t="s">
        <v>76</v>
      </c>
      <c r="M93" s="31" t="n">
        <f aca="false">AVERAGEIF($E$2:$E$1197,E93,$G$2:$G$1197)</f>
        <v>2870.26771653543</v>
      </c>
      <c r="N93" s="19" t="str">
        <f aca="false">IF(G93&gt;M93*3,"نعم","لا")</f>
        <v>لا</v>
      </c>
      <c r="O93" s="19" t="str">
        <f aca="false">IF(OR(C93="",ISNUMBER(C93)),"لا","نعم")</f>
        <v>لا</v>
      </c>
      <c r="P93" s="19" t="str">
        <f aca="false">IF(COUNTIF($B$2:B93,B93)&gt;1,"مكرر","فريد")</f>
        <v>فريد</v>
      </c>
      <c r="Q93" s="19" t="str">
        <f aca="false">IF(COUNTBLANK(D93:L93)&gt;0,"نعم","لا")</f>
        <v>لا</v>
      </c>
    </row>
    <row r="94" customFormat="false" ht="15" hidden="false" customHeight="false" outlineLevel="0" collapsed="false">
      <c r="A94" s="19" t="n">
        <v>93</v>
      </c>
      <c r="B94" s="30" t="s">
        <v>862</v>
      </c>
      <c r="C94" s="44" t="n">
        <v>45533</v>
      </c>
      <c r="D94" s="30" t="s">
        <v>46</v>
      </c>
      <c r="E94" s="30" t="s">
        <v>105</v>
      </c>
      <c r="F94" s="30" t="s">
        <v>85</v>
      </c>
      <c r="G94" s="31" t="n">
        <v>979</v>
      </c>
      <c r="H94" s="19" t="n">
        <v>1</v>
      </c>
      <c r="I94" s="32" t="n">
        <v>0</v>
      </c>
      <c r="J94" s="30" t="s">
        <v>48</v>
      </c>
      <c r="K94" s="30" t="s">
        <v>47</v>
      </c>
      <c r="L94" s="30" t="s">
        <v>81</v>
      </c>
      <c r="M94" s="31" t="n">
        <f aca="false">AVERAGEIF($E$2:$E$1197,E94,$G$2:$G$1197)</f>
        <v>2870.26771653543</v>
      </c>
      <c r="N94" s="19" t="str">
        <f aca="false">IF(G94&gt;M94*3,"نعم","لا")</f>
        <v>لا</v>
      </c>
      <c r="O94" s="19" t="str">
        <f aca="false">IF(OR(C94="",ISNUMBER(C94)),"لا","نعم")</f>
        <v>لا</v>
      </c>
      <c r="P94" s="19" t="str">
        <f aca="false">IF(COUNTIF($B$2:B94,B94)&gt;1,"مكرر","فريد")</f>
        <v>فريد</v>
      </c>
      <c r="Q94" s="19" t="str">
        <f aca="false">IF(COUNTBLANK(D94:L94)&gt;0,"نعم","لا")</f>
        <v>لا</v>
      </c>
    </row>
    <row r="95" customFormat="false" ht="15" hidden="false" customHeight="false" outlineLevel="0" collapsed="false">
      <c r="A95" s="19" t="n">
        <v>94</v>
      </c>
      <c r="B95" s="30" t="s">
        <v>285</v>
      </c>
      <c r="C95" s="44" t="n">
        <v>45335</v>
      </c>
      <c r="D95" s="30" t="s">
        <v>50</v>
      </c>
      <c r="E95" s="30" t="s">
        <v>111</v>
      </c>
      <c r="F95" s="30" t="s">
        <v>118</v>
      </c>
      <c r="G95" s="31" t="n">
        <v>189</v>
      </c>
      <c r="H95" s="19" t="n">
        <v>2</v>
      </c>
      <c r="I95" s="32" t="n">
        <v>0.05</v>
      </c>
      <c r="J95" s="30" t="s">
        <v>48</v>
      </c>
      <c r="K95" s="30" t="s">
        <v>47</v>
      </c>
      <c r="L95" s="30" t="s">
        <v>94</v>
      </c>
      <c r="M95" s="31" t="n">
        <f aca="false">AVERAGEIF($E$2:$E$1197,E95,$G$2:$G$1197)</f>
        <v>366.306569343066</v>
      </c>
      <c r="N95" s="19" t="str">
        <f aca="false">IF(G95&gt;M95*3,"نعم","لا")</f>
        <v>لا</v>
      </c>
      <c r="O95" s="19" t="str">
        <f aca="false">IF(OR(C95="",ISNUMBER(C95)),"لا","نعم")</f>
        <v>لا</v>
      </c>
      <c r="P95" s="19" t="str">
        <f aca="false">IF(COUNTIF($B$2:B95,B95)&gt;1,"مكرر","فريد")</f>
        <v>فريد</v>
      </c>
      <c r="Q95" s="19" t="str">
        <f aca="false">IF(COUNTBLANK(D95:L95)&gt;0,"نعم","لا")</f>
        <v>لا</v>
      </c>
    </row>
    <row r="96" customFormat="false" ht="15" hidden="false" customHeight="false" outlineLevel="0" collapsed="false">
      <c r="A96" s="19" t="n">
        <v>95</v>
      </c>
      <c r="B96" s="30" t="s">
        <v>992</v>
      </c>
      <c r="C96" s="44" t="n">
        <v>45577</v>
      </c>
      <c r="D96" s="30" t="s">
        <v>50</v>
      </c>
      <c r="E96" s="30" t="s">
        <v>105</v>
      </c>
      <c r="F96" s="30" t="s">
        <v>90</v>
      </c>
      <c r="G96" s="31" t="n">
        <v>2469</v>
      </c>
      <c r="H96" s="19" t="n">
        <v>1</v>
      </c>
      <c r="I96" s="32" t="n">
        <v>0</v>
      </c>
      <c r="J96" s="30" t="s">
        <v>48</v>
      </c>
      <c r="K96" s="30" t="s">
        <v>47</v>
      </c>
      <c r="L96" s="30" t="s">
        <v>76</v>
      </c>
      <c r="M96" s="31" t="n">
        <f aca="false">AVERAGEIF($E$2:$E$1197,E96,$G$2:$G$1197)</f>
        <v>2870.26771653543</v>
      </c>
      <c r="N96" s="19" t="str">
        <f aca="false">IF(G96&gt;M96*3,"نعم","لا")</f>
        <v>لا</v>
      </c>
      <c r="O96" s="19" t="str">
        <f aca="false">IF(OR(C96="",ISNUMBER(C96)),"لا","نعم")</f>
        <v>لا</v>
      </c>
      <c r="P96" s="19" t="str">
        <f aca="false">IF(COUNTIF($B$2:B96,B96)&gt;1,"مكرر","فريد")</f>
        <v>فريد</v>
      </c>
      <c r="Q96" s="19" t="str">
        <f aca="false">IF(COUNTBLANK(D96:L96)&gt;0,"نعم","لا")</f>
        <v>لا</v>
      </c>
    </row>
    <row r="97" customFormat="false" ht="15" hidden="false" customHeight="false" outlineLevel="0" collapsed="false">
      <c r="A97" s="19" t="n">
        <v>96</v>
      </c>
      <c r="B97" s="30" t="s">
        <v>326</v>
      </c>
      <c r="C97" s="44" t="n">
        <v>45353</v>
      </c>
      <c r="D97" s="30" t="s">
        <v>50</v>
      </c>
      <c r="E97" s="30" t="s">
        <v>105</v>
      </c>
      <c r="F97" s="30" t="s">
        <v>82</v>
      </c>
      <c r="G97" s="31" t="n">
        <v>1829</v>
      </c>
      <c r="H97" s="19" t="n">
        <v>1</v>
      </c>
      <c r="I97" s="32" t="n">
        <v>0.1</v>
      </c>
      <c r="J97" s="30" t="s">
        <v>48</v>
      </c>
      <c r="K97" s="30" t="s">
        <v>47</v>
      </c>
      <c r="L97" s="30" t="s">
        <v>81</v>
      </c>
      <c r="M97" s="31" t="n">
        <f aca="false">AVERAGEIF($E$2:$E$1197,E97,$G$2:$G$1197)</f>
        <v>2870.26771653543</v>
      </c>
      <c r="N97" s="19" t="str">
        <f aca="false">IF(G97&gt;M97*3,"نعم","لا")</f>
        <v>لا</v>
      </c>
      <c r="O97" s="19" t="str">
        <f aca="false">IF(OR(C97="",ISNUMBER(C97)),"لا","نعم")</f>
        <v>لا</v>
      </c>
      <c r="P97" s="19" t="str">
        <f aca="false">IF(COUNTIF($B$2:B97,B97)&gt;1,"مكرر","فريد")</f>
        <v>فريد</v>
      </c>
      <c r="Q97" s="19" t="str">
        <f aca="false">IF(COUNTBLANK(D97:L97)&gt;0,"نعم","لا")</f>
        <v>لا</v>
      </c>
    </row>
    <row r="98" customFormat="false" ht="15" hidden="false" customHeight="false" outlineLevel="0" collapsed="false">
      <c r="A98" s="19" t="n">
        <v>97</v>
      </c>
      <c r="B98" s="30" t="s">
        <v>347</v>
      </c>
      <c r="C98" s="44" t="n">
        <v>45360</v>
      </c>
      <c r="D98" s="30" t="s">
        <v>60</v>
      </c>
      <c r="E98" s="30" t="s">
        <v>105</v>
      </c>
      <c r="F98" s="30" t="s">
        <v>90</v>
      </c>
      <c r="G98" s="31" t="n">
        <v>3539</v>
      </c>
      <c r="H98" s="19" t="n">
        <v>2</v>
      </c>
      <c r="I98" s="32" t="n">
        <v>0.05</v>
      </c>
      <c r="J98" s="30" t="s">
        <v>52</v>
      </c>
      <c r="K98" s="30" t="s">
        <v>47</v>
      </c>
      <c r="L98" s="30" t="s">
        <v>84</v>
      </c>
      <c r="M98" s="31" t="n">
        <f aca="false">AVERAGEIF($E$2:$E$1197,E98,$G$2:$G$1197)</f>
        <v>2870.26771653543</v>
      </c>
      <c r="N98" s="19" t="str">
        <f aca="false">IF(G98&gt;M98*3,"نعم","لا")</f>
        <v>لا</v>
      </c>
      <c r="O98" s="19" t="str">
        <f aca="false">IF(OR(C98="",ISNUMBER(C98)),"لا","نعم")</f>
        <v>لا</v>
      </c>
      <c r="P98" s="19" t="str">
        <f aca="false">IF(COUNTIF($B$2:B98,B98)&gt;1,"مكرر","فريد")</f>
        <v>فريد</v>
      </c>
      <c r="Q98" s="19" t="str">
        <f aca="false">IF(COUNTBLANK(D98:L98)&gt;0,"نعم","لا")</f>
        <v>لا</v>
      </c>
    </row>
    <row r="99" customFormat="false" ht="15" hidden="false" customHeight="false" outlineLevel="0" collapsed="false">
      <c r="A99" s="19" t="n">
        <v>98</v>
      </c>
      <c r="B99" s="30" t="s">
        <v>1112</v>
      </c>
      <c r="C99" s="44" t="n">
        <v>45610</v>
      </c>
      <c r="D99" s="30" t="s">
        <v>46</v>
      </c>
      <c r="E99" s="30" t="s">
        <v>105</v>
      </c>
      <c r="F99" s="30" t="s">
        <v>179</v>
      </c>
      <c r="G99" s="31" t="n">
        <v>3539</v>
      </c>
      <c r="H99" s="19" t="n">
        <v>1</v>
      </c>
      <c r="I99" s="32" t="n">
        <v>0</v>
      </c>
      <c r="J99" s="30" t="s">
        <v>48</v>
      </c>
      <c r="K99" s="30" t="s">
        <v>47</v>
      </c>
      <c r="L99" s="30" t="s">
        <v>76</v>
      </c>
      <c r="M99" s="31" t="n">
        <f aca="false">AVERAGEIF($E$2:$E$1197,E99,$G$2:$G$1197)</f>
        <v>2870.26771653543</v>
      </c>
      <c r="N99" s="19" t="str">
        <f aca="false">IF(G99&gt;M99*3,"نعم","لا")</f>
        <v>لا</v>
      </c>
      <c r="O99" s="19" t="str">
        <f aca="false">IF(OR(C99="",ISNUMBER(C99)),"لا","نعم")</f>
        <v>لا</v>
      </c>
      <c r="P99" s="19" t="str">
        <f aca="false">IF(COUNTIF($B$2:B99,B99)&gt;1,"مكرر","فريد")</f>
        <v>فريد</v>
      </c>
      <c r="Q99" s="19" t="str">
        <f aca="false">IF(COUNTBLANK(D99:L99)&gt;0,"نعم","لا")</f>
        <v>لا</v>
      </c>
    </row>
    <row r="100" customFormat="false" ht="15" hidden="false" customHeight="false" outlineLevel="0" collapsed="false">
      <c r="A100" s="19" t="n">
        <v>99</v>
      </c>
      <c r="B100" s="30" t="s">
        <v>520</v>
      </c>
      <c r="C100" s="44" t="n">
        <v>45422</v>
      </c>
      <c r="D100" s="30" t="s">
        <v>57</v>
      </c>
      <c r="E100" s="30" t="s">
        <v>109</v>
      </c>
      <c r="F100" s="30" t="s">
        <v>93</v>
      </c>
      <c r="G100" s="31" t="n">
        <v>299</v>
      </c>
      <c r="H100" s="19" t="n">
        <v>1</v>
      </c>
      <c r="I100" s="32" t="n">
        <v>0</v>
      </c>
      <c r="J100" s="30" t="s">
        <v>48</v>
      </c>
      <c r="K100" s="30" t="s">
        <v>47</v>
      </c>
      <c r="L100" s="30" t="s">
        <v>94</v>
      </c>
      <c r="M100" s="31" t="n">
        <f aca="false">AVERAGEIF($E$2:$E$1197,E100,$G$2:$G$1197)</f>
        <v>186.056291390729</v>
      </c>
      <c r="N100" s="19" t="str">
        <f aca="false">IF(G100&gt;M100*3,"نعم","لا")</f>
        <v>لا</v>
      </c>
      <c r="O100" s="19" t="str">
        <f aca="false">IF(OR(C100="",ISNUMBER(C100)),"لا","نعم")</f>
        <v>لا</v>
      </c>
      <c r="P100" s="19" t="str">
        <f aca="false">IF(COUNTIF($B$2:B100,B100)&gt;1,"مكرر","فريد")</f>
        <v>مكرر</v>
      </c>
      <c r="Q100" s="19" t="str">
        <f aca="false">IF(COUNTBLANK(D100:L100)&gt;0,"نعم","لا")</f>
        <v>لا</v>
      </c>
    </row>
    <row r="101" customFormat="false" ht="15" hidden="false" customHeight="false" outlineLevel="0" collapsed="false">
      <c r="A101" s="19" t="n">
        <v>100</v>
      </c>
      <c r="B101" s="30" t="s">
        <v>910</v>
      </c>
      <c r="C101" s="44" t="n">
        <v>45550</v>
      </c>
      <c r="D101" s="30" t="s">
        <v>50</v>
      </c>
      <c r="E101" s="30" t="s">
        <v>109</v>
      </c>
      <c r="F101" s="30" t="s">
        <v>93</v>
      </c>
      <c r="G101" s="31" t="n">
        <v>89</v>
      </c>
      <c r="H101" s="19" t="n">
        <v>1</v>
      </c>
      <c r="I101" s="32" t="n">
        <v>0.2</v>
      </c>
      <c r="J101" s="30" t="s">
        <v>52</v>
      </c>
      <c r="K101" s="30" t="s">
        <v>47</v>
      </c>
      <c r="L101" s="30" t="s">
        <v>78</v>
      </c>
      <c r="M101" s="31" t="n">
        <f aca="false">AVERAGEIF($E$2:$E$1197,E101,$G$2:$G$1197)</f>
        <v>186.056291390729</v>
      </c>
      <c r="N101" s="19" t="str">
        <f aca="false">IF(G101&gt;M101*3,"نعم","لا")</f>
        <v>لا</v>
      </c>
      <c r="O101" s="19" t="str">
        <f aca="false">IF(OR(C101="",ISNUMBER(C101)),"لا","نعم")</f>
        <v>لا</v>
      </c>
      <c r="P101" s="19" t="str">
        <f aca="false">IF(COUNTIF($B$2:B101,B101)&gt;1,"مكرر","فريد")</f>
        <v>فريد</v>
      </c>
      <c r="Q101" s="19" t="str">
        <f aca="false">IF(COUNTBLANK(D101:L101)&gt;0,"نعم","لا")</f>
        <v>لا</v>
      </c>
    </row>
    <row r="102" customFormat="false" ht="15" hidden="false" customHeight="false" outlineLevel="0" collapsed="false">
      <c r="A102" s="19" t="n">
        <v>101</v>
      </c>
      <c r="B102" s="30" t="s">
        <v>1095</v>
      </c>
      <c r="C102" s="44" t="n">
        <v>45606</v>
      </c>
      <c r="D102" s="30" t="s">
        <v>50</v>
      </c>
      <c r="E102" s="30" t="s">
        <v>113</v>
      </c>
      <c r="F102" s="30" t="s">
        <v>95</v>
      </c>
      <c r="G102" s="31" t="n">
        <v>559</v>
      </c>
      <c r="H102" s="19" t="n">
        <v>3</v>
      </c>
      <c r="I102" s="32" t="n">
        <v>0</v>
      </c>
      <c r="J102" s="30" t="s">
        <v>52</v>
      </c>
      <c r="K102" s="30" t="s">
        <v>47</v>
      </c>
      <c r="L102" s="30" t="s">
        <v>99</v>
      </c>
      <c r="M102" s="31" t="n">
        <f aca="false">AVERAGEIF($E$2:$E$1197,E102,$G$2:$G$1197)</f>
        <v>545.358823529412</v>
      </c>
      <c r="N102" s="19" t="str">
        <f aca="false">IF(G102&gt;M102*3,"نعم","لا")</f>
        <v>لا</v>
      </c>
      <c r="O102" s="19" t="str">
        <f aca="false">IF(OR(C102="",ISNUMBER(C102)),"لا","نعم")</f>
        <v>لا</v>
      </c>
      <c r="P102" s="19" t="str">
        <f aca="false">IF(COUNTIF($B$2:B102,B102)&gt;1,"مكرر","فريد")</f>
        <v>فريد</v>
      </c>
      <c r="Q102" s="19" t="str">
        <f aca="false">IF(COUNTBLANK(D102:L102)&gt;0,"نعم","لا")</f>
        <v>لا</v>
      </c>
    </row>
    <row r="103" customFormat="false" ht="15" hidden="false" customHeight="false" outlineLevel="0" collapsed="false">
      <c r="A103" s="19" t="n">
        <v>102</v>
      </c>
      <c r="B103" s="30" t="s">
        <v>991</v>
      </c>
      <c r="C103" s="44" t="n">
        <v>45577</v>
      </c>
      <c r="D103" s="30" t="s">
        <v>54</v>
      </c>
      <c r="E103" s="30" t="s">
        <v>105</v>
      </c>
      <c r="F103" s="30" t="s">
        <v>82</v>
      </c>
      <c r="G103" s="31" t="n">
        <v>3469</v>
      </c>
      <c r="H103" s="19" t="n">
        <v>2</v>
      </c>
      <c r="I103" s="32" t="n">
        <v>0.15</v>
      </c>
      <c r="J103" s="30" t="s">
        <v>48</v>
      </c>
      <c r="K103" s="30" t="s">
        <v>47</v>
      </c>
      <c r="L103" s="30" t="s">
        <v>92</v>
      </c>
      <c r="M103" s="31" t="n">
        <f aca="false">AVERAGEIF($E$2:$E$1197,E103,$G$2:$G$1197)</f>
        <v>2870.26771653543</v>
      </c>
      <c r="N103" s="19" t="str">
        <f aca="false">IF(G103&gt;M103*3,"نعم","لا")</f>
        <v>لا</v>
      </c>
      <c r="O103" s="19" t="str">
        <f aca="false">IF(OR(C103="",ISNUMBER(C103)),"لا","نعم")</f>
        <v>لا</v>
      </c>
      <c r="P103" s="19" t="str">
        <f aca="false">IF(COUNTIF($B$2:B103,B103)&gt;1,"مكرر","فريد")</f>
        <v>فريد</v>
      </c>
      <c r="Q103" s="19" t="str">
        <f aca="false">IF(COUNTBLANK(D103:L103)&gt;0,"نعم","لا")</f>
        <v>لا</v>
      </c>
    </row>
    <row r="104" customFormat="false" ht="15" hidden="false" customHeight="false" outlineLevel="0" collapsed="false">
      <c r="A104" s="19" t="n">
        <v>103</v>
      </c>
      <c r="B104" s="30" t="s">
        <v>249</v>
      </c>
      <c r="C104" s="44" t="n">
        <v>45322</v>
      </c>
      <c r="D104" s="30" t="s">
        <v>46</v>
      </c>
      <c r="E104" s="30" t="s">
        <v>105</v>
      </c>
      <c r="F104" s="30" t="s">
        <v>82</v>
      </c>
      <c r="G104" s="31" t="n">
        <v>3799</v>
      </c>
      <c r="H104" s="19" t="n">
        <v>2</v>
      </c>
      <c r="I104" s="32"/>
      <c r="J104" s="30" t="s">
        <v>52</v>
      </c>
      <c r="K104" s="30" t="s">
        <v>47</v>
      </c>
      <c r="L104" s="30" t="s">
        <v>78</v>
      </c>
      <c r="M104" s="31" t="n">
        <f aca="false">AVERAGEIF($E$2:$E$1197,E104,$G$2:$G$1197)</f>
        <v>2870.26771653543</v>
      </c>
      <c r="N104" s="19" t="str">
        <f aca="false">IF(G104&gt;M104*3,"نعم","لا")</f>
        <v>لا</v>
      </c>
      <c r="O104" s="19" t="str">
        <f aca="false">IF(OR(C104="",ISNUMBER(C104)),"لا","نعم")</f>
        <v>لا</v>
      </c>
      <c r="P104" s="19" t="str">
        <f aca="false">IF(COUNTIF($B$2:B104,B104)&gt;1,"مكرر","فريد")</f>
        <v>فريد</v>
      </c>
      <c r="Q104" s="19" t="str">
        <f aca="false">IF(COUNTBLANK(D104:L104)&gt;0,"نعم","لا")</f>
        <v>نعم</v>
      </c>
    </row>
    <row r="105" customFormat="false" ht="15" hidden="false" customHeight="false" outlineLevel="0" collapsed="false">
      <c r="A105" s="19" t="n">
        <v>104</v>
      </c>
      <c r="B105" s="30" t="s">
        <v>455</v>
      </c>
      <c r="C105" s="44" t="n">
        <v>45391</v>
      </c>
      <c r="D105" s="30" t="s">
        <v>50</v>
      </c>
      <c r="E105" s="30" t="s">
        <v>105</v>
      </c>
      <c r="F105" s="30" t="s">
        <v>79</v>
      </c>
      <c r="G105" s="31" t="n">
        <v>4449</v>
      </c>
      <c r="H105" s="19" t="n">
        <v>1</v>
      </c>
      <c r="I105" s="32" t="n">
        <v>0.1</v>
      </c>
      <c r="J105" s="30" t="s">
        <v>58</v>
      </c>
      <c r="K105" s="30" t="s">
        <v>51</v>
      </c>
      <c r="L105" s="30" t="s">
        <v>84</v>
      </c>
      <c r="M105" s="31" t="n">
        <f aca="false">AVERAGEIF($E$2:$E$1197,E105,$G$2:$G$1197)</f>
        <v>2870.26771653543</v>
      </c>
      <c r="N105" s="19" t="str">
        <f aca="false">IF(G105&gt;M105*3,"نعم","لا")</f>
        <v>لا</v>
      </c>
      <c r="O105" s="19" t="str">
        <f aca="false">IF(OR(C105="",ISNUMBER(C105)),"لا","نعم")</f>
        <v>لا</v>
      </c>
      <c r="P105" s="19" t="str">
        <f aca="false">IF(COUNTIF($B$2:B105,B105)&gt;1,"مكرر","فريد")</f>
        <v>فريد</v>
      </c>
      <c r="Q105" s="19" t="str">
        <f aca="false">IF(COUNTBLANK(D105:L105)&gt;0,"نعم","لا")</f>
        <v>لا</v>
      </c>
    </row>
    <row r="106" customFormat="false" ht="15" hidden="false" customHeight="false" outlineLevel="0" collapsed="false">
      <c r="A106" s="19" t="n">
        <v>105</v>
      </c>
      <c r="B106" s="30" t="s">
        <v>582</v>
      </c>
      <c r="C106" s="44" t="n">
        <v>45445</v>
      </c>
      <c r="D106" s="30" t="s">
        <v>50</v>
      </c>
      <c r="E106" s="30" t="s">
        <v>111</v>
      </c>
      <c r="F106" s="30" t="s">
        <v>120</v>
      </c>
      <c r="G106" s="31" t="n">
        <v>249</v>
      </c>
      <c r="H106" s="19" t="n">
        <v>1</v>
      </c>
      <c r="I106" s="32" t="n">
        <v>0</v>
      </c>
      <c r="J106" s="30" t="s">
        <v>48</v>
      </c>
      <c r="K106" s="30" t="s">
        <v>47</v>
      </c>
      <c r="L106" s="30" t="s">
        <v>92</v>
      </c>
      <c r="M106" s="31" t="n">
        <f aca="false">AVERAGEIF($E$2:$E$1197,E106,$G$2:$G$1197)</f>
        <v>366.306569343066</v>
      </c>
      <c r="N106" s="19" t="str">
        <f aca="false">IF(G106&gt;M106*3,"نعم","لا")</f>
        <v>لا</v>
      </c>
      <c r="O106" s="19" t="str">
        <f aca="false">IF(OR(C106="",ISNUMBER(C106)),"لا","نعم")</f>
        <v>لا</v>
      </c>
      <c r="P106" s="19" t="str">
        <f aca="false">IF(COUNTIF($B$2:B106,B106)&gt;1,"مكرر","فريد")</f>
        <v>فريد</v>
      </c>
      <c r="Q106" s="19" t="str">
        <f aca="false">IF(COUNTBLANK(D106:L106)&gt;0,"نعم","لا")</f>
        <v>لا</v>
      </c>
    </row>
    <row r="107" customFormat="false" ht="15" hidden="false" customHeight="false" outlineLevel="0" collapsed="false">
      <c r="A107" s="19" t="n">
        <v>106</v>
      </c>
      <c r="B107" s="30" t="s">
        <v>942</v>
      </c>
      <c r="C107" s="44" t="n">
        <v>45562</v>
      </c>
      <c r="D107" s="30" t="s">
        <v>54</v>
      </c>
      <c r="E107" s="30" t="s">
        <v>109</v>
      </c>
      <c r="F107" s="30" t="s">
        <v>192</v>
      </c>
      <c r="G107" s="31" t="n">
        <v>269</v>
      </c>
      <c r="H107" s="19" t="n">
        <v>2</v>
      </c>
      <c r="I107" s="32" t="n">
        <v>0.15</v>
      </c>
      <c r="J107" s="30" t="s">
        <v>48</v>
      </c>
      <c r="K107" s="30" t="s">
        <v>47</v>
      </c>
      <c r="L107" s="30" t="s">
        <v>92</v>
      </c>
      <c r="M107" s="31" t="n">
        <f aca="false">AVERAGEIF($E$2:$E$1197,E107,$G$2:$G$1197)</f>
        <v>186.056291390729</v>
      </c>
      <c r="N107" s="19" t="str">
        <f aca="false">IF(G107&gt;M107*3,"نعم","لا")</f>
        <v>لا</v>
      </c>
      <c r="O107" s="19" t="str">
        <f aca="false">IF(OR(C107="",ISNUMBER(C107)),"لا","نعم")</f>
        <v>لا</v>
      </c>
      <c r="P107" s="19" t="str">
        <f aca="false">IF(COUNTIF($B$2:B107,B107)&gt;1,"مكرر","فريد")</f>
        <v>فريد</v>
      </c>
      <c r="Q107" s="19" t="str">
        <f aca="false">IF(COUNTBLANK(D107:L107)&gt;0,"نعم","لا")</f>
        <v>لا</v>
      </c>
    </row>
    <row r="108" customFormat="false" ht="15" hidden="false" customHeight="false" outlineLevel="0" collapsed="false">
      <c r="A108" s="19" t="n">
        <v>107</v>
      </c>
      <c r="B108" s="30" t="s">
        <v>400</v>
      </c>
      <c r="C108" s="44" t="n">
        <v>45376</v>
      </c>
      <c r="D108" s="30" t="s">
        <v>46</v>
      </c>
      <c r="E108" s="30" t="s">
        <v>105</v>
      </c>
      <c r="F108" s="30" t="s">
        <v>82</v>
      </c>
      <c r="G108" s="31" t="n">
        <v>3639</v>
      </c>
      <c r="H108" s="19" t="n">
        <v>1</v>
      </c>
      <c r="I108" s="32" t="n">
        <v>0</v>
      </c>
      <c r="J108" s="30" t="s">
        <v>48</v>
      </c>
      <c r="K108" s="30" t="s">
        <v>47</v>
      </c>
      <c r="L108" s="30" t="s">
        <v>99</v>
      </c>
      <c r="M108" s="31" t="n">
        <f aca="false">AVERAGEIF($E$2:$E$1197,E108,$G$2:$G$1197)</f>
        <v>2870.26771653543</v>
      </c>
      <c r="N108" s="19" t="str">
        <f aca="false">IF(G108&gt;M108*3,"نعم","لا")</f>
        <v>لا</v>
      </c>
      <c r="O108" s="19" t="str">
        <f aca="false">IF(OR(C108="",ISNUMBER(C108)),"لا","نعم")</f>
        <v>لا</v>
      </c>
      <c r="P108" s="19" t="str">
        <f aca="false">IF(COUNTIF($B$2:B108,B108)&gt;1,"مكرر","فريد")</f>
        <v>فريد</v>
      </c>
      <c r="Q108" s="19" t="str">
        <f aca="false">IF(COUNTBLANK(D108:L108)&gt;0,"نعم","لا")</f>
        <v>لا</v>
      </c>
    </row>
    <row r="109" customFormat="false" ht="15" hidden="false" customHeight="false" outlineLevel="0" collapsed="false">
      <c r="A109" s="19" t="n">
        <v>108</v>
      </c>
      <c r="B109" s="30" t="s">
        <v>535</v>
      </c>
      <c r="C109" s="44" t="n">
        <v>45426</v>
      </c>
      <c r="D109" s="30" t="s">
        <v>54</v>
      </c>
      <c r="E109" s="30" t="s">
        <v>107</v>
      </c>
      <c r="F109" s="30" t="s">
        <v>184</v>
      </c>
      <c r="G109" s="31" t="n">
        <v>2189</v>
      </c>
      <c r="H109" s="19" t="n">
        <v>2</v>
      </c>
      <c r="I109" s="32" t="n">
        <v>0</v>
      </c>
      <c r="J109" s="30" t="s">
        <v>52</v>
      </c>
      <c r="K109" s="30" t="s">
        <v>51</v>
      </c>
      <c r="L109" s="30" t="s">
        <v>94</v>
      </c>
      <c r="M109" s="31" t="n">
        <f aca="false">AVERAGEIF($E$2:$E$1197,E109,$G$2:$G$1197)</f>
        <v>4981.14563106796</v>
      </c>
      <c r="N109" s="19" t="str">
        <f aca="false">IF(G109&gt;M109*3,"نعم","لا")</f>
        <v>لا</v>
      </c>
      <c r="O109" s="19" t="str">
        <f aca="false">IF(OR(C109="",ISNUMBER(C109)),"لا","نعم")</f>
        <v>لا</v>
      </c>
      <c r="P109" s="19" t="str">
        <f aca="false">IF(COUNTIF($B$2:B109,B109)&gt;1,"مكرر","فريد")</f>
        <v>فريد</v>
      </c>
      <c r="Q109" s="19" t="str">
        <f aca="false">IF(COUNTBLANK(D109:L109)&gt;0,"نعم","لا")</f>
        <v>لا</v>
      </c>
    </row>
    <row r="110" customFormat="false" ht="15" hidden="false" customHeight="false" outlineLevel="0" collapsed="false">
      <c r="A110" s="19" t="n">
        <v>109</v>
      </c>
      <c r="B110" s="30" t="s">
        <v>517</v>
      </c>
      <c r="C110" s="44" t="n">
        <v>45421</v>
      </c>
      <c r="D110" s="30" t="s">
        <v>54</v>
      </c>
      <c r="E110" s="30" t="s">
        <v>113</v>
      </c>
      <c r="F110" s="30" t="s">
        <v>121</v>
      </c>
      <c r="G110" s="31" t="n">
        <v>569</v>
      </c>
      <c r="H110" s="19" t="n">
        <v>2</v>
      </c>
      <c r="I110" s="32" t="n">
        <v>0.05</v>
      </c>
      <c r="J110" s="30"/>
      <c r="K110" s="30" t="s">
        <v>51</v>
      </c>
      <c r="L110" s="30" t="s">
        <v>86</v>
      </c>
      <c r="M110" s="31" t="n">
        <f aca="false">AVERAGEIF($E$2:$E$1197,E110,$G$2:$G$1197)</f>
        <v>545.358823529412</v>
      </c>
      <c r="N110" s="19" t="str">
        <f aca="false">IF(G110&gt;M110*3,"نعم","لا")</f>
        <v>لا</v>
      </c>
      <c r="O110" s="19" t="str">
        <f aca="false">IF(OR(C110="",ISNUMBER(C110)),"لا","نعم")</f>
        <v>لا</v>
      </c>
      <c r="P110" s="19" t="str">
        <f aca="false">IF(COUNTIF($B$2:B110,B110)&gt;1,"مكرر","فريد")</f>
        <v>فريد</v>
      </c>
      <c r="Q110" s="19" t="str">
        <f aca="false">IF(COUNTBLANK(D110:L110)&gt;0,"نعم","لا")</f>
        <v>نعم</v>
      </c>
    </row>
    <row r="111" customFormat="false" ht="15" hidden="false" customHeight="false" outlineLevel="0" collapsed="false">
      <c r="A111" s="19" t="n">
        <v>110</v>
      </c>
      <c r="B111" s="30" t="s">
        <v>937</v>
      </c>
      <c r="C111" s="44" t="n">
        <v>45560</v>
      </c>
      <c r="D111" s="30" t="s">
        <v>46</v>
      </c>
      <c r="E111" s="30" t="s">
        <v>105</v>
      </c>
      <c r="F111" s="30" t="s">
        <v>82</v>
      </c>
      <c r="G111" s="31" t="n">
        <v>2129</v>
      </c>
      <c r="H111" s="19" t="n">
        <v>2</v>
      </c>
      <c r="I111" s="32" t="n">
        <v>0</v>
      </c>
      <c r="J111" s="30" t="s">
        <v>58</v>
      </c>
      <c r="K111" s="30" t="s">
        <v>51</v>
      </c>
      <c r="L111" s="30" t="s">
        <v>86</v>
      </c>
      <c r="M111" s="31" t="n">
        <f aca="false">AVERAGEIF($E$2:$E$1197,E111,$G$2:$G$1197)</f>
        <v>2870.26771653543</v>
      </c>
      <c r="N111" s="19" t="str">
        <f aca="false">IF(G111&gt;M111*3,"نعم","لا")</f>
        <v>لا</v>
      </c>
      <c r="O111" s="19" t="str">
        <f aca="false">IF(OR(C111="",ISNUMBER(C111)),"لا","نعم")</f>
        <v>لا</v>
      </c>
      <c r="P111" s="19" t="str">
        <f aca="false">IF(COUNTIF($B$2:B111,B111)&gt;1,"مكرر","فريد")</f>
        <v>فريد</v>
      </c>
      <c r="Q111" s="19" t="str">
        <f aca="false">IF(COUNTBLANK(D111:L111)&gt;0,"نعم","لا")</f>
        <v>لا</v>
      </c>
    </row>
    <row r="112" customFormat="false" ht="15" hidden="false" customHeight="false" outlineLevel="0" collapsed="false">
      <c r="A112" s="19" t="n">
        <v>111</v>
      </c>
      <c r="B112" s="30" t="s">
        <v>709</v>
      </c>
      <c r="C112" s="44" t="n">
        <v>45488</v>
      </c>
      <c r="D112" s="30" t="s">
        <v>60</v>
      </c>
      <c r="E112" s="30" t="s">
        <v>111</v>
      </c>
      <c r="F112" s="30" t="s">
        <v>108</v>
      </c>
      <c r="G112" s="31" t="n">
        <v>89</v>
      </c>
      <c r="H112" s="19" t="n">
        <v>1</v>
      </c>
      <c r="I112" s="32" t="n">
        <v>0</v>
      </c>
      <c r="J112" s="30" t="s">
        <v>48</v>
      </c>
      <c r="K112" s="30" t="s">
        <v>47</v>
      </c>
      <c r="L112" s="30" t="s">
        <v>86</v>
      </c>
      <c r="M112" s="31" t="n">
        <f aca="false">AVERAGEIF($E$2:$E$1197,E112,$G$2:$G$1197)</f>
        <v>366.306569343066</v>
      </c>
      <c r="N112" s="19" t="str">
        <f aca="false">IF(G112&gt;M112*3,"نعم","لا")</f>
        <v>لا</v>
      </c>
      <c r="O112" s="19" t="str">
        <f aca="false">IF(OR(C112="",ISNUMBER(C112)),"لا","نعم")</f>
        <v>لا</v>
      </c>
      <c r="P112" s="19" t="str">
        <f aca="false">IF(COUNTIF($B$2:B112,B112)&gt;1,"مكرر","فريد")</f>
        <v>فريد</v>
      </c>
      <c r="Q112" s="19" t="str">
        <f aca="false">IF(COUNTBLANK(D112:L112)&gt;0,"نعم","لا")</f>
        <v>لا</v>
      </c>
    </row>
    <row r="113" customFormat="false" ht="15" hidden="false" customHeight="false" outlineLevel="0" collapsed="false">
      <c r="A113" s="19" t="n">
        <v>112</v>
      </c>
      <c r="B113" s="30" t="s">
        <v>310</v>
      </c>
      <c r="C113" s="44" t="n">
        <v>45346</v>
      </c>
      <c r="D113" s="30" t="s">
        <v>1353</v>
      </c>
      <c r="E113" s="30" t="s">
        <v>109</v>
      </c>
      <c r="F113" s="30" t="s">
        <v>171</v>
      </c>
      <c r="G113" s="31" t="n">
        <v>89</v>
      </c>
      <c r="H113" s="19" t="n">
        <v>1</v>
      </c>
      <c r="I113" s="32" t="n">
        <v>0.2</v>
      </c>
      <c r="J113" s="30" t="s">
        <v>55</v>
      </c>
      <c r="K113" s="30" t="s">
        <v>47</v>
      </c>
      <c r="L113" s="30" t="s">
        <v>84</v>
      </c>
      <c r="M113" s="31" t="n">
        <f aca="false">AVERAGEIF($E$2:$E$1197,E113,$G$2:$G$1197)</f>
        <v>186.056291390729</v>
      </c>
      <c r="N113" s="19" t="str">
        <f aca="false">IF(G113&gt;M113*3,"نعم","لا")</f>
        <v>لا</v>
      </c>
      <c r="O113" s="19" t="str">
        <f aca="false">IF(OR(C113="",ISNUMBER(C113)),"لا","نعم")</f>
        <v>لا</v>
      </c>
      <c r="P113" s="19" t="str">
        <f aca="false">IF(COUNTIF($B$2:B113,B113)&gt;1,"مكرر","فريد")</f>
        <v>فريد</v>
      </c>
      <c r="Q113" s="19" t="str">
        <f aca="false">IF(COUNTBLANK(D113:L113)&gt;0,"نعم","لا")</f>
        <v>لا</v>
      </c>
    </row>
    <row r="114" customFormat="false" ht="15" hidden="false" customHeight="false" outlineLevel="0" collapsed="false">
      <c r="A114" s="19" t="n">
        <v>113</v>
      </c>
      <c r="B114" s="30" t="s">
        <v>1354</v>
      </c>
      <c r="C114" s="44" t="n">
        <v>45512</v>
      </c>
      <c r="D114" s="30"/>
      <c r="E114" s="30" t="s">
        <v>111</v>
      </c>
      <c r="F114" s="30" t="s">
        <v>118</v>
      </c>
      <c r="G114" s="31" t="n">
        <v>419</v>
      </c>
      <c r="H114" s="19" t="n">
        <v>5</v>
      </c>
      <c r="I114" s="32" t="n">
        <v>0</v>
      </c>
      <c r="J114" s="30" t="s">
        <v>52</v>
      </c>
      <c r="K114" s="30" t="s">
        <v>51</v>
      </c>
      <c r="L114" s="30" t="s">
        <v>94</v>
      </c>
      <c r="M114" s="31" t="n">
        <f aca="false">AVERAGEIF($E$2:$E$1197,E114,$G$2:$G$1197)</f>
        <v>366.306569343066</v>
      </c>
      <c r="N114" s="19" t="str">
        <f aca="false">IF(G114&gt;M114*3,"نعم","لا")</f>
        <v>لا</v>
      </c>
      <c r="O114" s="19" t="str">
        <f aca="false">IF(OR(C114="",ISNUMBER(C114)),"لا","نعم")</f>
        <v>لا</v>
      </c>
      <c r="P114" s="19" t="str">
        <f aca="false">IF(COUNTIF($B$2:B114,B114)&gt;1,"مكرر","فريد")</f>
        <v>فريد</v>
      </c>
      <c r="Q114" s="19" t="str">
        <f aca="false">IF(COUNTBLANK(D114:L114)&gt;0,"نعم","لا")</f>
        <v>نعم</v>
      </c>
    </row>
    <row r="115" customFormat="false" ht="15" hidden="false" customHeight="false" outlineLevel="0" collapsed="false">
      <c r="A115" s="19" t="n">
        <v>114</v>
      </c>
      <c r="B115" s="30" t="s">
        <v>643</v>
      </c>
      <c r="C115" s="44" t="n">
        <v>45466</v>
      </c>
      <c r="D115" s="30" t="s">
        <v>46</v>
      </c>
      <c r="E115" s="30" t="s">
        <v>109</v>
      </c>
      <c r="F115" s="30" t="s">
        <v>192</v>
      </c>
      <c r="G115" s="31" t="n">
        <v>169</v>
      </c>
      <c r="H115" s="19" t="n">
        <v>1</v>
      </c>
      <c r="I115" s="32" t="n">
        <v>0</v>
      </c>
      <c r="J115" s="30" t="s">
        <v>52</v>
      </c>
      <c r="K115" s="30" t="s">
        <v>47</v>
      </c>
      <c r="L115" s="30" t="s">
        <v>96</v>
      </c>
      <c r="M115" s="31" t="n">
        <f aca="false">AVERAGEIF($E$2:$E$1197,E115,$G$2:$G$1197)</f>
        <v>186.056291390729</v>
      </c>
      <c r="N115" s="19" t="str">
        <f aca="false">IF(G115&gt;M115*3,"نعم","لا")</f>
        <v>لا</v>
      </c>
      <c r="O115" s="19" t="str">
        <f aca="false">IF(OR(C115="",ISNUMBER(C115)),"لا","نعم")</f>
        <v>لا</v>
      </c>
      <c r="P115" s="19" t="str">
        <f aca="false">IF(COUNTIF($B$2:B115,B115)&gt;1,"مكرر","فريد")</f>
        <v>فريد</v>
      </c>
      <c r="Q115" s="19" t="str">
        <f aca="false">IF(COUNTBLANK(D115:L115)&gt;0,"نعم","لا")</f>
        <v>لا</v>
      </c>
    </row>
    <row r="116" customFormat="false" ht="15" hidden="false" customHeight="false" outlineLevel="0" collapsed="false">
      <c r="A116" s="19" t="n">
        <v>115</v>
      </c>
      <c r="B116" s="30" t="s">
        <v>436</v>
      </c>
      <c r="C116" s="44" t="n">
        <v>45386</v>
      </c>
      <c r="D116" s="30" t="s">
        <v>46</v>
      </c>
      <c r="E116" s="30" t="s">
        <v>109</v>
      </c>
      <c r="F116" s="30" t="s">
        <v>171</v>
      </c>
      <c r="G116" s="31" t="n">
        <v>269</v>
      </c>
      <c r="H116" s="19" t="n">
        <v>1</v>
      </c>
      <c r="I116" s="32" t="n">
        <v>0.1</v>
      </c>
      <c r="J116" s="30" t="s">
        <v>55</v>
      </c>
      <c r="K116" s="30" t="s">
        <v>47</v>
      </c>
      <c r="L116" s="30" t="s">
        <v>94</v>
      </c>
      <c r="M116" s="31" t="n">
        <f aca="false">AVERAGEIF($E$2:$E$1197,E116,$G$2:$G$1197)</f>
        <v>186.056291390729</v>
      </c>
      <c r="N116" s="19" t="str">
        <f aca="false">IF(G116&gt;M116*3,"نعم","لا")</f>
        <v>لا</v>
      </c>
      <c r="O116" s="19" t="str">
        <f aca="false">IF(OR(C116="",ISNUMBER(C116)),"لا","نعم")</f>
        <v>لا</v>
      </c>
      <c r="P116" s="19" t="str">
        <f aca="false">IF(COUNTIF($B$2:B116,B116)&gt;1,"مكرر","فريد")</f>
        <v>فريد</v>
      </c>
      <c r="Q116" s="19" t="str">
        <f aca="false">IF(COUNTBLANK(D116:L116)&gt;0,"نعم","لا")</f>
        <v>لا</v>
      </c>
    </row>
    <row r="117" customFormat="false" ht="15" hidden="false" customHeight="false" outlineLevel="0" collapsed="false">
      <c r="A117" s="19" t="n">
        <v>116</v>
      </c>
      <c r="B117" s="30" t="s">
        <v>1211</v>
      </c>
      <c r="C117" s="44" t="n">
        <v>45633</v>
      </c>
      <c r="D117" s="30" t="s">
        <v>54</v>
      </c>
      <c r="E117" s="30" t="s">
        <v>109</v>
      </c>
      <c r="F117" s="30" t="s">
        <v>93</v>
      </c>
      <c r="G117" s="31" t="n">
        <v>119</v>
      </c>
      <c r="H117" s="19" t="n">
        <v>2</v>
      </c>
      <c r="I117" s="32" t="n">
        <v>0.05</v>
      </c>
      <c r="J117" s="30" t="s">
        <v>55</v>
      </c>
      <c r="K117" s="30" t="s">
        <v>47</v>
      </c>
      <c r="L117" s="30" t="s">
        <v>99</v>
      </c>
      <c r="M117" s="31" t="n">
        <f aca="false">AVERAGEIF($E$2:$E$1197,E117,$G$2:$G$1197)</f>
        <v>186.056291390729</v>
      </c>
      <c r="N117" s="19" t="str">
        <f aca="false">IF(G117&gt;M117*3,"نعم","لا")</f>
        <v>لا</v>
      </c>
      <c r="O117" s="19" t="str">
        <f aca="false">IF(OR(C117="",ISNUMBER(C117)),"لا","نعم")</f>
        <v>لا</v>
      </c>
      <c r="P117" s="19" t="str">
        <f aca="false">IF(COUNTIF($B$2:B117,B117)&gt;1,"مكرر","فريد")</f>
        <v>فريد</v>
      </c>
      <c r="Q117" s="19" t="str">
        <f aca="false">IF(COUNTBLANK(D117:L117)&gt;0,"نعم","لا")</f>
        <v>لا</v>
      </c>
    </row>
    <row r="118" customFormat="false" ht="15" hidden="false" customHeight="false" outlineLevel="0" collapsed="false">
      <c r="A118" s="19" t="n">
        <v>117</v>
      </c>
      <c r="B118" s="30" t="s">
        <v>1033</v>
      </c>
      <c r="C118" s="44" t="n">
        <v>45593</v>
      </c>
      <c r="D118" s="30" t="s">
        <v>46</v>
      </c>
      <c r="E118" s="30" t="s">
        <v>109</v>
      </c>
      <c r="F118" s="30" t="s">
        <v>175</v>
      </c>
      <c r="G118" s="31" t="n">
        <v>39</v>
      </c>
      <c r="H118" s="19" t="n">
        <v>2</v>
      </c>
      <c r="I118" s="32" t="n">
        <v>0</v>
      </c>
      <c r="J118" s="30" t="s">
        <v>52</v>
      </c>
      <c r="K118" s="30" t="s">
        <v>47</v>
      </c>
      <c r="L118" s="30" t="s">
        <v>99</v>
      </c>
      <c r="M118" s="31" t="n">
        <f aca="false">AVERAGEIF($E$2:$E$1197,E118,$G$2:$G$1197)</f>
        <v>186.056291390729</v>
      </c>
      <c r="N118" s="19" t="str">
        <f aca="false">IF(G118&gt;M118*3,"نعم","لا")</f>
        <v>لا</v>
      </c>
      <c r="O118" s="19" t="str">
        <f aca="false">IF(OR(C118="",ISNUMBER(C118)),"لا","نعم")</f>
        <v>لا</v>
      </c>
      <c r="P118" s="19" t="str">
        <f aca="false">IF(COUNTIF($B$2:B118,B118)&gt;1,"مكرر","فريد")</f>
        <v>فريد</v>
      </c>
      <c r="Q118" s="19" t="str">
        <f aca="false">IF(COUNTBLANK(D118:L118)&gt;0,"نعم","لا")</f>
        <v>لا</v>
      </c>
    </row>
    <row r="119" customFormat="false" ht="15" hidden="false" customHeight="false" outlineLevel="0" collapsed="false">
      <c r="A119" s="19" t="n">
        <v>118</v>
      </c>
      <c r="B119" s="30" t="s">
        <v>309</v>
      </c>
      <c r="C119" s="44" t="n">
        <v>45346</v>
      </c>
      <c r="D119" s="30" t="s">
        <v>60</v>
      </c>
      <c r="E119" s="30" t="s">
        <v>107</v>
      </c>
      <c r="F119" s="30" t="s">
        <v>184</v>
      </c>
      <c r="G119" s="31" t="n">
        <v>3099</v>
      </c>
      <c r="H119" s="19" t="n">
        <v>1</v>
      </c>
      <c r="I119" s="32" t="n">
        <v>0.05</v>
      </c>
      <c r="J119" s="30" t="s">
        <v>52</v>
      </c>
      <c r="K119" s="30" t="s">
        <v>47</v>
      </c>
      <c r="L119" s="30" t="s">
        <v>86</v>
      </c>
      <c r="M119" s="31" t="n">
        <f aca="false">AVERAGEIF($E$2:$E$1197,E119,$G$2:$G$1197)</f>
        <v>4981.14563106796</v>
      </c>
      <c r="N119" s="19" t="str">
        <f aca="false">IF(G119&gt;M119*3,"نعم","لا")</f>
        <v>لا</v>
      </c>
      <c r="O119" s="19" t="str">
        <f aca="false">IF(OR(C119="",ISNUMBER(C119)),"لا","نعم")</f>
        <v>لا</v>
      </c>
      <c r="P119" s="19" t="str">
        <f aca="false">IF(COUNTIF($B$2:B119,B119)&gt;1,"مكرر","فريد")</f>
        <v>فريد</v>
      </c>
      <c r="Q119" s="19" t="str">
        <f aca="false">IF(COUNTBLANK(D119:L119)&gt;0,"نعم","لا")</f>
        <v>لا</v>
      </c>
    </row>
    <row r="120" customFormat="false" ht="15" hidden="false" customHeight="false" outlineLevel="0" collapsed="false">
      <c r="A120" s="19" t="n">
        <v>119</v>
      </c>
      <c r="B120" s="30" t="s">
        <v>487</v>
      </c>
      <c r="C120" s="44" t="n">
        <v>45408</v>
      </c>
      <c r="D120" s="30" t="s">
        <v>50</v>
      </c>
      <c r="E120" s="30" t="s">
        <v>105</v>
      </c>
      <c r="F120" s="30" t="s">
        <v>79</v>
      </c>
      <c r="G120" s="31" t="n">
        <v>1909</v>
      </c>
      <c r="H120" s="19" t="n">
        <v>1</v>
      </c>
      <c r="I120" s="32" t="n">
        <v>0</v>
      </c>
      <c r="J120" s="30" t="s">
        <v>58</v>
      </c>
      <c r="K120" s="30" t="s">
        <v>47</v>
      </c>
      <c r="L120" s="30" t="s">
        <v>86</v>
      </c>
      <c r="M120" s="31" t="n">
        <f aca="false">AVERAGEIF($E$2:$E$1197,E120,$G$2:$G$1197)</f>
        <v>2870.26771653543</v>
      </c>
      <c r="N120" s="19" t="str">
        <f aca="false">IF(G120&gt;M120*3,"نعم","لا")</f>
        <v>لا</v>
      </c>
      <c r="O120" s="19" t="str">
        <f aca="false">IF(OR(C120="",ISNUMBER(C120)),"لا","نعم")</f>
        <v>لا</v>
      </c>
      <c r="P120" s="19" t="str">
        <f aca="false">IF(COUNTIF($B$2:B120,B120)&gt;1,"مكرر","فريد")</f>
        <v>فريد</v>
      </c>
      <c r="Q120" s="19" t="str">
        <f aca="false">IF(COUNTBLANK(D120:L120)&gt;0,"نعم","لا")</f>
        <v>لا</v>
      </c>
    </row>
    <row r="121" customFormat="false" ht="15" hidden="false" customHeight="false" outlineLevel="0" collapsed="false">
      <c r="A121" s="19" t="n">
        <v>120</v>
      </c>
      <c r="B121" s="30" t="s">
        <v>614</v>
      </c>
      <c r="C121" s="44" t="n">
        <v>45456</v>
      </c>
      <c r="D121" s="30" t="s">
        <v>50</v>
      </c>
      <c r="E121" s="30" t="s">
        <v>105</v>
      </c>
      <c r="F121" s="30" t="s">
        <v>90</v>
      </c>
      <c r="G121" s="31" t="n">
        <v>2089</v>
      </c>
      <c r="H121" s="19" t="n">
        <v>2</v>
      </c>
      <c r="I121" s="32" t="n">
        <v>0.15</v>
      </c>
      <c r="J121" s="30" t="s">
        <v>48</v>
      </c>
      <c r="K121" s="30" t="s">
        <v>47</v>
      </c>
      <c r="L121" s="30" t="s">
        <v>81</v>
      </c>
      <c r="M121" s="31" t="n">
        <f aca="false">AVERAGEIF($E$2:$E$1197,E121,$G$2:$G$1197)</f>
        <v>2870.26771653543</v>
      </c>
      <c r="N121" s="19" t="str">
        <f aca="false">IF(G121&gt;M121*3,"نعم","لا")</f>
        <v>لا</v>
      </c>
      <c r="O121" s="19" t="str">
        <f aca="false">IF(OR(C121="",ISNUMBER(C121)),"لا","نعم")</f>
        <v>لا</v>
      </c>
      <c r="P121" s="19" t="str">
        <f aca="false">IF(COUNTIF($B$2:B121,B121)&gt;1,"مكرر","فريد")</f>
        <v>فريد</v>
      </c>
      <c r="Q121" s="19" t="str">
        <f aca="false">IF(COUNTBLANK(D121:L121)&gt;0,"نعم","لا")</f>
        <v>لا</v>
      </c>
    </row>
    <row r="122" customFormat="false" ht="15" hidden="false" customHeight="false" outlineLevel="0" collapsed="false">
      <c r="A122" s="19" t="n">
        <v>121</v>
      </c>
      <c r="B122" s="30" t="s">
        <v>1090</v>
      </c>
      <c r="C122" s="30" t="s">
        <v>1355</v>
      </c>
      <c r="D122" s="30" t="s">
        <v>60</v>
      </c>
      <c r="E122" s="30" t="s">
        <v>105</v>
      </c>
      <c r="F122" s="30" t="s">
        <v>79</v>
      </c>
      <c r="G122" s="31" t="n">
        <v>1779</v>
      </c>
      <c r="H122" s="19"/>
      <c r="I122" s="32" t="n">
        <v>0.15</v>
      </c>
      <c r="J122" s="30" t="s">
        <v>52</v>
      </c>
      <c r="K122" s="30" t="s">
        <v>47</v>
      </c>
      <c r="L122" s="30" t="s">
        <v>92</v>
      </c>
      <c r="M122" s="31" t="n">
        <f aca="false">AVERAGEIF($E$2:$E$1197,E122,$G$2:$G$1197)</f>
        <v>2870.26771653543</v>
      </c>
      <c r="N122" s="19" t="str">
        <f aca="false">IF(G122&gt;M122*3,"نعم","لا")</f>
        <v>لا</v>
      </c>
      <c r="O122" s="19" t="str">
        <f aca="false">IF(OR(C122="",ISNUMBER(C122)),"لا","نعم")</f>
        <v>نعم</v>
      </c>
      <c r="P122" s="19" t="str">
        <f aca="false">IF(COUNTIF($B$2:B122,B122)&gt;1,"مكرر","فريد")</f>
        <v>فريد</v>
      </c>
      <c r="Q122" s="19" t="str">
        <f aca="false">IF(COUNTBLANK(D122:L122)&gt;0,"نعم","لا")</f>
        <v>نعم</v>
      </c>
    </row>
    <row r="123" customFormat="false" ht="15" hidden="false" customHeight="false" outlineLevel="0" collapsed="false">
      <c r="A123" s="19" t="n">
        <v>122</v>
      </c>
      <c r="B123" s="30" t="s">
        <v>1052</v>
      </c>
      <c r="C123" s="30" t="s">
        <v>1356</v>
      </c>
      <c r="D123" s="30" t="s">
        <v>50</v>
      </c>
      <c r="E123" s="30" t="s">
        <v>107</v>
      </c>
      <c r="F123" s="30" t="s">
        <v>184</v>
      </c>
      <c r="G123" s="31" t="n">
        <v>2639</v>
      </c>
      <c r="H123" s="19" t="n">
        <v>1</v>
      </c>
      <c r="I123" s="32" t="n">
        <v>0</v>
      </c>
      <c r="J123" s="30" t="s">
        <v>48</v>
      </c>
      <c r="K123" s="30" t="s">
        <v>47</v>
      </c>
      <c r="L123" s="30" t="s">
        <v>96</v>
      </c>
      <c r="M123" s="31" t="n">
        <f aca="false">AVERAGEIF($E$2:$E$1197,E123,$G$2:$G$1197)</f>
        <v>4981.14563106796</v>
      </c>
      <c r="N123" s="19" t="str">
        <f aca="false">IF(G123&gt;M123*3,"نعم","لا")</f>
        <v>لا</v>
      </c>
      <c r="O123" s="19" t="str">
        <f aca="false">IF(OR(C123="",ISNUMBER(C123)),"لا","نعم")</f>
        <v>نعم</v>
      </c>
      <c r="P123" s="19" t="str">
        <f aca="false">IF(COUNTIF($B$2:B123,B123)&gt;1,"مكرر","فريد")</f>
        <v>فريد</v>
      </c>
      <c r="Q123" s="19" t="str">
        <f aca="false">IF(COUNTBLANK(D123:L123)&gt;0,"نعم","لا")</f>
        <v>لا</v>
      </c>
    </row>
    <row r="124" customFormat="false" ht="15" hidden="false" customHeight="false" outlineLevel="0" collapsed="false">
      <c r="A124" s="19" t="n">
        <v>123</v>
      </c>
      <c r="B124" s="30" t="s">
        <v>611</v>
      </c>
      <c r="C124" s="44" t="n">
        <v>45455</v>
      </c>
      <c r="D124" s="30" t="s">
        <v>46</v>
      </c>
      <c r="E124" s="30" t="s">
        <v>109</v>
      </c>
      <c r="F124" s="30" t="s">
        <v>110</v>
      </c>
      <c r="G124" s="31" t="n">
        <v>199</v>
      </c>
      <c r="H124" s="19" t="n">
        <v>1</v>
      </c>
      <c r="I124" s="32" t="n">
        <v>0.15</v>
      </c>
      <c r="J124" s="30" t="s">
        <v>58</v>
      </c>
      <c r="K124" s="30" t="s">
        <v>47</v>
      </c>
      <c r="L124" s="30" t="s">
        <v>76</v>
      </c>
      <c r="M124" s="31" t="n">
        <f aca="false">AVERAGEIF($E$2:$E$1197,E124,$G$2:$G$1197)</f>
        <v>186.056291390729</v>
      </c>
      <c r="N124" s="19" t="str">
        <f aca="false">IF(G124&gt;M124*3,"نعم","لا")</f>
        <v>لا</v>
      </c>
      <c r="O124" s="19" t="str">
        <f aca="false">IF(OR(C124="",ISNUMBER(C124)),"لا","نعم")</f>
        <v>لا</v>
      </c>
      <c r="P124" s="19" t="str">
        <f aca="false">IF(COUNTIF($B$2:B124,B124)&gt;1,"مكرر","فريد")</f>
        <v>فريد</v>
      </c>
      <c r="Q124" s="19" t="str">
        <f aca="false">IF(COUNTBLANK(D124:L124)&gt;0,"نعم","لا")</f>
        <v>لا</v>
      </c>
    </row>
    <row r="125" customFormat="false" ht="15" hidden="false" customHeight="false" outlineLevel="0" collapsed="false">
      <c r="A125" s="19" t="n">
        <v>124</v>
      </c>
      <c r="B125" s="30" t="s">
        <v>423</v>
      </c>
      <c r="C125" s="44" t="n">
        <v>45382</v>
      </c>
      <c r="D125" s="30" t="s">
        <v>46</v>
      </c>
      <c r="E125" s="30" t="s">
        <v>105</v>
      </c>
      <c r="F125" s="30" t="s">
        <v>179</v>
      </c>
      <c r="G125" s="31" t="n">
        <v>2179</v>
      </c>
      <c r="H125" s="19" t="n">
        <v>6</v>
      </c>
      <c r="I125" s="32" t="n">
        <v>0</v>
      </c>
      <c r="J125" s="30" t="s">
        <v>52</v>
      </c>
      <c r="K125" s="30" t="s">
        <v>51</v>
      </c>
      <c r="L125" s="30" t="s">
        <v>89</v>
      </c>
      <c r="M125" s="31" t="n">
        <f aca="false">AVERAGEIF($E$2:$E$1197,E125,$G$2:$G$1197)</f>
        <v>2870.26771653543</v>
      </c>
      <c r="N125" s="19" t="str">
        <f aca="false">IF(G125&gt;M125*3,"نعم","لا")</f>
        <v>لا</v>
      </c>
      <c r="O125" s="19" t="str">
        <f aca="false">IF(OR(C125="",ISNUMBER(C125)),"لا","نعم")</f>
        <v>لا</v>
      </c>
      <c r="P125" s="19" t="str">
        <f aca="false">IF(COUNTIF($B$2:B125,B125)&gt;1,"مكرر","فريد")</f>
        <v>فريد</v>
      </c>
      <c r="Q125" s="19" t="str">
        <f aca="false">IF(COUNTBLANK(D125:L125)&gt;0,"نعم","لا")</f>
        <v>لا</v>
      </c>
    </row>
    <row r="126" customFormat="false" ht="15" hidden="false" customHeight="false" outlineLevel="0" collapsed="false">
      <c r="A126" s="19" t="n">
        <v>125</v>
      </c>
      <c r="B126" s="30" t="s">
        <v>410</v>
      </c>
      <c r="C126" s="44" t="n">
        <v>45379</v>
      </c>
      <c r="D126" s="30" t="s">
        <v>60</v>
      </c>
      <c r="E126" s="30" t="s">
        <v>107</v>
      </c>
      <c r="F126" s="30" t="s">
        <v>184</v>
      </c>
      <c r="G126" s="31" t="n">
        <v>2839</v>
      </c>
      <c r="H126" s="19" t="n">
        <v>4</v>
      </c>
      <c r="I126" s="32" t="n">
        <v>0</v>
      </c>
      <c r="J126" s="30" t="s">
        <v>52</v>
      </c>
      <c r="K126" s="30" t="s">
        <v>51</v>
      </c>
      <c r="L126" s="30" t="s">
        <v>89</v>
      </c>
      <c r="M126" s="31" t="n">
        <f aca="false">AVERAGEIF($E$2:$E$1197,E126,$G$2:$G$1197)</f>
        <v>4981.14563106796</v>
      </c>
      <c r="N126" s="19" t="str">
        <f aca="false">IF(G126&gt;M126*3,"نعم","لا")</f>
        <v>لا</v>
      </c>
      <c r="O126" s="19" t="str">
        <f aca="false">IF(OR(C126="",ISNUMBER(C126)),"لا","نعم")</f>
        <v>لا</v>
      </c>
      <c r="P126" s="19" t="str">
        <f aca="false">IF(COUNTIF($B$2:B126,B126)&gt;1,"مكرر","فريد")</f>
        <v>فريد</v>
      </c>
      <c r="Q126" s="19" t="str">
        <f aca="false">IF(COUNTBLANK(D126:L126)&gt;0,"نعم","لا")</f>
        <v>لا</v>
      </c>
    </row>
    <row r="127" customFormat="false" ht="15" hidden="false" customHeight="false" outlineLevel="0" collapsed="false">
      <c r="A127" s="19" t="n">
        <v>126</v>
      </c>
      <c r="B127" s="30" t="s">
        <v>540</v>
      </c>
      <c r="C127" s="44" t="n">
        <v>45427</v>
      </c>
      <c r="D127" s="30" t="s">
        <v>60</v>
      </c>
      <c r="E127" s="30" t="s">
        <v>113</v>
      </c>
      <c r="F127" s="30" t="s">
        <v>97</v>
      </c>
      <c r="G127" s="31" t="n">
        <v>339</v>
      </c>
      <c r="H127" s="19" t="n">
        <v>2</v>
      </c>
      <c r="I127" s="32" t="n">
        <v>0</v>
      </c>
      <c r="J127" s="30" t="s">
        <v>48</v>
      </c>
      <c r="K127" s="30" t="s">
        <v>47</v>
      </c>
      <c r="L127" s="30" t="s">
        <v>86</v>
      </c>
      <c r="M127" s="31" t="n">
        <f aca="false">AVERAGEIF($E$2:$E$1197,E127,$G$2:$G$1197)</f>
        <v>545.358823529412</v>
      </c>
      <c r="N127" s="19" t="str">
        <f aca="false">IF(G127&gt;M127*3,"نعم","لا")</f>
        <v>لا</v>
      </c>
      <c r="O127" s="19" t="str">
        <f aca="false">IF(OR(C127="",ISNUMBER(C127)),"لا","نعم")</f>
        <v>لا</v>
      </c>
      <c r="P127" s="19" t="str">
        <f aca="false">IF(COUNTIF($B$2:B127,B127)&gt;1,"مكرر","فريد")</f>
        <v>فريد</v>
      </c>
      <c r="Q127" s="19" t="str">
        <f aca="false">IF(COUNTBLANK(D127:L127)&gt;0,"نعم","لا")</f>
        <v>لا</v>
      </c>
    </row>
    <row r="128" customFormat="false" ht="15" hidden="false" customHeight="false" outlineLevel="0" collapsed="false">
      <c r="A128" s="19" t="n">
        <v>127</v>
      </c>
      <c r="B128" s="30" t="s">
        <v>1015</v>
      </c>
      <c r="C128" s="44" t="n">
        <v>45587</v>
      </c>
      <c r="D128" s="30" t="s">
        <v>46</v>
      </c>
      <c r="E128" s="30" t="s">
        <v>113</v>
      </c>
      <c r="F128" s="30" t="s">
        <v>100</v>
      </c>
      <c r="G128" s="31" t="n">
        <v>469</v>
      </c>
      <c r="H128" s="19" t="n">
        <v>6</v>
      </c>
      <c r="I128" s="32" t="n">
        <v>0</v>
      </c>
      <c r="J128" s="30" t="s">
        <v>48</v>
      </c>
      <c r="K128" s="30" t="s">
        <v>51</v>
      </c>
      <c r="L128" s="30" t="s">
        <v>94</v>
      </c>
      <c r="M128" s="31" t="n">
        <f aca="false">AVERAGEIF($E$2:$E$1197,E128,$G$2:$G$1197)</f>
        <v>545.358823529412</v>
      </c>
      <c r="N128" s="19" t="str">
        <f aca="false">IF(G128&gt;M128*3,"نعم","لا")</f>
        <v>لا</v>
      </c>
      <c r="O128" s="19" t="str">
        <f aca="false">IF(OR(C128="",ISNUMBER(C128)),"لا","نعم")</f>
        <v>لا</v>
      </c>
      <c r="P128" s="19" t="str">
        <f aca="false">IF(COUNTIF($B$2:B128,B128)&gt;1,"مكرر","فريد")</f>
        <v>فريد</v>
      </c>
      <c r="Q128" s="19" t="str">
        <f aca="false">IF(COUNTBLANK(D128:L128)&gt;0,"نعم","لا")</f>
        <v>لا</v>
      </c>
    </row>
    <row r="129" customFormat="false" ht="15" hidden="false" customHeight="false" outlineLevel="0" collapsed="false">
      <c r="A129" s="19" t="n">
        <v>128</v>
      </c>
      <c r="B129" s="30" t="s">
        <v>864</v>
      </c>
      <c r="C129" s="44" t="n">
        <v>45533</v>
      </c>
      <c r="D129" s="30" t="s">
        <v>50</v>
      </c>
      <c r="E129" s="30" t="s">
        <v>105</v>
      </c>
      <c r="F129" s="30" t="s">
        <v>79</v>
      </c>
      <c r="G129" s="31" t="n">
        <v>1249</v>
      </c>
      <c r="H129" s="19" t="n">
        <v>2</v>
      </c>
      <c r="I129" s="32" t="n">
        <v>0.05</v>
      </c>
      <c r="J129" s="30" t="s">
        <v>52</v>
      </c>
      <c r="K129" s="30" t="s">
        <v>47</v>
      </c>
      <c r="L129" s="30" t="s">
        <v>86</v>
      </c>
      <c r="M129" s="31" t="n">
        <f aca="false">AVERAGEIF($E$2:$E$1197,E129,$G$2:$G$1197)</f>
        <v>2870.26771653543</v>
      </c>
      <c r="N129" s="19" t="str">
        <f aca="false">IF(G129&gt;M129*3,"نعم","لا")</f>
        <v>لا</v>
      </c>
      <c r="O129" s="19" t="str">
        <f aca="false">IF(OR(C129="",ISNUMBER(C129)),"لا","نعم")</f>
        <v>لا</v>
      </c>
      <c r="P129" s="19" t="str">
        <f aca="false">IF(COUNTIF($B$2:B129,B129)&gt;1,"مكرر","فريد")</f>
        <v>فريد</v>
      </c>
      <c r="Q129" s="19" t="str">
        <f aca="false">IF(COUNTBLANK(D129:L129)&gt;0,"نعم","لا")</f>
        <v>لا</v>
      </c>
    </row>
    <row r="130" customFormat="false" ht="15" hidden="false" customHeight="false" outlineLevel="0" collapsed="false">
      <c r="A130" s="19" t="n">
        <v>129</v>
      </c>
      <c r="B130" s="30" t="s">
        <v>713</v>
      </c>
      <c r="C130" s="44" t="n">
        <v>45490</v>
      </c>
      <c r="D130" s="30" t="s">
        <v>46</v>
      </c>
      <c r="E130" s="30" t="s">
        <v>107</v>
      </c>
      <c r="F130" s="30" t="s">
        <v>114</v>
      </c>
      <c r="G130" s="31" t="n">
        <v>3799</v>
      </c>
      <c r="H130" s="19" t="n">
        <v>2</v>
      </c>
      <c r="I130" s="32" t="n">
        <v>0</v>
      </c>
      <c r="J130" s="30" t="s">
        <v>48</v>
      </c>
      <c r="K130" s="30" t="s">
        <v>47</v>
      </c>
      <c r="L130" s="30" t="s">
        <v>99</v>
      </c>
      <c r="M130" s="31" t="n">
        <f aca="false">AVERAGEIF($E$2:$E$1197,E130,$G$2:$G$1197)</f>
        <v>4981.14563106796</v>
      </c>
      <c r="N130" s="19" t="str">
        <f aca="false">IF(G130&gt;M130*3,"نعم","لا")</f>
        <v>لا</v>
      </c>
      <c r="O130" s="19" t="str">
        <f aca="false">IF(OR(C130="",ISNUMBER(C130)),"لا","نعم")</f>
        <v>لا</v>
      </c>
      <c r="P130" s="19" t="str">
        <f aca="false">IF(COUNTIF($B$2:B130,B130)&gt;1,"مكرر","فريد")</f>
        <v>فريد</v>
      </c>
      <c r="Q130" s="19" t="str">
        <f aca="false">IF(COUNTBLANK(D130:L130)&gt;0,"نعم","لا")</f>
        <v>لا</v>
      </c>
    </row>
    <row r="131" customFormat="false" ht="15" hidden="false" customHeight="false" outlineLevel="0" collapsed="false">
      <c r="A131" s="19" t="n">
        <v>130</v>
      </c>
      <c r="B131" s="30" t="s">
        <v>647</v>
      </c>
      <c r="C131" s="44" t="n">
        <v>45467</v>
      </c>
      <c r="D131" s="30" t="s">
        <v>57</v>
      </c>
      <c r="E131" s="30" t="s">
        <v>111</v>
      </c>
      <c r="F131" s="30" t="s">
        <v>122</v>
      </c>
      <c r="G131" s="31" t="n">
        <v>479</v>
      </c>
      <c r="H131" s="19" t="n">
        <v>1</v>
      </c>
      <c r="I131" s="32" t="n">
        <v>0.05</v>
      </c>
      <c r="J131" s="30" t="s">
        <v>58</v>
      </c>
      <c r="K131" s="30" t="s">
        <v>47</v>
      </c>
      <c r="L131" s="30" t="s">
        <v>92</v>
      </c>
      <c r="M131" s="31" t="n">
        <f aca="false">AVERAGEIF($E$2:$E$1197,E131,$G$2:$G$1197)</f>
        <v>366.306569343066</v>
      </c>
      <c r="N131" s="19" t="str">
        <f aca="false">IF(G131&gt;M131*3,"نعم","لا")</f>
        <v>لا</v>
      </c>
      <c r="O131" s="19" t="str">
        <f aca="false">IF(OR(C131="",ISNUMBER(C131)),"لا","نعم")</f>
        <v>لا</v>
      </c>
      <c r="P131" s="19" t="str">
        <f aca="false">IF(COUNTIF($B$2:B131,B131)&gt;1,"مكرر","فريد")</f>
        <v>فريد</v>
      </c>
      <c r="Q131" s="19" t="str">
        <f aca="false">IF(COUNTBLANK(D131:L131)&gt;0,"نعم","لا")</f>
        <v>لا</v>
      </c>
    </row>
    <row r="132" customFormat="false" ht="15" hidden="false" customHeight="false" outlineLevel="0" collapsed="false">
      <c r="A132" s="19" t="n">
        <v>131</v>
      </c>
      <c r="B132" s="30" t="s">
        <v>519</v>
      </c>
      <c r="C132" s="44" t="n">
        <v>45421</v>
      </c>
      <c r="D132" s="30" t="s">
        <v>50</v>
      </c>
      <c r="E132" s="30" t="s">
        <v>109</v>
      </c>
      <c r="F132" s="30" t="s">
        <v>110</v>
      </c>
      <c r="G132" s="31" t="n">
        <v>149</v>
      </c>
      <c r="H132" s="19" t="n">
        <v>10</v>
      </c>
      <c r="I132" s="32" t="n">
        <v>0</v>
      </c>
      <c r="J132" s="30" t="s">
        <v>52</v>
      </c>
      <c r="K132" s="30" t="s">
        <v>51</v>
      </c>
      <c r="L132" s="30" t="s">
        <v>94</v>
      </c>
      <c r="M132" s="31" t="n">
        <f aca="false">AVERAGEIF($E$2:$E$1197,E132,$G$2:$G$1197)</f>
        <v>186.056291390729</v>
      </c>
      <c r="N132" s="19" t="str">
        <f aca="false">IF(G132&gt;M132*3,"نعم","لا")</f>
        <v>لا</v>
      </c>
      <c r="O132" s="19" t="str">
        <f aca="false">IF(OR(C132="",ISNUMBER(C132)),"لا","نعم")</f>
        <v>لا</v>
      </c>
      <c r="P132" s="19" t="str">
        <f aca="false">IF(COUNTIF($B$2:B132,B132)&gt;1,"مكرر","فريد")</f>
        <v>فريد</v>
      </c>
      <c r="Q132" s="19" t="str">
        <f aca="false">IF(COUNTBLANK(D132:L132)&gt;0,"نعم","لا")</f>
        <v>لا</v>
      </c>
    </row>
    <row r="133" customFormat="false" ht="15" hidden="false" customHeight="false" outlineLevel="0" collapsed="false">
      <c r="A133" s="19" t="n">
        <v>132</v>
      </c>
      <c r="B133" s="30" t="s">
        <v>471</v>
      </c>
      <c r="C133" s="44" t="n">
        <v>45399</v>
      </c>
      <c r="D133" s="30" t="s">
        <v>50</v>
      </c>
      <c r="E133" s="30" t="s">
        <v>107</v>
      </c>
      <c r="F133" s="30" t="s">
        <v>184</v>
      </c>
      <c r="G133" s="31" t="n">
        <v>5669</v>
      </c>
      <c r="H133" s="19" t="n">
        <v>1</v>
      </c>
      <c r="I133" s="32" t="n">
        <v>0</v>
      </c>
      <c r="J133" s="30" t="s">
        <v>52</v>
      </c>
      <c r="K133" s="30" t="s">
        <v>47</v>
      </c>
      <c r="L133" s="30" t="s">
        <v>84</v>
      </c>
      <c r="M133" s="31" t="n">
        <f aca="false">AVERAGEIF($E$2:$E$1197,E133,$G$2:$G$1197)</f>
        <v>4981.14563106796</v>
      </c>
      <c r="N133" s="19" t="str">
        <f aca="false">IF(G133&gt;M133*3,"نعم","لا")</f>
        <v>لا</v>
      </c>
      <c r="O133" s="19" t="str">
        <f aca="false">IF(OR(C133="",ISNUMBER(C133)),"لا","نعم")</f>
        <v>لا</v>
      </c>
      <c r="P133" s="19" t="str">
        <f aca="false">IF(COUNTIF($B$2:B133,B133)&gt;1,"مكرر","فريد")</f>
        <v>فريد</v>
      </c>
      <c r="Q133" s="19" t="str">
        <f aca="false">IF(COUNTBLANK(D133:L133)&gt;0,"نعم","لا")</f>
        <v>لا</v>
      </c>
    </row>
    <row r="134" customFormat="false" ht="15" hidden="false" customHeight="false" outlineLevel="0" collapsed="false">
      <c r="A134" s="19" t="n">
        <v>133</v>
      </c>
      <c r="B134" s="30" t="s">
        <v>1222</v>
      </c>
      <c r="C134" s="30" t="s">
        <v>1357</v>
      </c>
      <c r="D134" s="30" t="s">
        <v>50</v>
      </c>
      <c r="E134" s="30" t="s">
        <v>105</v>
      </c>
      <c r="F134" s="30" t="s">
        <v>79</v>
      </c>
      <c r="G134" s="31" t="n">
        <v>2599</v>
      </c>
      <c r="H134" s="19" t="n">
        <v>1</v>
      </c>
      <c r="I134" s="32" t="n">
        <v>0</v>
      </c>
      <c r="J134" s="30" t="s">
        <v>55</v>
      </c>
      <c r="K134" s="30" t="s">
        <v>47</v>
      </c>
      <c r="L134" s="30" t="s">
        <v>78</v>
      </c>
      <c r="M134" s="31" t="n">
        <f aca="false">AVERAGEIF($E$2:$E$1197,E134,$G$2:$G$1197)</f>
        <v>2870.26771653543</v>
      </c>
      <c r="N134" s="19" t="str">
        <f aca="false">IF(G134&gt;M134*3,"نعم","لا")</f>
        <v>لا</v>
      </c>
      <c r="O134" s="19" t="str">
        <f aca="false">IF(OR(C134="",ISNUMBER(C134)),"لا","نعم")</f>
        <v>نعم</v>
      </c>
      <c r="P134" s="19" t="str">
        <f aca="false">IF(COUNTIF($B$2:B134,B134)&gt;1,"مكرر","فريد")</f>
        <v>فريد</v>
      </c>
      <c r="Q134" s="19" t="str">
        <f aca="false">IF(COUNTBLANK(D134:L134)&gt;0,"نعم","لا")</f>
        <v>لا</v>
      </c>
    </row>
    <row r="135" customFormat="false" ht="15" hidden="false" customHeight="false" outlineLevel="0" collapsed="false">
      <c r="A135" s="19" t="n">
        <v>134</v>
      </c>
      <c r="B135" s="30" t="s">
        <v>1194</v>
      </c>
      <c r="C135" s="44" t="n">
        <v>45630</v>
      </c>
      <c r="D135" s="30" t="s">
        <v>60</v>
      </c>
      <c r="E135" s="30" t="s">
        <v>109</v>
      </c>
      <c r="F135" s="30" t="s">
        <v>171</v>
      </c>
      <c r="G135" s="31" t="n">
        <v>239</v>
      </c>
      <c r="H135" s="19" t="n">
        <v>3</v>
      </c>
      <c r="I135" s="32" t="n">
        <v>0.15</v>
      </c>
      <c r="J135" s="30" t="s">
        <v>55</v>
      </c>
      <c r="K135" s="30" t="s">
        <v>47</v>
      </c>
      <c r="L135" s="30" t="s">
        <v>96</v>
      </c>
      <c r="M135" s="31" t="n">
        <f aca="false">AVERAGEIF($E$2:$E$1197,E135,$G$2:$G$1197)</f>
        <v>186.056291390729</v>
      </c>
      <c r="N135" s="19" t="str">
        <f aca="false">IF(G135&gt;M135*3,"نعم","لا")</f>
        <v>لا</v>
      </c>
      <c r="O135" s="19" t="str">
        <f aca="false">IF(OR(C135="",ISNUMBER(C135)),"لا","نعم")</f>
        <v>لا</v>
      </c>
      <c r="P135" s="19" t="str">
        <f aca="false">IF(COUNTIF($B$2:B135,B135)&gt;1,"مكرر","فريد")</f>
        <v>فريد</v>
      </c>
      <c r="Q135" s="19" t="str">
        <f aca="false">IF(COUNTBLANK(D135:L135)&gt;0,"نعم","لا")</f>
        <v>لا</v>
      </c>
    </row>
    <row r="136" customFormat="false" ht="15" hidden="false" customHeight="false" outlineLevel="0" collapsed="false">
      <c r="A136" s="19" t="n">
        <v>135</v>
      </c>
      <c r="B136" s="30" t="s">
        <v>308</v>
      </c>
      <c r="C136" s="44" t="n">
        <v>45344</v>
      </c>
      <c r="D136" s="30" t="s">
        <v>54</v>
      </c>
      <c r="E136" s="30" t="s">
        <v>111</v>
      </c>
      <c r="F136" s="30" t="s">
        <v>122</v>
      </c>
      <c r="G136" s="31" t="n">
        <v>379</v>
      </c>
      <c r="H136" s="19" t="n">
        <v>1</v>
      </c>
      <c r="I136" s="32" t="n">
        <v>0.05</v>
      </c>
      <c r="J136" s="30" t="s">
        <v>52</v>
      </c>
      <c r="K136" s="30" t="s">
        <v>47</v>
      </c>
      <c r="L136" s="30" t="s">
        <v>86</v>
      </c>
      <c r="M136" s="31" t="n">
        <f aca="false">AVERAGEIF($E$2:$E$1197,E136,$G$2:$G$1197)</f>
        <v>366.306569343066</v>
      </c>
      <c r="N136" s="19" t="str">
        <f aca="false">IF(G136&gt;M136*3,"نعم","لا")</f>
        <v>لا</v>
      </c>
      <c r="O136" s="19" t="str">
        <f aca="false">IF(OR(C136="",ISNUMBER(C136)),"لا","نعم")</f>
        <v>لا</v>
      </c>
      <c r="P136" s="19" t="str">
        <f aca="false">IF(COUNTIF($B$2:B136,B136)&gt;1,"مكرر","فريد")</f>
        <v>فريد</v>
      </c>
      <c r="Q136" s="19" t="str">
        <f aca="false">IF(COUNTBLANK(D136:L136)&gt;0,"نعم","لا")</f>
        <v>لا</v>
      </c>
    </row>
    <row r="137" customFormat="false" ht="15" hidden="false" customHeight="false" outlineLevel="0" collapsed="false">
      <c r="A137" s="19" t="n">
        <v>136</v>
      </c>
      <c r="B137" s="30" t="s">
        <v>1121</v>
      </c>
      <c r="C137" s="44" t="n">
        <v>45612</v>
      </c>
      <c r="D137" s="30" t="s">
        <v>50</v>
      </c>
      <c r="E137" s="30" t="s">
        <v>107</v>
      </c>
      <c r="F137" s="30" t="s">
        <v>115</v>
      </c>
      <c r="G137" s="31" t="n">
        <v>4909</v>
      </c>
      <c r="H137" s="19" t="n">
        <v>2</v>
      </c>
      <c r="I137" s="32" t="n">
        <v>0.05</v>
      </c>
      <c r="J137" s="30" t="s">
        <v>48</v>
      </c>
      <c r="K137" s="30" t="s">
        <v>47</v>
      </c>
      <c r="L137" s="30" t="s">
        <v>84</v>
      </c>
      <c r="M137" s="31" t="n">
        <f aca="false">AVERAGEIF($E$2:$E$1197,E137,$G$2:$G$1197)</f>
        <v>4981.14563106796</v>
      </c>
      <c r="N137" s="19" t="str">
        <f aca="false">IF(G137&gt;M137*3,"نعم","لا")</f>
        <v>لا</v>
      </c>
      <c r="O137" s="19" t="str">
        <f aca="false">IF(OR(C137="",ISNUMBER(C137)),"لا","نعم")</f>
        <v>لا</v>
      </c>
      <c r="P137" s="19" t="str">
        <f aca="false">IF(COUNTIF($B$2:B137,B137)&gt;1,"مكرر","فريد")</f>
        <v>فريد</v>
      </c>
      <c r="Q137" s="19" t="str">
        <f aca="false">IF(COUNTBLANK(D137:L137)&gt;0,"نعم","لا")</f>
        <v>لا</v>
      </c>
    </row>
    <row r="138" customFormat="false" ht="15" hidden="false" customHeight="false" outlineLevel="0" collapsed="false">
      <c r="A138" s="19" t="n">
        <v>137</v>
      </c>
      <c r="B138" s="30" t="s">
        <v>719</v>
      </c>
      <c r="C138" s="44" t="n">
        <v>45493</v>
      </c>
      <c r="D138" s="30" t="s">
        <v>57</v>
      </c>
      <c r="E138" s="30" t="s">
        <v>105</v>
      </c>
      <c r="F138" s="30" t="s">
        <v>79</v>
      </c>
      <c r="G138" s="31" t="n">
        <v>2929</v>
      </c>
      <c r="H138" s="19" t="n">
        <v>1</v>
      </c>
      <c r="I138" s="32" t="n">
        <v>0</v>
      </c>
      <c r="J138" s="30" t="s">
        <v>55</v>
      </c>
      <c r="K138" s="30" t="s">
        <v>47</v>
      </c>
      <c r="L138" s="30" t="s">
        <v>86</v>
      </c>
      <c r="M138" s="31" t="n">
        <f aca="false">AVERAGEIF($E$2:$E$1197,E138,$G$2:$G$1197)</f>
        <v>2870.26771653543</v>
      </c>
      <c r="N138" s="19" t="str">
        <f aca="false">IF(G138&gt;M138*3,"نعم","لا")</f>
        <v>لا</v>
      </c>
      <c r="O138" s="19" t="str">
        <f aca="false">IF(OR(C138="",ISNUMBER(C138)),"لا","نعم")</f>
        <v>لا</v>
      </c>
      <c r="P138" s="19" t="str">
        <f aca="false">IF(COUNTIF($B$2:B138,B138)&gt;1,"مكرر","فريد")</f>
        <v>فريد</v>
      </c>
      <c r="Q138" s="19" t="str">
        <f aca="false">IF(COUNTBLANK(D138:L138)&gt;0,"نعم","لا")</f>
        <v>لا</v>
      </c>
    </row>
    <row r="139" customFormat="false" ht="15" hidden="false" customHeight="false" outlineLevel="0" collapsed="false">
      <c r="A139" s="19" t="n">
        <v>138</v>
      </c>
      <c r="B139" s="30" t="s">
        <v>1358</v>
      </c>
      <c r="C139" s="44" t="n">
        <v>45495</v>
      </c>
      <c r="D139" s="30" t="s">
        <v>46</v>
      </c>
      <c r="E139" s="30" t="s">
        <v>105</v>
      </c>
      <c r="F139" s="30" t="s">
        <v>85</v>
      </c>
      <c r="G139" s="31" t="n">
        <v>1769</v>
      </c>
      <c r="H139" s="19" t="n">
        <v>-1</v>
      </c>
      <c r="I139" s="32" t="n">
        <v>0</v>
      </c>
      <c r="J139" s="30" t="s">
        <v>48</v>
      </c>
      <c r="K139" s="30" t="s">
        <v>47</v>
      </c>
      <c r="L139" s="30" t="s">
        <v>84</v>
      </c>
      <c r="M139" s="31" t="n">
        <f aca="false">AVERAGEIF($E$2:$E$1197,E139,$G$2:$G$1197)</f>
        <v>2870.26771653543</v>
      </c>
      <c r="N139" s="19" t="str">
        <f aca="false">IF(G139&gt;M139*3,"نعم","لا")</f>
        <v>لا</v>
      </c>
      <c r="O139" s="19" t="str">
        <f aca="false">IF(OR(C139="",ISNUMBER(C139)),"لا","نعم")</f>
        <v>لا</v>
      </c>
      <c r="P139" s="19" t="str">
        <f aca="false">IF(COUNTIF($B$2:B139,B139)&gt;1,"مكرر","فريد")</f>
        <v>فريد</v>
      </c>
      <c r="Q139" s="19" t="str">
        <f aca="false">IF(COUNTBLANK(D139:L139)&gt;0,"نعم","لا")</f>
        <v>لا</v>
      </c>
    </row>
    <row r="140" customFormat="false" ht="15" hidden="false" customHeight="false" outlineLevel="0" collapsed="false">
      <c r="A140" s="19" t="n">
        <v>139</v>
      </c>
      <c r="B140" s="30" t="s">
        <v>1086</v>
      </c>
      <c r="C140" s="44" t="n">
        <v>45604</v>
      </c>
      <c r="D140" s="30" t="s">
        <v>50</v>
      </c>
      <c r="E140" s="30" t="s">
        <v>111</v>
      </c>
      <c r="F140" s="30" t="s">
        <v>108</v>
      </c>
      <c r="G140" s="31" t="n">
        <v>389</v>
      </c>
      <c r="H140" s="19" t="n">
        <v>3</v>
      </c>
      <c r="I140" s="32" t="n">
        <v>0.05</v>
      </c>
      <c r="J140" s="30" t="s">
        <v>52</v>
      </c>
      <c r="K140" s="30" t="s">
        <v>51</v>
      </c>
      <c r="L140" s="30" t="s">
        <v>99</v>
      </c>
      <c r="M140" s="31" t="n">
        <f aca="false">AVERAGEIF($E$2:$E$1197,E140,$G$2:$G$1197)</f>
        <v>366.306569343066</v>
      </c>
      <c r="N140" s="19" t="str">
        <f aca="false">IF(G140&gt;M140*3,"نعم","لا")</f>
        <v>لا</v>
      </c>
      <c r="O140" s="19" t="str">
        <f aca="false">IF(OR(C140="",ISNUMBER(C140)),"لا","نعم")</f>
        <v>لا</v>
      </c>
      <c r="P140" s="19" t="str">
        <f aca="false">IF(COUNTIF($B$2:B140,B140)&gt;1,"مكرر","فريد")</f>
        <v>فريد</v>
      </c>
      <c r="Q140" s="19" t="str">
        <f aca="false">IF(COUNTBLANK(D140:L140)&gt;0,"نعم","لا")</f>
        <v>لا</v>
      </c>
    </row>
    <row r="141" customFormat="false" ht="15" hidden="false" customHeight="false" outlineLevel="0" collapsed="false">
      <c r="A141" s="19" t="n">
        <v>140</v>
      </c>
      <c r="B141" s="30" t="s">
        <v>1154</v>
      </c>
      <c r="C141" s="44" t="n">
        <v>45619</v>
      </c>
      <c r="D141" s="30" t="s">
        <v>46</v>
      </c>
      <c r="E141" s="30" t="s">
        <v>111</v>
      </c>
      <c r="F141" s="30" t="s">
        <v>122</v>
      </c>
      <c r="G141" s="31" t="n">
        <v>519</v>
      </c>
      <c r="H141" s="19" t="n">
        <v>1</v>
      </c>
      <c r="I141" s="32" t="n">
        <v>0</v>
      </c>
      <c r="J141" s="30" t="s">
        <v>55</v>
      </c>
      <c r="K141" s="30" t="s">
        <v>47</v>
      </c>
      <c r="L141" s="30" t="s">
        <v>78</v>
      </c>
      <c r="M141" s="31" t="n">
        <f aca="false">AVERAGEIF($E$2:$E$1197,E141,$G$2:$G$1197)</f>
        <v>366.306569343066</v>
      </c>
      <c r="N141" s="19" t="str">
        <f aca="false">IF(G141&gt;M141*3,"نعم","لا")</f>
        <v>لا</v>
      </c>
      <c r="O141" s="19" t="str">
        <f aca="false">IF(OR(C141="",ISNUMBER(C141)),"لا","نعم")</f>
        <v>لا</v>
      </c>
      <c r="P141" s="19" t="str">
        <f aca="false">IF(COUNTIF($B$2:B141,B141)&gt;1,"مكرر","فريد")</f>
        <v>فريد</v>
      </c>
      <c r="Q141" s="19" t="str">
        <f aca="false">IF(COUNTBLANK(D141:L141)&gt;0,"نعم","لا")</f>
        <v>لا</v>
      </c>
    </row>
    <row r="142" customFormat="false" ht="15" hidden="false" customHeight="false" outlineLevel="0" collapsed="false">
      <c r="A142" s="19" t="n">
        <v>141</v>
      </c>
      <c r="B142" s="30" t="s">
        <v>779</v>
      </c>
      <c r="C142" s="30" t="s">
        <v>1359</v>
      </c>
      <c r="D142" s="30" t="s">
        <v>57</v>
      </c>
      <c r="E142" s="30" t="s">
        <v>109</v>
      </c>
      <c r="F142" s="30" t="s">
        <v>171</v>
      </c>
      <c r="G142" s="31" t="n">
        <v>279</v>
      </c>
      <c r="H142" s="19" t="n">
        <v>1</v>
      </c>
      <c r="I142" s="32" t="n">
        <v>0.2</v>
      </c>
      <c r="J142" s="30" t="s">
        <v>52</v>
      </c>
      <c r="K142" s="30" t="s">
        <v>47</v>
      </c>
      <c r="L142" s="30" t="s">
        <v>96</v>
      </c>
      <c r="M142" s="31" t="n">
        <f aca="false">AVERAGEIF($E$2:$E$1197,E142,$G$2:$G$1197)</f>
        <v>186.056291390729</v>
      </c>
      <c r="N142" s="19" t="str">
        <f aca="false">IF(G142&gt;M142*3,"نعم","لا")</f>
        <v>لا</v>
      </c>
      <c r="O142" s="19" t="str">
        <f aca="false">IF(OR(C142="",ISNUMBER(C142)),"لا","نعم")</f>
        <v>نعم</v>
      </c>
      <c r="P142" s="19" t="str">
        <f aca="false">IF(COUNTIF($B$2:B142,B142)&gt;1,"مكرر","فريد")</f>
        <v>فريد</v>
      </c>
      <c r="Q142" s="19" t="str">
        <f aca="false">IF(COUNTBLANK(D142:L142)&gt;0,"نعم","لا")</f>
        <v>لا</v>
      </c>
    </row>
    <row r="143" customFormat="false" ht="15" hidden="false" customHeight="false" outlineLevel="0" collapsed="false">
      <c r="A143" s="19" t="n">
        <v>142</v>
      </c>
      <c r="B143" s="30" t="s">
        <v>1152</v>
      </c>
      <c r="C143" s="44" t="n">
        <v>45619</v>
      </c>
      <c r="D143" s="30" t="s">
        <v>54</v>
      </c>
      <c r="E143" s="30" t="s">
        <v>111</v>
      </c>
      <c r="F143" s="30" t="s">
        <v>108</v>
      </c>
      <c r="G143" s="31" t="n">
        <v>259</v>
      </c>
      <c r="H143" s="19" t="n">
        <v>1</v>
      </c>
      <c r="I143" s="32" t="n">
        <v>0.15</v>
      </c>
      <c r="J143" s="30" t="s">
        <v>1360</v>
      </c>
      <c r="K143" s="30" t="s">
        <v>51</v>
      </c>
      <c r="L143" s="30" t="s">
        <v>92</v>
      </c>
      <c r="M143" s="31" t="n">
        <f aca="false">AVERAGEIF($E$2:$E$1197,E143,$G$2:$G$1197)</f>
        <v>366.306569343066</v>
      </c>
      <c r="N143" s="19" t="str">
        <f aca="false">IF(G143&gt;M143*3,"نعم","لا")</f>
        <v>لا</v>
      </c>
      <c r="O143" s="19" t="str">
        <f aca="false">IF(OR(C143="",ISNUMBER(C143)),"لا","نعم")</f>
        <v>لا</v>
      </c>
      <c r="P143" s="19" t="str">
        <f aca="false">IF(COUNTIF($B$2:B143,B143)&gt;1,"مكرر","فريد")</f>
        <v>فريد</v>
      </c>
      <c r="Q143" s="19" t="str">
        <f aca="false">IF(COUNTBLANK(D143:L143)&gt;0,"نعم","لا")</f>
        <v>لا</v>
      </c>
    </row>
    <row r="144" customFormat="false" ht="15" hidden="false" customHeight="false" outlineLevel="0" collapsed="false">
      <c r="A144" s="19" t="n">
        <v>143</v>
      </c>
      <c r="B144" s="30" t="s">
        <v>352</v>
      </c>
      <c r="C144" s="44" t="n">
        <v>45362</v>
      </c>
      <c r="D144" s="30" t="s">
        <v>50</v>
      </c>
      <c r="E144" s="30" t="s">
        <v>111</v>
      </c>
      <c r="F144" s="30" t="s">
        <v>122</v>
      </c>
      <c r="G144" s="31" t="n">
        <v>469</v>
      </c>
      <c r="H144" s="19" t="n">
        <v>1</v>
      </c>
      <c r="I144" s="32" t="n">
        <v>0.05</v>
      </c>
      <c r="J144" s="30" t="s">
        <v>52</v>
      </c>
      <c r="K144" s="30" t="s">
        <v>47</v>
      </c>
      <c r="L144" s="30" t="s">
        <v>78</v>
      </c>
      <c r="M144" s="31" t="n">
        <f aca="false">AVERAGEIF($E$2:$E$1197,E144,$G$2:$G$1197)</f>
        <v>366.306569343066</v>
      </c>
      <c r="N144" s="19" t="str">
        <f aca="false">IF(G144&gt;M144*3,"نعم","لا")</f>
        <v>لا</v>
      </c>
      <c r="O144" s="19" t="str">
        <f aca="false">IF(OR(C144="",ISNUMBER(C144)),"لا","نعم")</f>
        <v>لا</v>
      </c>
      <c r="P144" s="19" t="str">
        <f aca="false">IF(COUNTIF($B$2:B144,B144)&gt;1,"مكرر","فريد")</f>
        <v>فريد</v>
      </c>
      <c r="Q144" s="19" t="str">
        <f aca="false">IF(COUNTBLANK(D144:L144)&gt;0,"نعم","لا")</f>
        <v>لا</v>
      </c>
    </row>
    <row r="145" customFormat="false" ht="15" hidden="false" customHeight="false" outlineLevel="0" collapsed="false">
      <c r="A145" s="19" t="n">
        <v>144</v>
      </c>
      <c r="B145" s="30" t="s">
        <v>1271</v>
      </c>
      <c r="C145" s="44" t="n">
        <v>45651</v>
      </c>
      <c r="D145" s="30" t="s">
        <v>1361</v>
      </c>
      <c r="E145" s="30" t="s">
        <v>107</v>
      </c>
      <c r="F145" s="30" t="s">
        <v>272</v>
      </c>
      <c r="G145" s="31" t="n">
        <v>6089</v>
      </c>
      <c r="H145" s="19" t="n">
        <v>1</v>
      </c>
      <c r="I145" s="32" t="n">
        <v>0.05</v>
      </c>
      <c r="J145" s="30" t="s">
        <v>48</v>
      </c>
      <c r="K145" s="30" t="s">
        <v>47</v>
      </c>
      <c r="L145" s="30" t="s">
        <v>99</v>
      </c>
      <c r="M145" s="31" t="n">
        <f aca="false">AVERAGEIF($E$2:$E$1197,E145,$G$2:$G$1197)</f>
        <v>4981.14563106796</v>
      </c>
      <c r="N145" s="19" t="str">
        <f aca="false">IF(G145&gt;M145*3,"نعم","لا")</f>
        <v>لا</v>
      </c>
      <c r="O145" s="19" t="str">
        <f aca="false">IF(OR(C145="",ISNUMBER(C145)),"لا","نعم")</f>
        <v>لا</v>
      </c>
      <c r="P145" s="19" t="str">
        <f aca="false">IF(COUNTIF($B$2:B145,B145)&gt;1,"مكرر","فريد")</f>
        <v>فريد</v>
      </c>
      <c r="Q145" s="19" t="str">
        <f aca="false">IF(COUNTBLANK(D145:L145)&gt;0,"نعم","لا")</f>
        <v>لا</v>
      </c>
    </row>
    <row r="146" customFormat="false" ht="15" hidden="false" customHeight="false" outlineLevel="0" collapsed="false">
      <c r="A146" s="19" t="n">
        <v>145</v>
      </c>
      <c r="B146" s="30" t="s">
        <v>904</v>
      </c>
      <c r="C146" s="44" t="n">
        <v>45548</v>
      </c>
      <c r="D146" s="30" t="s">
        <v>50</v>
      </c>
      <c r="E146" s="30" t="s">
        <v>113</v>
      </c>
      <c r="F146" s="30" t="s">
        <v>100</v>
      </c>
      <c r="G146" s="31" t="n">
        <v>739</v>
      </c>
      <c r="H146" s="19" t="n">
        <v>2</v>
      </c>
      <c r="I146" s="32" t="n">
        <v>0</v>
      </c>
      <c r="J146" s="30" t="s">
        <v>48</v>
      </c>
      <c r="K146" s="30" t="s">
        <v>47</v>
      </c>
      <c r="L146" s="30" t="s">
        <v>94</v>
      </c>
      <c r="M146" s="31" t="n">
        <f aca="false">AVERAGEIF($E$2:$E$1197,E146,$G$2:$G$1197)</f>
        <v>545.358823529412</v>
      </c>
      <c r="N146" s="19" t="str">
        <f aca="false">IF(G146&gt;M146*3,"نعم","لا")</f>
        <v>لا</v>
      </c>
      <c r="O146" s="19" t="str">
        <f aca="false">IF(OR(C146="",ISNUMBER(C146)),"لا","نعم")</f>
        <v>لا</v>
      </c>
      <c r="P146" s="19" t="str">
        <f aca="false">IF(COUNTIF($B$2:B146,B146)&gt;1,"مكرر","فريد")</f>
        <v>فريد</v>
      </c>
      <c r="Q146" s="19" t="str">
        <f aca="false">IF(COUNTBLANK(D146:L146)&gt;0,"نعم","لا")</f>
        <v>لا</v>
      </c>
    </row>
    <row r="147" customFormat="false" ht="15" hidden="false" customHeight="false" outlineLevel="0" collapsed="false">
      <c r="A147" s="19" t="n">
        <v>146</v>
      </c>
      <c r="B147" s="30" t="s">
        <v>479</v>
      </c>
      <c r="C147" s="30" t="s">
        <v>1362</v>
      </c>
      <c r="D147" s="30" t="s">
        <v>46</v>
      </c>
      <c r="E147" s="30" t="s">
        <v>109</v>
      </c>
      <c r="F147" s="30" t="s">
        <v>93</v>
      </c>
      <c r="G147" s="31" t="n">
        <v>189</v>
      </c>
      <c r="H147" s="19" t="n">
        <v>1</v>
      </c>
      <c r="I147" s="32" t="n">
        <v>0.15</v>
      </c>
      <c r="J147" s="30" t="s">
        <v>48</v>
      </c>
      <c r="K147" s="30" t="s">
        <v>47</v>
      </c>
      <c r="L147" s="30" t="s">
        <v>84</v>
      </c>
      <c r="M147" s="31" t="n">
        <f aca="false">AVERAGEIF($E$2:$E$1197,E147,$G$2:$G$1197)</f>
        <v>186.056291390729</v>
      </c>
      <c r="N147" s="19" t="str">
        <f aca="false">IF(G147&gt;M147*3,"نعم","لا")</f>
        <v>لا</v>
      </c>
      <c r="O147" s="19" t="str">
        <f aca="false">IF(OR(C147="",ISNUMBER(C147)),"لا","نعم")</f>
        <v>نعم</v>
      </c>
      <c r="P147" s="19" t="str">
        <f aca="false">IF(COUNTIF($B$2:B147,B147)&gt;1,"مكرر","فريد")</f>
        <v>فريد</v>
      </c>
      <c r="Q147" s="19" t="str">
        <f aca="false">IF(COUNTBLANK(D147:L147)&gt;0,"نعم","لا")</f>
        <v>لا</v>
      </c>
    </row>
    <row r="148" customFormat="false" ht="15" hidden="false" customHeight="false" outlineLevel="0" collapsed="false">
      <c r="A148" s="19" t="n">
        <v>147</v>
      </c>
      <c r="B148" s="30" t="s">
        <v>1242</v>
      </c>
      <c r="C148" s="44" t="n">
        <v>45643</v>
      </c>
      <c r="D148" s="30" t="s">
        <v>46</v>
      </c>
      <c r="E148" s="30" t="s">
        <v>113</v>
      </c>
      <c r="F148" s="30" t="s">
        <v>1363</v>
      </c>
      <c r="G148" s="31" t="n">
        <v>679</v>
      </c>
      <c r="H148" s="19" t="n">
        <v>1</v>
      </c>
      <c r="I148" s="32" t="n">
        <v>0.1</v>
      </c>
      <c r="J148" s="30" t="s">
        <v>48</v>
      </c>
      <c r="K148" s="30" t="s">
        <v>47</v>
      </c>
      <c r="L148" s="30" t="s">
        <v>78</v>
      </c>
      <c r="M148" s="31" t="n">
        <f aca="false">AVERAGEIF($E$2:$E$1197,E148,$G$2:$G$1197)</f>
        <v>545.358823529412</v>
      </c>
      <c r="N148" s="19" t="str">
        <f aca="false">IF(G148&gt;M148*3,"نعم","لا")</f>
        <v>لا</v>
      </c>
      <c r="O148" s="19" t="str">
        <f aca="false">IF(OR(C148="",ISNUMBER(C148)),"لا","نعم")</f>
        <v>لا</v>
      </c>
      <c r="P148" s="19" t="str">
        <f aca="false">IF(COUNTIF($B$2:B148,B148)&gt;1,"مكرر","فريد")</f>
        <v>فريد</v>
      </c>
      <c r="Q148" s="19" t="str">
        <f aca="false">IF(COUNTBLANK(D148:L148)&gt;0,"نعم","لا")</f>
        <v>لا</v>
      </c>
    </row>
    <row r="149" customFormat="false" ht="15" hidden="false" customHeight="false" outlineLevel="0" collapsed="false">
      <c r="A149" s="19" t="n">
        <v>148</v>
      </c>
      <c r="B149" s="30" t="s">
        <v>749</v>
      </c>
      <c r="C149" s="44" t="n">
        <v>45501</v>
      </c>
      <c r="D149" s="30" t="s">
        <v>54</v>
      </c>
      <c r="E149" s="30" t="s">
        <v>105</v>
      </c>
      <c r="F149" s="30" t="s">
        <v>90</v>
      </c>
      <c r="G149" s="31" t="n">
        <v>3519</v>
      </c>
      <c r="H149" s="19" t="n">
        <v>1</v>
      </c>
      <c r="I149" s="32" t="n">
        <v>0</v>
      </c>
      <c r="J149" s="30" t="s">
        <v>48</v>
      </c>
      <c r="K149" s="30" t="s">
        <v>47</v>
      </c>
      <c r="L149" s="30" t="s">
        <v>94</v>
      </c>
      <c r="M149" s="31" t="n">
        <f aca="false">AVERAGEIF($E$2:$E$1197,E149,$G$2:$G$1197)</f>
        <v>2870.26771653543</v>
      </c>
      <c r="N149" s="19" t="str">
        <f aca="false">IF(G149&gt;M149*3,"نعم","لا")</f>
        <v>لا</v>
      </c>
      <c r="O149" s="19" t="str">
        <f aca="false">IF(OR(C149="",ISNUMBER(C149)),"لا","نعم")</f>
        <v>لا</v>
      </c>
      <c r="P149" s="19" t="str">
        <f aca="false">IF(COUNTIF($B$2:B149,B149)&gt;1,"مكرر","فريد")</f>
        <v>فريد</v>
      </c>
      <c r="Q149" s="19" t="str">
        <f aca="false">IF(COUNTBLANK(D149:L149)&gt;0,"نعم","لا")</f>
        <v>لا</v>
      </c>
    </row>
    <row r="150" customFormat="false" ht="15" hidden="false" customHeight="false" outlineLevel="0" collapsed="false">
      <c r="A150" s="19" t="n">
        <v>149</v>
      </c>
      <c r="B150" s="30" t="s">
        <v>873</v>
      </c>
      <c r="C150" s="44" t="n">
        <v>45535</v>
      </c>
      <c r="D150" s="30" t="s">
        <v>50</v>
      </c>
      <c r="E150" s="30" t="s">
        <v>105</v>
      </c>
      <c r="F150" s="30" t="s">
        <v>82</v>
      </c>
      <c r="G150" s="31" t="n">
        <v>3039</v>
      </c>
      <c r="H150" s="19" t="n">
        <v>1</v>
      </c>
      <c r="I150" s="32" t="n">
        <v>0</v>
      </c>
      <c r="J150" s="30" t="s">
        <v>52</v>
      </c>
      <c r="K150" s="30" t="s">
        <v>47</v>
      </c>
      <c r="L150" s="30" t="s">
        <v>84</v>
      </c>
      <c r="M150" s="31" t="n">
        <f aca="false">AVERAGEIF($E$2:$E$1197,E150,$G$2:$G$1197)</f>
        <v>2870.26771653543</v>
      </c>
      <c r="N150" s="19" t="str">
        <f aca="false">IF(G150&gt;M150*3,"نعم","لا")</f>
        <v>لا</v>
      </c>
      <c r="O150" s="19" t="str">
        <f aca="false">IF(OR(C150="",ISNUMBER(C150)),"لا","نعم")</f>
        <v>لا</v>
      </c>
      <c r="P150" s="19" t="str">
        <f aca="false">IF(COUNTIF($B$2:B150,B150)&gt;1,"مكرر","فريد")</f>
        <v>فريد</v>
      </c>
      <c r="Q150" s="19" t="str">
        <f aca="false">IF(COUNTBLANK(D150:L150)&gt;0,"نعم","لا")</f>
        <v>لا</v>
      </c>
    </row>
    <row r="151" customFormat="false" ht="15" hidden="false" customHeight="false" outlineLevel="0" collapsed="false">
      <c r="A151" s="19" t="n">
        <v>150</v>
      </c>
      <c r="B151" s="30" t="s">
        <v>1067</v>
      </c>
      <c r="C151" s="44" t="n">
        <v>45601</v>
      </c>
      <c r="D151" s="30" t="s">
        <v>46</v>
      </c>
      <c r="E151" s="30" t="s">
        <v>113</v>
      </c>
      <c r="F151" s="30" t="s">
        <v>97</v>
      </c>
      <c r="G151" s="31" t="n">
        <v>819</v>
      </c>
      <c r="H151" s="19" t="n">
        <v>4</v>
      </c>
      <c r="I151" s="32" t="n">
        <v>0.05</v>
      </c>
      <c r="J151" s="30" t="s">
        <v>55</v>
      </c>
      <c r="K151" s="30" t="s">
        <v>51</v>
      </c>
      <c r="L151" s="30" t="s">
        <v>86</v>
      </c>
      <c r="M151" s="31" t="n">
        <f aca="false">AVERAGEIF($E$2:$E$1197,E151,$G$2:$G$1197)</f>
        <v>545.358823529412</v>
      </c>
      <c r="N151" s="19" t="str">
        <f aca="false">IF(G151&gt;M151*3,"نعم","لا")</f>
        <v>لا</v>
      </c>
      <c r="O151" s="19" t="str">
        <f aca="false">IF(OR(C151="",ISNUMBER(C151)),"لا","نعم")</f>
        <v>لا</v>
      </c>
      <c r="P151" s="19" t="str">
        <f aca="false">IF(COUNTIF($B$2:B151,B151)&gt;1,"مكرر","فريد")</f>
        <v>فريد</v>
      </c>
      <c r="Q151" s="19" t="str">
        <f aca="false">IF(COUNTBLANK(D151:L151)&gt;0,"نعم","لا")</f>
        <v>لا</v>
      </c>
    </row>
    <row r="152" customFormat="false" ht="15" hidden="false" customHeight="false" outlineLevel="0" collapsed="false">
      <c r="A152" s="19" t="n">
        <v>151</v>
      </c>
      <c r="B152" s="30" t="s">
        <v>1135</v>
      </c>
      <c r="C152" s="44" t="n">
        <v>45615</v>
      </c>
      <c r="D152" s="30" t="s">
        <v>50</v>
      </c>
      <c r="E152" s="30" t="s">
        <v>113</v>
      </c>
      <c r="F152" s="30" t="s">
        <v>97</v>
      </c>
      <c r="G152" s="31" t="n">
        <v>879</v>
      </c>
      <c r="H152" s="19" t="n">
        <v>1</v>
      </c>
      <c r="I152" s="32" t="n">
        <v>0.1</v>
      </c>
      <c r="J152" s="30" t="s">
        <v>52</v>
      </c>
      <c r="K152" s="30" t="s">
        <v>47</v>
      </c>
      <c r="L152" s="30" t="s">
        <v>86</v>
      </c>
      <c r="M152" s="31" t="n">
        <f aca="false">AVERAGEIF($E$2:$E$1197,E152,$G$2:$G$1197)</f>
        <v>545.358823529412</v>
      </c>
      <c r="N152" s="19" t="str">
        <f aca="false">IF(G152&gt;M152*3,"نعم","لا")</f>
        <v>لا</v>
      </c>
      <c r="O152" s="19" t="str">
        <f aca="false">IF(OR(C152="",ISNUMBER(C152)),"لا","نعم")</f>
        <v>لا</v>
      </c>
      <c r="P152" s="19" t="str">
        <f aca="false">IF(COUNTIF($B$2:B152,B152)&gt;1,"مكرر","فريد")</f>
        <v>فريد</v>
      </c>
      <c r="Q152" s="19" t="str">
        <f aca="false">IF(COUNTBLANK(D152:L152)&gt;0,"نعم","لا")</f>
        <v>لا</v>
      </c>
    </row>
    <row r="153" customFormat="false" ht="15" hidden="false" customHeight="false" outlineLevel="0" collapsed="false">
      <c r="A153" s="19" t="n">
        <v>152</v>
      </c>
      <c r="B153" s="30" t="s">
        <v>1007</v>
      </c>
      <c r="C153" s="44" t="n">
        <v>45585</v>
      </c>
      <c r="D153" s="30" t="s">
        <v>50</v>
      </c>
      <c r="E153" s="30" t="s">
        <v>105</v>
      </c>
      <c r="F153" s="30" t="s">
        <v>1364</v>
      </c>
      <c r="G153" s="31" t="n">
        <v>4049</v>
      </c>
      <c r="H153" s="19" t="n">
        <v>6</v>
      </c>
      <c r="I153" s="32" t="n">
        <v>0</v>
      </c>
      <c r="J153" s="30" t="s">
        <v>52</v>
      </c>
      <c r="K153" s="30" t="s">
        <v>51</v>
      </c>
      <c r="L153" s="30" t="s">
        <v>81</v>
      </c>
      <c r="M153" s="31" t="n">
        <f aca="false">AVERAGEIF($E$2:$E$1197,E153,$G$2:$G$1197)</f>
        <v>2870.26771653543</v>
      </c>
      <c r="N153" s="19" t="str">
        <f aca="false">IF(G153&gt;M153*3,"نعم","لا")</f>
        <v>لا</v>
      </c>
      <c r="O153" s="19" t="str">
        <f aca="false">IF(OR(C153="",ISNUMBER(C153)),"لا","نعم")</f>
        <v>لا</v>
      </c>
      <c r="P153" s="19" t="str">
        <f aca="false">IF(COUNTIF($B$2:B153,B153)&gt;1,"مكرر","فريد")</f>
        <v>فريد</v>
      </c>
      <c r="Q153" s="19" t="str">
        <f aca="false">IF(COUNTBLANK(D153:L153)&gt;0,"نعم","لا")</f>
        <v>لا</v>
      </c>
    </row>
    <row r="154" customFormat="false" ht="15" hidden="false" customHeight="false" outlineLevel="0" collapsed="false">
      <c r="A154" s="19" t="n">
        <v>153</v>
      </c>
      <c r="B154" s="30" t="s">
        <v>774</v>
      </c>
      <c r="C154" s="44" t="n">
        <v>45510</v>
      </c>
      <c r="D154" s="30" t="s">
        <v>1365</v>
      </c>
      <c r="E154" s="30" t="s">
        <v>109</v>
      </c>
      <c r="F154" s="30" t="s">
        <v>1366</v>
      </c>
      <c r="G154" s="31" t="n">
        <v>229</v>
      </c>
      <c r="H154" s="19" t="n">
        <v>1</v>
      </c>
      <c r="I154" s="32" t="n">
        <v>0.05</v>
      </c>
      <c r="J154" s="30" t="s">
        <v>52</v>
      </c>
      <c r="K154" s="30" t="s">
        <v>47</v>
      </c>
      <c r="L154" s="30" t="s">
        <v>76</v>
      </c>
      <c r="M154" s="31" t="n">
        <f aca="false">AVERAGEIF($E$2:$E$1197,E154,$G$2:$G$1197)</f>
        <v>186.056291390729</v>
      </c>
      <c r="N154" s="19" t="str">
        <f aca="false">IF(G154&gt;M154*3,"نعم","لا")</f>
        <v>لا</v>
      </c>
      <c r="O154" s="19" t="str">
        <f aca="false">IF(OR(C154="",ISNUMBER(C154)),"لا","نعم")</f>
        <v>لا</v>
      </c>
      <c r="P154" s="19" t="str">
        <f aca="false">IF(COUNTIF($B$2:B154,B154)&gt;1,"مكرر","فريد")</f>
        <v>فريد</v>
      </c>
      <c r="Q154" s="19" t="str">
        <f aca="false">IF(COUNTBLANK(D154:L154)&gt;0,"نعم","لا")</f>
        <v>لا</v>
      </c>
    </row>
    <row r="155" customFormat="false" ht="15" hidden="false" customHeight="false" outlineLevel="0" collapsed="false">
      <c r="A155" s="19" t="n">
        <v>154</v>
      </c>
      <c r="B155" s="30" t="s">
        <v>1072</v>
      </c>
      <c r="C155" s="44" t="n">
        <v>45602</v>
      </c>
      <c r="D155" s="30" t="s">
        <v>1337</v>
      </c>
      <c r="E155" s="30" t="s">
        <v>113</v>
      </c>
      <c r="F155" s="30" t="s">
        <v>121</v>
      </c>
      <c r="G155" s="31" t="n">
        <v>829</v>
      </c>
      <c r="H155" s="19" t="n">
        <v>1</v>
      </c>
      <c r="I155" s="32" t="n">
        <v>0.1</v>
      </c>
      <c r="J155" s="30" t="s">
        <v>52</v>
      </c>
      <c r="K155" s="30" t="s">
        <v>47</v>
      </c>
      <c r="L155" s="30" t="s">
        <v>89</v>
      </c>
      <c r="M155" s="31" t="n">
        <f aca="false">AVERAGEIF($E$2:$E$1197,E155,$G$2:$G$1197)</f>
        <v>545.358823529412</v>
      </c>
      <c r="N155" s="19" t="str">
        <f aca="false">IF(G155&gt;M155*3,"نعم","لا")</f>
        <v>لا</v>
      </c>
      <c r="O155" s="19" t="str">
        <f aca="false">IF(OR(C155="",ISNUMBER(C155)),"لا","نعم")</f>
        <v>لا</v>
      </c>
      <c r="P155" s="19" t="str">
        <f aca="false">IF(COUNTIF($B$2:B155,B155)&gt;1,"مكرر","فريد")</f>
        <v>فريد</v>
      </c>
      <c r="Q155" s="19" t="str">
        <f aca="false">IF(COUNTBLANK(D155:L155)&gt;0,"نعم","لا")</f>
        <v>لا</v>
      </c>
    </row>
    <row r="156" customFormat="false" ht="15" hidden="false" customHeight="false" outlineLevel="0" collapsed="false">
      <c r="A156" s="19" t="n">
        <v>155</v>
      </c>
      <c r="B156" s="30" t="s">
        <v>1367</v>
      </c>
      <c r="C156" s="44" t="n">
        <v>45555</v>
      </c>
      <c r="D156" s="30"/>
      <c r="E156" s="30" t="s">
        <v>109</v>
      </c>
      <c r="F156" s="30" t="s">
        <v>171</v>
      </c>
      <c r="G156" s="31" t="n">
        <v>329</v>
      </c>
      <c r="H156" s="19" t="n">
        <v>1</v>
      </c>
      <c r="I156" s="32" t="n">
        <v>0</v>
      </c>
      <c r="J156" s="30" t="s">
        <v>48</v>
      </c>
      <c r="K156" s="30" t="s">
        <v>51</v>
      </c>
      <c r="L156" s="30" t="s">
        <v>94</v>
      </c>
      <c r="M156" s="31" t="n">
        <f aca="false">AVERAGEIF($E$2:$E$1197,E156,$G$2:$G$1197)</f>
        <v>186.056291390729</v>
      </c>
      <c r="N156" s="19" t="str">
        <f aca="false">IF(G156&gt;M156*3,"نعم","لا")</f>
        <v>لا</v>
      </c>
      <c r="O156" s="19" t="str">
        <f aca="false">IF(OR(C156="",ISNUMBER(C156)),"لا","نعم")</f>
        <v>لا</v>
      </c>
      <c r="P156" s="19" t="str">
        <f aca="false">IF(COUNTIF($B$2:B156,B156)&gt;1,"مكرر","فريد")</f>
        <v>فريد</v>
      </c>
      <c r="Q156" s="19" t="str">
        <f aca="false">IF(COUNTBLANK(D156:L156)&gt;0,"نعم","لا")</f>
        <v>نعم</v>
      </c>
    </row>
    <row r="157" customFormat="false" ht="15" hidden="false" customHeight="false" outlineLevel="0" collapsed="false">
      <c r="A157" s="19" t="n">
        <v>156</v>
      </c>
      <c r="B157" s="30" t="s">
        <v>492</v>
      </c>
      <c r="C157" s="44" t="n">
        <v>45410</v>
      </c>
      <c r="D157" s="30" t="s">
        <v>54</v>
      </c>
      <c r="E157" s="30" t="s">
        <v>113</v>
      </c>
      <c r="F157" s="30" t="s">
        <v>121</v>
      </c>
      <c r="G157" s="31" t="n">
        <v>99</v>
      </c>
      <c r="H157" s="19" t="n">
        <v>4</v>
      </c>
      <c r="I157" s="32" t="n">
        <v>0.05</v>
      </c>
      <c r="J157" s="30" t="s">
        <v>52</v>
      </c>
      <c r="K157" s="30" t="s">
        <v>51</v>
      </c>
      <c r="L157" s="30" t="s">
        <v>86</v>
      </c>
      <c r="M157" s="31" t="n">
        <f aca="false">AVERAGEIF($E$2:$E$1197,E157,$G$2:$G$1197)</f>
        <v>545.358823529412</v>
      </c>
      <c r="N157" s="19" t="str">
        <f aca="false">IF(G157&gt;M157*3,"نعم","لا")</f>
        <v>لا</v>
      </c>
      <c r="O157" s="19" t="str">
        <f aca="false">IF(OR(C157="",ISNUMBER(C157)),"لا","نعم")</f>
        <v>لا</v>
      </c>
      <c r="P157" s="19" t="str">
        <f aca="false">IF(COUNTIF($B$2:B157,B157)&gt;1,"مكرر","فريد")</f>
        <v>فريد</v>
      </c>
      <c r="Q157" s="19" t="str">
        <f aca="false">IF(COUNTBLANK(D157:L157)&gt;0,"نعم","لا")</f>
        <v>لا</v>
      </c>
    </row>
    <row r="158" customFormat="false" ht="15" hidden="false" customHeight="false" outlineLevel="0" collapsed="false">
      <c r="A158" s="19" t="n">
        <v>157</v>
      </c>
      <c r="B158" s="30" t="s">
        <v>397</v>
      </c>
      <c r="C158" s="44" t="n">
        <v>45376</v>
      </c>
      <c r="D158" s="30" t="s">
        <v>50</v>
      </c>
      <c r="E158" s="30" t="s">
        <v>109</v>
      </c>
      <c r="F158" s="30" t="s">
        <v>93</v>
      </c>
      <c r="G158" s="31" t="n">
        <v>229</v>
      </c>
      <c r="H158" s="19" t="n">
        <v>1</v>
      </c>
      <c r="I158" s="32" t="n">
        <v>0.1</v>
      </c>
      <c r="J158" s="30" t="s">
        <v>48</v>
      </c>
      <c r="K158" s="30" t="s">
        <v>47</v>
      </c>
      <c r="L158" s="30" t="s">
        <v>84</v>
      </c>
      <c r="M158" s="31" t="n">
        <f aca="false">AVERAGEIF($E$2:$E$1197,E158,$G$2:$G$1197)</f>
        <v>186.056291390729</v>
      </c>
      <c r="N158" s="19" t="str">
        <f aca="false">IF(G158&gt;M158*3,"نعم","لا")</f>
        <v>لا</v>
      </c>
      <c r="O158" s="19" t="str">
        <f aca="false">IF(OR(C158="",ISNUMBER(C158)),"لا","نعم")</f>
        <v>لا</v>
      </c>
      <c r="P158" s="19" t="str">
        <f aca="false">IF(COUNTIF($B$2:B158,B158)&gt;1,"مكرر","فريد")</f>
        <v>فريد</v>
      </c>
      <c r="Q158" s="19" t="str">
        <f aca="false">IF(COUNTBLANK(D158:L158)&gt;0,"نعم","لا")</f>
        <v>لا</v>
      </c>
    </row>
    <row r="159" customFormat="false" ht="15" hidden="false" customHeight="false" outlineLevel="0" collapsed="false">
      <c r="A159" s="19" t="n">
        <v>158</v>
      </c>
      <c r="B159" s="30" t="s">
        <v>329</v>
      </c>
      <c r="C159" s="44" t="n">
        <v>45354</v>
      </c>
      <c r="D159" s="30" t="s">
        <v>46</v>
      </c>
      <c r="E159" s="30" t="s">
        <v>105</v>
      </c>
      <c r="F159" s="30" t="s">
        <v>79</v>
      </c>
      <c r="G159" s="31" t="n">
        <v>4029</v>
      </c>
      <c r="H159" s="19" t="n">
        <v>1</v>
      </c>
      <c r="I159" s="32" t="n">
        <v>0.1</v>
      </c>
      <c r="J159" s="30" t="s">
        <v>48</v>
      </c>
      <c r="K159" s="30" t="s">
        <v>47</v>
      </c>
      <c r="L159" s="30" t="s">
        <v>78</v>
      </c>
      <c r="M159" s="31" t="n">
        <f aca="false">AVERAGEIF($E$2:$E$1197,E159,$G$2:$G$1197)</f>
        <v>2870.26771653543</v>
      </c>
      <c r="N159" s="19" t="str">
        <f aca="false">IF(G159&gt;M159*3,"نعم","لا")</f>
        <v>لا</v>
      </c>
      <c r="O159" s="19" t="str">
        <f aca="false">IF(OR(C159="",ISNUMBER(C159)),"لا","نعم")</f>
        <v>لا</v>
      </c>
      <c r="P159" s="19" t="str">
        <f aca="false">IF(COUNTIF($B$2:B159,B159)&gt;1,"مكرر","فريد")</f>
        <v>فريد</v>
      </c>
      <c r="Q159" s="19" t="str">
        <f aca="false">IF(COUNTBLANK(D159:L159)&gt;0,"نعم","لا")</f>
        <v>لا</v>
      </c>
    </row>
    <row r="160" customFormat="false" ht="15" hidden="false" customHeight="false" outlineLevel="0" collapsed="false">
      <c r="A160" s="19" t="n">
        <v>159</v>
      </c>
      <c r="B160" s="30" t="s">
        <v>345</v>
      </c>
      <c r="C160" s="44" t="n">
        <v>45358</v>
      </c>
      <c r="D160" s="30" t="s">
        <v>50</v>
      </c>
      <c r="E160" s="30" t="s">
        <v>107</v>
      </c>
      <c r="F160" s="30" t="s">
        <v>272</v>
      </c>
      <c r="G160" s="31" t="n">
        <v>5199</v>
      </c>
      <c r="H160" s="19" t="n">
        <v>5</v>
      </c>
      <c r="I160" s="32" t="n">
        <v>0</v>
      </c>
      <c r="J160" s="30"/>
      <c r="K160" s="30" t="s">
        <v>51</v>
      </c>
      <c r="L160" s="30" t="s">
        <v>84</v>
      </c>
      <c r="M160" s="31" t="n">
        <f aca="false">AVERAGEIF($E$2:$E$1197,E160,$G$2:$G$1197)</f>
        <v>4981.14563106796</v>
      </c>
      <c r="N160" s="19" t="str">
        <f aca="false">IF(G160&gt;M160*3,"نعم","لا")</f>
        <v>لا</v>
      </c>
      <c r="O160" s="19" t="str">
        <f aca="false">IF(OR(C160="",ISNUMBER(C160)),"لا","نعم")</f>
        <v>لا</v>
      </c>
      <c r="P160" s="19" t="str">
        <f aca="false">IF(COUNTIF($B$2:B160,B160)&gt;1,"مكرر","فريد")</f>
        <v>فريد</v>
      </c>
      <c r="Q160" s="19" t="str">
        <f aca="false">IF(COUNTBLANK(D160:L160)&gt;0,"نعم","لا")</f>
        <v>نعم</v>
      </c>
    </row>
    <row r="161" customFormat="false" ht="15" hidden="false" customHeight="false" outlineLevel="0" collapsed="false">
      <c r="A161" s="19" t="n">
        <v>160</v>
      </c>
      <c r="B161" s="30" t="s">
        <v>1368</v>
      </c>
      <c r="C161" s="30" t="s">
        <v>1369</v>
      </c>
      <c r="D161" s="30" t="s">
        <v>54</v>
      </c>
      <c r="E161" s="30" t="s">
        <v>109</v>
      </c>
      <c r="F161" s="30" t="s">
        <v>1366</v>
      </c>
      <c r="G161" s="31" t="n">
        <v>29</v>
      </c>
      <c r="H161" s="19" t="n">
        <v>1</v>
      </c>
      <c r="I161" s="32" t="n">
        <v>0.2</v>
      </c>
      <c r="J161" s="30" t="s">
        <v>48</v>
      </c>
      <c r="K161" s="30" t="s">
        <v>47</v>
      </c>
      <c r="L161" s="30" t="s">
        <v>99</v>
      </c>
      <c r="M161" s="31" t="n">
        <f aca="false">AVERAGEIF($E$2:$E$1197,E161,$G$2:$G$1197)</f>
        <v>186.056291390729</v>
      </c>
      <c r="N161" s="19" t="str">
        <f aca="false">IF(G161&gt;M161*3,"نعم","لا")</f>
        <v>لا</v>
      </c>
      <c r="O161" s="19" t="str">
        <f aca="false">IF(OR(C161="",ISNUMBER(C161)),"لا","نعم")</f>
        <v>نعم</v>
      </c>
      <c r="P161" s="19" t="str">
        <f aca="false">IF(COUNTIF($B$2:B161,B161)&gt;1,"مكرر","فريد")</f>
        <v>فريد</v>
      </c>
      <c r="Q161" s="19" t="str">
        <f aca="false">IF(COUNTBLANK(D161:L161)&gt;0,"نعم","لا")</f>
        <v>لا</v>
      </c>
    </row>
    <row r="162" customFormat="false" ht="15" hidden="false" customHeight="false" outlineLevel="0" collapsed="false">
      <c r="A162" s="19" t="n">
        <v>161</v>
      </c>
      <c r="B162" s="30" t="s">
        <v>729</v>
      </c>
      <c r="C162" s="44" t="n">
        <v>45496</v>
      </c>
      <c r="D162" s="30" t="s">
        <v>46</v>
      </c>
      <c r="E162" s="30" t="s">
        <v>107</v>
      </c>
      <c r="F162" s="30" t="s">
        <v>272</v>
      </c>
      <c r="G162" s="31" t="n">
        <v>6689</v>
      </c>
      <c r="H162" s="19" t="n">
        <v>1</v>
      </c>
      <c r="I162" s="32" t="n">
        <v>0</v>
      </c>
      <c r="J162" s="30" t="s">
        <v>48</v>
      </c>
      <c r="K162" s="30" t="s">
        <v>47</v>
      </c>
      <c r="L162" s="30" t="s">
        <v>92</v>
      </c>
      <c r="M162" s="31" t="n">
        <f aca="false">AVERAGEIF($E$2:$E$1197,E162,$G$2:$G$1197)</f>
        <v>4981.14563106796</v>
      </c>
      <c r="N162" s="19" t="str">
        <f aca="false">IF(G162&gt;M162*3,"نعم","لا")</f>
        <v>لا</v>
      </c>
      <c r="O162" s="19" t="str">
        <f aca="false">IF(OR(C162="",ISNUMBER(C162)),"لا","نعم")</f>
        <v>لا</v>
      </c>
      <c r="P162" s="19" t="str">
        <f aca="false">IF(COUNTIF($B$2:B162,B162)&gt;1,"مكرر","فريد")</f>
        <v>فريد</v>
      </c>
      <c r="Q162" s="19" t="str">
        <f aca="false">IF(COUNTBLANK(D162:L162)&gt;0,"نعم","لا")</f>
        <v>لا</v>
      </c>
    </row>
    <row r="163" customFormat="false" ht="15" hidden="false" customHeight="false" outlineLevel="0" collapsed="false">
      <c r="A163" s="19" t="n">
        <v>162</v>
      </c>
      <c r="B163" s="30" t="s">
        <v>1094</v>
      </c>
      <c r="C163" s="44" t="n">
        <v>45606</v>
      </c>
      <c r="D163" s="30" t="s">
        <v>46</v>
      </c>
      <c r="E163" s="30" t="s">
        <v>109</v>
      </c>
      <c r="F163" s="30" t="s">
        <v>175</v>
      </c>
      <c r="G163" s="31" t="n">
        <v>159</v>
      </c>
      <c r="H163" s="19" t="n">
        <v>1</v>
      </c>
      <c r="I163" s="32" t="n">
        <v>0</v>
      </c>
      <c r="J163" s="30" t="s">
        <v>58</v>
      </c>
      <c r="K163" s="30" t="s">
        <v>47</v>
      </c>
      <c r="L163" s="30" t="s">
        <v>94</v>
      </c>
      <c r="M163" s="31" t="n">
        <f aca="false">AVERAGEIF($E$2:$E$1197,E163,$G$2:$G$1197)</f>
        <v>186.056291390729</v>
      </c>
      <c r="N163" s="19" t="str">
        <f aca="false">IF(G163&gt;M163*3,"نعم","لا")</f>
        <v>لا</v>
      </c>
      <c r="O163" s="19" t="str">
        <f aca="false">IF(OR(C163="",ISNUMBER(C163)),"لا","نعم")</f>
        <v>لا</v>
      </c>
      <c r="P163" s="19" t="str">
        <f aca="false">IF(COUNTIF($B$2:B163,B163)&gt;1,"مكرر","فريد")</f>
        <v>فريد</v>
      </c>
      <c r="Q163" s="19" t="str">
        <f aca="false">IF(COUNTBLANK(D163:L163)&gt;0,"نعم","لا")</f>
        <v>لا</v>
      </c>
    </row>
    <row r="164" customFormat="false" ht="15" hidden="false" customHeight="false" outlineLevel="0" collapsed="false">
      <c r="A164" s="19" t="n">
        <v>163</v>
      </c>
      <c r="B164" s="30" t="s">
        <v>387</v>
      </c>
      <c r="C164" s="44" t="n">
        <v>45372</v>
      </c>
      <c r="D164" s="30" t="s">
        <v>46</v>
      </c>
      <c r="E164" s="30" t="s">
        <v>113</v>
      </c>
      <c r="F164" s="30" t="s">
        <v>121</v>
      </c>
      <c r="G164" s="31" t="n">
        <v>539</v>
      </c>
      <c r="H164" s="19" t="n">
        <v>4</v>
      </c>
      <c r="I164" s="32" t="n">
        <v>0.1</v>
      </c>
      <c r="J164" s="30" t="s">
        <v>52</v>
      </c>
      <c r="K164" s="30" t="s">
        <v>51</v>
      </c>
      <c r="L164" s="30" t="s">
        <v>89</v>
      </c>
      <c r="M164" s="31" t="n">
        <f aca="false">AVERAGEIF($E$2:$E$1197,E164,$G$2:$G$1197)</f>
        <v>545.358823529412</v>
      </c>
      <c r="N164" s="19" t="str">
        <f aca="false">IF(G164&gt;M164*3,"نعم","لا")</f>
        <v>لا</v>
      </c>
      <c r="O164" s="19" t="str">
        <f aca="false">IF(OR(C164="",ISNUMBER(C164)),"لا","نعم")</f>
        <v>لا</v>
      </c>
      <c r="P164" s="19" t="str">
        <f aca="false">IF(COUNTIF($B$2:B164,B164)&gt;1,"مكرر","فريد")</f>
        <v>فريد</v>
      </c>
      <c r="Q164" s="19" t="str">
        <f aca="false">IF(COUNTBLANK(D164:L164)&gt;0,"نعم","لا")</f>
        <v>لا</v>
      </c>
    </row>
    <row r="165" customFormat="false" ht="15" hidden="false" customHeight="false" outlineLevel="0" collapsed="false">
      <c r="A165" s="19" t="n">
        <v>164</v>
      </c>
      <c r="B165" s="30" t="s">
        <v>746</v>
      </c>
      <c r="C165" s="44" t="n">
        <v>45500</v>
      </c>
      <c r="D165" s="30" t="s">
        <v>1370</v>
      </c>
      <c r="E165" s="30" t="s">
        <v>107</v>
      </c>
      <c r="F165" s="30" t="s">
        <v>115</v>
      </c>
      <c r="G165" s="31" t="n">
        <v>5459</v>
      </c>
      <c r="H165" s="19" t="n">
        <v>1</v>
      </c>
      <c r="I165" s="32" t="n">
        <v>0.1</v>
      </c>
      <c r="J165" s="30" t="s">
        <v>48</v>
      </c>
      <c r="K165" s="30" t="s">
        <v>47</v>
      </c>
      <c r="L165" s="30" t="s">
        <v>94</v>
      </c>
      <c r="M165" s="31" t="n">
        <f aca="false">AVERAGEIF($E$2:$E$1197,E165,$G$2:$G$1197)</f>
        <v>4981.14563106796</v>
      </c>
      <c r="N165" s="19" t="str">
        <f aca="false">IF(G165&gt;M165*3,"نعم","لا")</f>
        <v>لا</v>
      </c>
      <c r="O165" s="19" t="str">
        <f aca="false">IF(OR(C165="",ISNUMBER(C165)),"لا","نعم")</f>
        <v>لا</v>
      </c>
      <c r="P165" s="19" t="str">
        <f aca="false">IF(COUNTIF($B$2:B165,B165)&gt;1,"مكرر","فريد")</f>
        <v>فريد</v>
      </c>
      <c r="Q165" s="19" t="str">
        <f aca="false">IF(COUNTBLANK(D165:L165)&gt;0,"نعم","لا")</f>
        <v>لا</v>
      </c>
    </row>
    <row r="166" customFormat="false" ht="15" hidden="false" customHeight="false" outlineLevel="0" collapsed="false">
      <c r="A166" s="19" t="n">
        <v>165</v>
      </c>
      <c r="B166" s="30" t="s">
        <v>660</v>
      </c>
      <c r="C166" s="44" t="n">
        <v>45472</v>
      </c>
      <c r="D166" s="30" t="s">
        <v>46</v>
      </c>
      <c r="E166" s="30" t="s">
        <v>113</v>
      </c>
      <c r="F166" s="30" t="s">
        <v>121</v>
      </c>
      <c r="G166" s="31" t="n">
        <v>499</v>
      </c>
      <c r="H166" s="19" t="n">
        <v>1</v>
      </c>
      <c r="I166" s="32" t="n">
        <v>0.05</v>
      </c>
      <c r="J166" s="30" t="s">
        <v>48</v>
      </c>
      <c r="K166" s="30" t="s">
        <v>47</v>
      </c>
      <c r="L166" s="30" t="s">
        <v>94</v>
      </c>
      <c r="M166" s="31" t="n">
        <f aca="false">AVERAGEIF($E$2:$E$1197,E166,$G$2:$G$1197)</f>
        <v>545.358823529412</v>
      </c>
      <c r="N166" s="19" t="str">
        <f aca="false">IF(G166&gt;M166*3,"نعم","لا")</f>
        <v>لا</v>
      </c>
      <c r="O166" s="19" t="str">
        <f aca="false">IF(OR(C166="",ISNUMBER(C166)),"لا","نعم")</f>
        <v>لا</v>
      </c>
      <c r="P166" s="19" t="str">
        <f aca="false">IF(COUNTIF($B$2:B166,B166)&gt;1,"مكرر","فريد")</f>
        <v>فريد</v>
      </c>
      <c r="Q166" s="19" t="str">
        <f aca="false">IF(COUNTBLANK(D166:L166)&gt;0,"نعم","لا")</f>
        <v>لا</v>
      </c>
    </row>
    <row r="167" customFormat="false" ht="15" hidden="false" customHeight="false" outlineLevel="0" collapsed="false">
      <c r="A167" s="19" t="n">
        <v>166</v>
      </c>
      <c r="B167" s="30" t="s">
        <v>267</v>
      </c>
      <c r="C167" s="44" t="n">
        <v>45328</v>
      </c>
      <c r="D167" s="30" t="s">
        <v>46</v>
      </c>
      <c r="E167" s="30" t="s">
        <v>105</v>
      </c>
      <c r="F167" s="30" t="s">
        <v>90</v>
      </c>
      <c r="G167" s="31" t="n">
        <v>4099</v>
      </c>
      <c r="H167" s="19" t="n">
        <v>1</v>
      </c>
      <c r="I167" s="32" t="n">
        <v>0</v>
      </c>
      <c r="J167" s="30" t="s">
        <v>48</v>
      </c>
      <c r="K167" s="30" t="s">
        <v>47</v>
      </c>
      <c r="L167" s="30" t="s">
        <v>78</v>
      </c>
      <c r="M167" s="31" t="n">
        <f aca="false">AVERAGEIF($E$2:$E$1197,E167,$G$2:$G$1197)</f>
        <v>2870.26771653543</v>
      </c>
      <c r="N167" s="19" t="str">
        <f aca="false">IF(G167&gt;M167*3,"نعم","لا")</f>
        <v>لا</v>
      </c>
      <c r="O167" s="19" t="str">
        <f aca="false">IF(OR(C167="",ISNUMBER(C167)),"لا","نعم")</f>
        <v>لا</v>
      </c>
      <c r="P167" s="19" t="str">
        <f aca="false">IF(COUNTIF($B$2:B167,B167)&gt;1,"مكرر","فريد")</f>
        <v>فريد</v>
      </c>
      <c r="Q167" s="19" t="str">
        <f aca="false">IF(COUNTBLANK(D167:L167)&gt;0,"نعم","لا")</f>
        <v>لا</v>
      </c>
    </row>
    <row r="168" customFormat="false" ht="15" hidden="false" customHeight="false" outlineLevel="0" collapsed="false">
      <c r="A168" s="19" t="n">
        <v>167</v>
      </c>
      <c r="B168" s="30" t="s">
        <v>590</v>
      </c>
      <c r="C168" s="44" t="n">
        <v>45447</v>
      </c>
      <c r="D168" s="30" t="s">
        <v>46</v>
      </c>
      <c r="E168" s="30" t="s">
        <v>107</v>
      </c>
      <c r="F168" s="30" t="s">
        <v>115</v>
      </c>
      <c r="G168" s="31" t="n">
        <v>2069</v>
      </c>
      <c r="H168" s="19" t="n">
        <v>6</v>
      </c>
      <c r="I168" s="32" t="n">
        <v>0.05</v>
      </c>
      <c r="J168" s="30" t="s">
        <v>48</v>
      </c>
      <c r="K168" s="30" t="s">
        <v>51</v>
      </c>
      <c r="L168" s="30" t="s">
        <v>92</v>
      </c>
      <c r="M168" s="31" t="n">
        <f aca="false">AVERAGEIF($E$2:$E$1197,E168,$G$2:$G$1197)</f>
        <v>4981.14563106796</v>
      </c>
      <c r="N168" s="19" t="str">
        <f aca="false">IF(G168&gt;M168*3,"نعم","لا")</f>
        <v>لا</v>
      </c>
      <c r="O168" s="19" t="str">
        <f aca="false">IF(OR(C168="",ISNUMBER(C168)),"لا","نعم")</f>
        <v>لا</v>
      </c>
      <c r="P168" s="19" t="str">
        <f aca="false">IF(COUNTIF($B$2:B168,B168)&gt;1,"مكرر","فريد")</f>
        <v>فريد</v>
      </c>
      <c r="Q168" s="19" t="str">
        <f aca="false">IF(COUNTBLANK(D168:L168)&gt;0,"نعم","لا")</f>
        <v>لا</v>
      </c>
    </row>
    <row r="169" customFormat="false" ht="15" hidden="false" customHeight="false" outlineLevel="0" collapsed="false">
      <c r="A169" s="19" t="n">
        <v>168</v>
      </c>
      <c r="B169" s="30" t="s">
        <v>960</v>
      </c>
      <c r="C169" s="44" t="n">
        <v>45567</v>
      </c>
      <c r="D169" s="30" t="s">
        <v>60</v>
      </c>
      <c r="E169" s="30" t="s">
        <v>109</v>
      </c>
      <c r="F169" s="30" t="s">
        <v>93</v>
      </c>
      <c r="G169" s="31" t="n">
        <v>109</v>
      </c>
      <c r="H169" s="19" t="n">
        <v>1</v>
      </c>
      <c r="I169" s="32" t="n">
        <v>0</v>
      </c>
      <c r="J169" s="30" t="s">
        <v>52</v>
      </c>
      <c r="K169" s="30" t="s">
        <v>47</v>
      </c>
      <c r="L169" s="30" t="s">
        <v>81</v>
      </c>
      <c r="M169" s="31" t="n">
        <f aca="false">AVERAGEIF($E$2:$E$1197,E169,$G$2:$G$1197)</f>
        <v>186.056291390729</v>
      </c>
      <c r="N169" s="19" t="str">
        <f aca="false">IF(G169&gt;M169*3,"نعم","لا")</f>
        <v>لا</v>
      </c>
      <c r="O169" s="19" t="str">
        <f aca="false">IF(OR(C169="",ISNUMBER(C169)),"لا","نعم")</f>
        <v>لا</v>
      </c>
      <c r="P169" s="19" t="str">
        <f aca="false">IF(COUNTIF($B$2:B169,B169)&gt;1,"مكرر","فريد")</f>
        <v>فريد</v>
      </c>
      <c r="Q169" s="19" t="str">
        <f aca="false">IF(COUNTBLANK(D169:L169)&gt;0,"نعم","لا")</f>
        <v>لا</v>
      </c>
    </row>
    <row r="170" customFormat="false" ht="15" hidden="false" customHeight="false" outlineLevel="0" collapsed="false">
      <c r="A170" s="19" t="n">
        <v>169</v>
      </c>
      <c r="B170" s="30" t="s">
        <v>203</v>
      </c>
      <c r="C170" s="44" t="n">
        <v>45304</v>
      </c>
      <c r="D170" s="30" t="s">
        <v>46</v>
      </c>
      <c r="E170" s="30" t="s">
        <v>105</v>
      </c>
      <c r="F170" s="30" t="s">
        <v>82</v>
      </c>
      <c r="G170" s="31" t="n">
        <v>2329</v>
      </c>
      <c r="H170" s="19" t="n">
        <v>1</v>
      </c>
      <c r="I170" s="32" t="n">
        <v>0.15</v>
      </c>
      <c r="J170" s="30" t="s">
        <v>55</v>
      </c>
      <c r="K170" s="30" t="s">
        <v>47</v>
      </c>
      <c r="L170" s="30" t="s">
        <v>96</v>
      </c>
      <c r="M170" s="31" t="n">
        <f aca="false">AVERAGEIF($E$2:$E$1197,E170,$G$2:$G$1197)</f>
        <v>2870.26771653543</v>
      </c>
      <c r="N170" s="19" t="str">
        <f aca="false">IF(G170&gt;M170*3,"نعم","لا")</f>
        <v>لا</v>
      </c>
      <c r="O170" s="19" t="str">
        <f aca="false">IF(OR(C170="",ISNUMBER(C170)),"لا","نعم")</f>
        <v>لا</v>
      </c>
      <c r="P170" s="19" t="str">
        <f aca="false">IF(COUNTIF($B$2:B170,B170)&gt;1,"مكرر","فريد")</f>
        <v>فريد</v>
      </c>
      <c r="Q170" s="19" t="str">
        <f aca="false">IF(COUNTBLANK(D170:L170)&gt;0,"نعم","لا")</f>
        <v>لا</v>
      </c>
    </row>
    <row r="171" customFormat="false" ht="15" hidden="false" customHeight="false" outlineLevel="0" collapsed="false">
      <c r="A171" s="19" t="n">
        <v>170</v>
      </c>
      <c r="B171" s="30" t="s">
        <v>735</v>
      </c>
      <c r="C171" s="44" t="n">
        <v>45497</v>
      </c>
      <c r="D171" s="30" t="s">
        <v>50</v>
      </c>
      <c r="E171" s="30" t="s">
        <v>109</v>
      </c>
      <c r="F171" s="30" t="s">
        <v>171</v>
      </c>
      <c r="G171" s="31" t="n">
        <v>79</v>
      </c>
      <c r="H171" s="19" t="n">
        <v>3</v>
      </c>
      <c r="I171" s="32" t="n">
        <v>0</v>
      </c>
      <c r="J171" s="30" t="s">
        <v>52</v>
      </c>
      <c r="K171" s="30" t="s">
        <v>47</v>
      </c>
      <c r="L171" s="30" t="s">
        <v>94</v>
      </c>
      <c r="M171" s="31" t="n">
        <f aca="false">AVERAGEIF($E$2:$E$1197,E171,$G$2:$G$1197)</f>
        <v>186.056291390729</v>
      </c>
      <c r="N171" s="19" t="str">
        <f aca="false">IF(G171&gt;M171*3,"نعم","لا")</f>
        <v>لا</v>
      </c>
      <c r="O171" s="19" t="str">
        <f aca="false">IF(OR(C171="",ISNUMBER(C171)),"لا","نعم")</f>
        <v>لا</v>
      </c>
      <c r="P171" s="19" t="str">
        <f aca="false">IF(COUNTIF($B$2:B171,B171)&gt;1,"مكرر","فريد")</f>
        <v>فريد</v>
      </c>
      <c r="Q171" s="19" t="str">
        <f aca="false">IF(COUNTBLANK(D171:L171)&gt;0,"نعم","لا")</f>
        <v>لا</v>
      </c>
    </row>
    <row r="172" customFormat="false" ht="15" hidden="false" customHeight="false" outlineLevel="0" collapsed="false">
      <c r="A172" s="19" t="n">
        <v>171</v>
      </c>
      <c r="B172" s="30" t="s">
        <v>994</v>
      </c>
      <c r="C172" s="44" t="n">
        <v>45580</v>
      </c>
      <c r="D172" s="30" t="s">
        <v>54</v>
      </c>
      <c r="E172" s="30" t="s">
        <v>105</v>
      </c>
      <c r="F172" s="30" t="s">
        <v>79</v>
      </c>
      <c r="G172" s="31" t="n">
        <v>3889</v>
      </c>
      <c r="H172" s="19" t="n">
        <v>1</v>
      </c>
      <c r="I172" s="32" t="n">
        <v>0</v>
      </c>
      <c r="J172" s="30" t="s">
        <v>48</v>
      </c>
      <c r="K172" s="30" t="s">
        <v>47</v>
      </c>
      <c r="L172" s="30" t="s">
        <v>84</v>
      </c>
      <c r="M172" s="31" t="n">
        <f aca="false">AVERAGEIF($E$2:$E$1197,E172,$G$2:$G$1197)</f>
        <v>2870.26771653543</v>
      </c>
      <c r="N172" s="19" t="str">
        <f aca="false">IF(G172&gt;M172*3,"نعم","لا")</f>
        <v>لا</v>
      </c>
      <c r="O172" s="19" t="str">
        <f aca="false">IF(OR(C172="",ISNUMBER(C172)),"لا","نعم")</f>
        <v>لا</v>
      </c>
      <c r="P172" s="19" t="str">
        <f aca="false">IF(COUNTIF($B$2:B172,B172)&gt;1,"مكرر","فريد")</f>
        <v>فريد</v>
      </c>
      <c r="Q172" s="19" t="str">
        <f aca="false">IF(COUNTBLANK(D172:L172)&gt;0,"نعم","لا")</f>
        <v>لا</v>
      </c>
    </row>
    <row r="173" customFormat="false" ht="15" hidden="false" customHeight="false" outlineLevel="0" collapsed="false">
      <c r="A173" s="19" t="n">
        <v>172</v>
      </c>
      <c r="B173" s="30" t="s">
        <v>1200</v>
      </c>
      <c r="C173" s="30" t="s">
        <v>1371</v>
      </c>
      <c r="D173" s="30" t="s">
        <v>46</v>
      </c>
      <c r="E173" s="30" t="s">
        <v>109</v>
      </c>
      <c r="F173" s="30" t="s">
        <v>93</v>
      </c>
      <c r="G173" s="31" t="n">
        <v>159</v>
      </c>
      <c r="H173" s="19" t="n">
        <v>1</v>
      </c>
      <c r="I173" s="32" t="n">
        <v>0</v>
      </c>
      <c r="J173" s="30" t="s">
        <v>52</v>
      </c>
      <c r="K173" s="30" t="s">
        <v>47</v>
      </c>
      <c r="L173" s="30" t="s">
        <v>92</v>
      </c>
      <c r="M173" s="31" t="n">
        <f aca="false">AVERAGEIF($E$2:$E$1197,E173,$G$2:$G$1197)</f>
        <v>186.056291390729</v>
      </c>
      <c r="N173" s="19" t="str">
        <f aca="false">IF(G173&gt;M173*3,"نعم","لا")</f>
        <v>لا</v>
      </c>
      <c r="O173" s="19" t="str">
        <f aca="false">IF(OR(C173="",ISNUMBER(C173)),"لا","نعم")</f>
        <v>نعم</v>
      </c>
      <c r="P173" s="19" t="str">
        <f aca="false">IF(COUNTIF($B$2:B173,B173)&gt;1,"مكرر","فريد")</f>
        <v>فريد</v>
      </c>
      <c r="Q173" s="19" t="str">
        <f aca="false">IF(COUNTBLANK(D173:L173)&gt;0,"نعم","لا")</f>
        <v>لا</v>
      </c>
    </row>
    <row r="174" customFormat="false" ht="15" hidden="false" customHeight="false" outlineLevel="0" collapsed="false">
      <c r="A174" s="19" t="n">
        <v>173</v>
      </c>
      <c r="B174" s="30" t="s">
        <v>359</v>
      </c>
      <c r="C174" s="44" t="n">
        <v>45364</v>
      </c>
      <c r="D174" s="30" t="s">
        <v>1372</v>
      </c>
      <c r="E174" s="30" t="s">
        <v>105</v>
      </c>
      <c r="F174" s="30" t="s">
        <v>179</v>
      </c>
      <c r="G174" s="31" t="n">
        <v>4269</v>
      </c>
      <c r="H174" s="19" t="n">
        <v>10</v>
      </c>
      <c r="I174" s="32" t="n">
        <v>0</v>
      </c>
      <c r="J174" s="30" t="s">
        <v>58</v>
      </c>
      <c r="K174" s="30" t="s">
        <v>51</v>
      </c>
      <c r="L174" s="30" t="s">
        <v>99</v>
      </c>
      <c r="M174" s="31" t="n">
        <f aca="false">AVERAGEIF($E$2:$E$1197,E174,$G$2:$G$1197)</f>
        <v>2870.26771653543</v>
      </c>
      <c r="N174" s="19" t="str">
        <f aca="false">IF(G174&gt;M174*3,"نعم","لا")</f>
        <v>لا</v>
      </c>
      <c r="O174" s="19" t="str">
        <f aca="false">IF(OR(C174="",ISNUMBER(C174)),"لا","نعم")</f>
        <v>لا</v>
      </c>
      <c r="P174" s="19" t="str">
        <f aca="false">IF(COUNTIF($B$2:B174,B174)&gt;1,"مكرر","فريد")</f>
        <v>فريد</v>
      </c>
      <c r="Q174" s="19" t="str">
        <f aca="false">IF(COUNTBLANK(D174:L174)&gt;0,"نعم","لا")</f>
        <v>لا</v>
      </c>
    </row>
    <row r="175" customFormat="false" ht="15" hidden="false" customHeight="false" outlineLevel="0" collapsed="false">
      <c r="A175" s="19" t="n">
        <v>174</v>
      </c>
      <c r="B175" s="30" t="s">
        <v>364</v>
      </c>
      <c r="C175" s="44" t="n">
        <v>45365</v>
      </c>
      <c r="D175" s="30" t="s">
        <v>57</v>
      </c>
      <c r="E175" s="30" t="s">
        <v>111</v>
      </c>
      <c r="F175" s="30" t="s">
        <v>118</v>
      </c>
      <c r="G175" s="31" t="n">
        <v>589</v>
      </c>
      <c r="H175" s="19" t="n">
        <v>1</v>
      </c>
      <c r="I175" s="32" t="n">
        <v>0.1</v>
      </c>
      <c r="J175" s="30" t="s">
        <v>48</v>
      </c>
      <c r="K175" s="30" t="s">
        <v>47</v>
      </c>
      <c r="L175" s="30" t="s">
        <v>81</v>
      </c>
      <c r="M175" s="31" t="n">
        <f aca="false">AVERAGEIF($E$2:$E$1197,E175,$G$2:$G$1197)</f>
        <v>366.306569343066</v>
      </c>
      <c r="N175" s="19" t="str">
        <f aca="false">IF(G175&gt;M175*3,"نعم","لا")</f>
        <v>لا</v>
      </c>
      <c r="O175" s="19" t="str">
        <f aca="false">IF(OR(C175="",ISNUMBER(C175)),"لا","نعم")</f>
        <v>لا</v>
      </c>
      <c r="P175" s="19" t="str">
        <f aca="false">IF(COUNTIF($B$2:B175,B175)&gt;1,"مكرر","فريد")</f>
        <v>فريد</v>
      </c>
      <c r="Q175" s="19" t="str">
        <f aca="false">IF(COUNTBLANK(D175:L175)&gt;0,"نعم","لا")</f>
        <v>لا</v>
      </c>
    </row>
    <row r="176" customFormat="false" ht="15" hidden="false" customHeight="false" outlineLevel="0" collapsed="false">
      <c r="A176" s="19" t="n">
        <v>175</v>
      </c>
      <c r="B176" s="30" t="s">
        <v>507</v>
      </c>
      <c r="C176" s="44" t="n">
        <v>45417</v>
      </c>
      <c r="D176" s="30" t="s">
        <v>46</v>
      </c>
      <c r="E176" s="30" t="s">
        <v>105</v>
      </c>
      <c r="F176" s="30" t="s">
        <v>79</v>
      </c>
      <c r="G176" s="31" t="n">
        <v>2369</v>
      </c>
      <c r="H176" s="19" t="n">
        <v>3</v>
      </c>
      <c r="I176" s="32" t="n">
        <v>0</v>
      </c>
      <c r="J176" s="30" t="s">
        <v>48</v>
      </c>
      <c r="K176" s="30" t="s">
        <v>51</v>
      </c>
      <c r="L176" s="30" t="s">
        <v>89</v>
      </c>
      <c r="M176" s="31" t="n">
        <f aca="false">AVERAGEIF($E$2:$E$1197,E176,$G$2:$G$1197)</f>
        <v>2870.26771653543</v>
      </c>
      <c r="N176" s="19" t="str">
        <f aca="false">IF(G176&gt;M176*3,"نعم","لا")</f>
        <v>لا</v>
      </c>
      <c r="O176" s="19" t="str">
        <f aca="false">IF(OR(C176="",ISNUMBER(C176)),"لا","نعم")</f>
        <v>لا</v>
      </c>
      <c r="P176" s="19" t="str">
        <f aca="false">IF(COUNTIF($B$2:B176,B176)&gt;1,"مكرر","فريد")</f>
        <v>فريد</v>
      </c>
      <c r="Q176" s="19" t="str">
        <f aca="false">IF(COUNTBLANK(D176:L176)&gt;0,"نعم","لا")</f>
        <v>لا</v>
      </c>
    </row>
    <row r="177" customFormat="false" ht="15" hidden="false" customHeight="false" outlineLevel="0" collapsed="false">
      <c r="A177" s="19" t="n">
        <v>176</v>
      </c>
      <c r="B177" s="30" t="s">
        <v>376</v>
      </c>
      <c r="C177" s="44" t="n">
        <v>45368</v>
      </c>
      <c r="D177" s="30" t="s">
        <v>46</v>
      </c>
      <c r="E177" s="30" t="s">
        <v>109</v>
      </c>
      <c r="F177" s="30" t="s">
        <v>192</v>
      </c>
      <c r="G177" s="31" t="n">
        <v>299</v>
      </c>
      <c r="H177" s="19" t="n">
        <v>1</v>
      </c>
      <c r="I177" s="32" t="n">
        <v>0.05</v>
      </c>
      <c r="J177" s="30" t="s">
        <v>55</v>
      </c>
      <c r="K177" s="30" t="s">
        <v>47</v>
      </c>
      <c r="L177" s="30" t="s">
        <v>94</v>
      </c>
      <c r="M177" s="31" t="n">
        <f aca="false">AVERAGEIF($E$2:$E$1197,E177,$G$2:$G$1197)</f>
        <v>186.056291390729</v>
      </c>
      <c r="N177" s="19" t="str">
        <f aca="false">IF(G177&gt;M177*3,"نعم","لا")</f>
        <v>لا</v>
      </c>
      <c r="O177" s="19" t="str">
        <f aca="false">IF(OR(C177="",ISNUMBER(C177)),"لا","نعم")</f>
        <v>لا</v>
      </c>
      <c r="P177" s="19" t="str">
        <f aca="false">IF(COUNTIF($B$2:B177,B177)&gt;1,"مكرر","فريد")</f>
        <v>فريد</v>
      </c>
      <c r="Q177" s="19" t="str">
        <f aca="false">IF(COUNTBLANK(D177:L177)&gt;0,"نعم","لا")</f>
        <v>لا</v>
      </c>
    </row>
    <row r="178" customFormat="false" ht="15" hidden="false" customHeight="false" outlineLevel="0" collapsed="false">
      <c r="A178" s="19" t="n">
        <v>177</v>
      </c>
      <c r="B178" s="30" t="s">
        <v>872</v>
      </c>
      <c r="C178" s="44" t="n">
        <v>45535</v>
      </c>
      <c r="D178" s="30" t="s">
        <v>46</v>
      </c>
      <c r="E178" s="30" t="s">
        <v>109</v>
      </c>
      <c r="F178" s="30" t="s">
        <v>110</v>
      </c>
      <c r="G178" s="31" t="n">
        <v>249</v>
      </c>
      <c r="H178" s="19" t="n">
        <v>2</v>
      </c>
      <c r="I178" s="32" t="n">
        <v>0.15</v>
      </c>
      <c r="J178" s="30" t="s">
        <v>52</v>
      </c>
      <c r="K178" s="30" t="s">
        <v>47</v>
      </c>
      <c r="L178" s="30" t="s">
        <v>89</v>
      </c>
      <c r="M178" s="31" t="n">
        <f aca="false">AVERAGEIF($E$2:$E$1197,E178,$G$2:$G$1197)</f>
        <v>186.056291390729</v>
      </c>
      <c r="N178" s="19" t="str">
        <f aca="false">IF(G178&gt;M178*3,"نعم","لا")</f>
        <v>لا</v>
      </c>
      <c r="O178" s="19" t="str">
        <f aca="false">IF(OR(C178="",ISNUMBER(C178)),"لا","نعم")</f>
        <v>لا</v>
      </c>
      <c r="P178" s="19" t="str">
        <f aca="false">IF(COUNTIF($B$2:B178,B178)&gt;1,"مكرر","فريد")</f>
        <v>فريد</v>
      </c>
      <c r="Q178" s="19" t="str">
        <f aca="false">IF(COUNTBLANK(D178:L178)&gt;0,"نعم","لا")</f>
        <v>لا</v>
      </c>
    </row>
    <row r="179" customFormat="false" ht="15" hidden="false" customHeight="false" outlineLevel="0" collapsed="false">
      <c r="A179" s="19" t="n">
        <v>178</v>
      </c>
      <c r="B179" s="30" t="s">
        <v>259</v>
      </c>
      <c r="C179" s="44" t="n">
        <v>45326</v>
      </c>
      <c r="D179" s="30" t="s">
        <v>50</v>
      </c>
      <c r="E179" s="30" t="s">
        <v>105</v>
      </c>
      <c r="F179" s="30" t="s">
        <v>90</v>
      </c>
      <c r="G179" s="31" t="n">
        <v>2069</v>
      </c>
      <c r="H179" s="19" t="n">
        <v>8</v>
      </c>
      <c r="I179" s="32" t="n">
        <v>0</v>
      </c>
      <c r="J179" s="30" t="s">
        <v>48</v>
      </c>
      <c r="K179" s="30" t="s">
        <v>51</v>
      </c>
      <c r="L179" s="30" t="s">
        <v>81</v>
      </c>
      <c r="M179" s="31" t="n">
        <f aca="false">AVERAGEIF($E$2:$E$1197,E179,$G$2:$G$1197)</f>
        <v>2870.26771653543</v>
      </c>
      <c r="N179" s="19" t="str">
        <f aca="false">IF(G179&gt;M179*3,"نعم","لا")</f>
        <v>لا</v>
      </c>
      <c r="O179" s="19" t="str">
        <f aca="false">IF(OR(C179="",ISNUMBER(C179)),"لا","نعم")</f>
        <v>لا</v>
      </c>
      <c r="P179" s="19" t="str">
        <f aca="false">IF(COUNTIF($B$2:B179,B179)&gt;1,"مكرر","فريد")</f>
        <v>فريد</v>
      </c>
      <c r="Q179" s="19" t="str">
        <f aca="false">IF(COUNTBLANK(D179:L179)&gt;0,"نعم","لا")</f>
        <v>لا</v>
      </c>
    </row>
    <row r="180" customFormat="false" ht="15" hidden="false" customHeight="false" outlineLevel="0" collapsed="false">
      <c r="A180" s="19" t="n">
        <v>179</v>
      </c>
      <c r="B180" s="30" t="s">
        <v>756</v>
      </c>
      <c r="C180" s="44" t="n">
        <v>45505</v>
      </c>
      <c r="D180" s="30" t="s">
        <v>54</v>
      </c>
      <c r="E180" s="30" t="s">
        <v>111</v>
      </c>
      <c r="F180" s="30" t="s">
        <v>122</v>
      </c>
      <c r="G180" s="31" t="n">
        <v>289</v>
      </c>
      <c r="H180" s="19" t="n">
        <v>1</v>
      </c>
      <c r="I180" s="32" t="n">
        <v>0.15</v>
      </c>
      <c r="J180" s="30" t="s">
        <v>48</v>
      </c>
      <c r="K180" s="30" t="s">
        <v>47</v>
      </c>
      <c r="L180" s="30" t="s">
        <v>89</v>
      </c>
      <c r="M180" s="31" t="n">
        <f aca="false">AVERAGEIF($E$2:$E$1197,E180,$G$2:$G$1197)</f>
        <v>366.306569343066</v>
      </c>
      <c r="N180" s="19" t="str">
        <f aca="false">IF(G180&gt;M180*3,"نعم","لا")</f>
        <v>لا</v>
      </c>
      <c r="O180" s="19" t="str">
        <f aca="false">IF(OR(C180="",ISNUMBER(C180)),"لا","نعم")</f>
        <v>لا</v>
      </c>
      <c r="P180" s="19" t="str">
        <f aca="false">IF(COUNTIF($B$2:B180,B180)&gt;1,"مكرر","فريد")</f>
        <v>فريد</v>
      </c>
      <c r="Q180" s="19" t="str">
        <f aca="false">IF(COUNTBLANK(D180:L180)&gt;0,"نعم","لا")</f>
        <v>لا</v>
      </c>
    </row>
    <row r="181" customFormat="false" ht="15" hidden="false" customHeight="false" outlineLevel="0" collapsed="false">
      <c r="A181" s="19" t="n">
        <v>180</v>
      </c>
      <c r="B181" s="30" t="s">
        <v>380</v>
      </c>
      <c r="C181" s="44" t="n">
        <v>45370</v>
      </c>
      <c r="D181" s="30" t="s">
        <v>57</v>
      </c>
      <c r="E181" s="30" t="s">
        <v>113</v>
      </c>
      <c r="F181" s="30" t="s">
        <v>121</v>
      </c>
      <c r="G181" s="31" t="n">
        <v>849</v>
      </c>
      <c r="H181" s="19" t="n">
        <v>4</v>
      </c>
      <c r="I181" s="32" t="n">
        <v>0.2</v>
      </c>
      <c r="J181" s="30" t="s">
        <v>55</v>
      </c>
      <c r="K181" s="30" t="s">
        <v>51</v>
      </c>
      <c r="L181" s="30" t="s">
        <v>84</v>
      </c>
      <c r="M181" s="31" t="n">
        <f aca="false">AVERAGEIF($E$2:$E$1197,E181,$G$2:$G$1197)</f>
        <v>545.358823529412</v>
      </c>
      <c r="N181" s="19" t="str">
        <f aca="false">IF(G181&gt;M181*3,"نعم","لا")</f>
        <v>لا</v>
      </c>
      <c r="O181" s="19" t="str">
        <f aca="false">IF(OR(C181="",ISNUMBER(C181)),"لا","نعم")</f>
        <v>لا</v>
      </c>
      <c r="P181" s="19" t="str">
        <f aca="false">IF(COUNTIF($B$2:B181,B181)&gt;1,"مكرر","فريد")</f>
        <v>فريد</v>
      </c>
      <c r="Q181" s="19" t="str">
        <f aca="false">IF(COUNTBLANK(D181:L181)&gt;0,"نعم","لا")</f>
        <v>لا</v>
      </c>
    </row>
    <row r="182" customFormat="false" ht="15" hidden="false" customHeight="false" outlineLevel="0" collapsed="false">
      <c r="A182" s="19" t="n">
        <v>181</v>
      </c>
      <c r="B182" s="30" t="s">
        <v>589</v>
      </c>
      <c r="C182" s="44" t="n">
        <v>45447</v>
      </c>
      <c r="D182" s="30" t="s">
        <v>57</v>
      </c>
      <c r="E182" s="30" t="s">
        <v>109</v>
      </c>
      <c r="F182" s="30" t="s">
        <v>110</v>
      </c>
      <c r="G182" s="31" t="n">
        <v>279</v>
      </c>
      <c r="H182" s="19" t="n">
        <v>1</v>
      </c>
      <c r="I182" s="32" t="n">
        <v>0</v>
      </c>
      <c r="J182" s="30" t="s">
        <v>58</v>
      </c>
      <c r="K182" s="30" t="s">
        <v>47</v>
      </c>
      <c r="L182" s="30" t="s">
        <v>96</v>
      </c>
      <c r="M182" s="31" t="n">
        <f aca="false">AVERAGEIF($E$2:$E$1197,E182,$G$2:$G$1197)</f>
        <v>186.056291390729</v>
      </c>
      <c r="N182" s="19" t="str">
        <f aca="false">IF(G182&gt;M182*3,"نعم","لا")</f>
        <v>لا</v>
      </c>
      <c r="O182" s="19" t="str">
        <f aca="false">IF(OR(C182="",ISNUMBER(C182)),"لا","نعم")</f>
        <v>لا</v>
      </c>
      <c r="P182" s="19" t="str">
        <f aca="false">IF(COUNTIF($B$2:B182,B182)&gt;1,"مكرر","فريد")</f>
        <v>فريد</v>
      </c>
      <c r="Q182" s="19" t="str">
        <f aca="false">IF(COUNTBLANK(D182:L182)&gt;0,"نعم","لا")</f>
        <v>لا</v>
      </c>
    </row>
    <row r="183" customFormat="false" ht="15" hidden="false" customHeight="false" outlineLevel="0" collapsed="false">
      <c r="A183" s="19" t="n">
        <v>182</v>
      </c>
      <c r="B183" s="30" t="s">
        <v>1113</v>
      </c>
      <c r="C183" s="30" t="s">
        <v>1373</v>
      </c>
      <c r="D183" s="30" t="s">
        <v>50</v>
      </c>
      <c r="E183" s="30" t="s">
        <v>109</v>
      </c>
      <c r="F183" s="30" t="s">
        <v>93</v>
      </c>
      <c r="G183" s="31" t="n">
        <v>279</v>
      </c>
      <c r="H183" s="19" t="n">
        <v>1</v>
      </c>
      <c r="I183" s="32" t="n">
        <v>0.15</v>
      </c>
      <c r="J183" s="30" t="s">
        <v>52</v>
      </c>
      <c r="K183" s="30" t="s">
        <v>47</v>
      </c>
      <c r="L183" s="30" t="s">
        <v>94</v>
      </c>
      <c r="M183" s="31" t="n">
        <f aca="false">AVERAGEIF($E$2:$E$1197,E183,$G$2:$G$1197)</f>
        <v>186.056291390729</v>
      </c>
      <c r="N183" s="19" t="str">
        <f aca="false">IF(G183&gt;M183*3,"نعم","لا")</f>
        <v>لا</v>
      </c>
      <c r="O183" s="19" t="str">
        <f aca="false">IF(OR(C183="",ISNUMBER(C183)),"لا","نعم")</f>
        <v>نعم</v>
      </c>
      <c r="P183" s="19" t="str">
        <f aca="false">IF(COUNTIF($B$2:B183,B183)&gt;1,"مكرر","فريد")</f>
        <v>فريد</v>
      </c>
      <c r="Q183" s="19" t="str">
        <f aca="false">IF(COUNTBLANK(D183:L183)&gt;0,"نعم","لا")</f>
        <v>لا</v>
      </c>
    </row>
    <row r="184" customFormat="false" ht="15" hidden="false" customHeight="false" outlineLevel="0" collapsed="false">
      <c r="A184" s="19" t="n">
        <v>183</v>
      </c>
      <c r="B184" s="30" t="s">
        <v>1180</v>
      </c>
      <c r="C184" s="44" t="n">
        <v>45625</v>
      </c>
      <c r="D184" s="30" t="s">
        <v>50</v>
      </c>
      <c r="E184" s="30" t="s">
        <v>105</v>
      </c>
      <c r="F184" s="30" t="s">
        <v>179</v>
      </c>
      <c r="G184" s="31" t="n">
        <v>4149</v>
      </c>
      <c r="H184" s="19" t="n">
        <v>1</v>
      </c>
      <c r="I184" s="32" t="n">
        <v>0.2</v>
      </c>
      <c r="J184" s="30" t="s">
        <v>58</v>
      </c>
      <c r="K184" s="30" t="s">
        <v>47</v>
      </c>
      <c r="L184" s="30" t="s">
        <v>96</v>
      </c>
      <c r="M184" s="31" t="n">
        <f aca="false">AVERAGEIF($E$2:$E$1197,E184,$G$2:$G$1197)</f>
        <v>2870.26771653543</v>
      </c>
      <c r="N184" s="19" t="str">
        <f aca="false">IF(G184&gt;M184*3,"نعم","لا")</f>
        <v>لا</v>
      </c>
      <c r="O184" s="19" t="str">
        <f aca="false">IF(OR(C184="",ISNUMBER(C184)),"لا","نعم")</f>
        <v>لا</v>
      </c>
      <c r="P184" s="19" t="str">
        <f aca="false">IF(COUNTIF($B$2:B184,B184)&gt;1,"مكرر","فريد")</f>
        <v>فريد</v>
      </c>
      <c r="Q184" s="19" t="str">
        <f aca="false">IF(COUNTBLANK(D184:L184)&gt;0,"نعم","لا")</f>
        <v>لا</v>
      </c>
    </row>
    <row r="185" customFormat="false" ht="15" hidden="false" customHeight="false" outlineLevel="0" collapsed="false">
      <c r="A185" s="19" t="n">
        <v>184</v>
      </c>
      <c r="B185" s="30" t="s">
        <v>460</v>
      </c>
      <c r="C185" s="44" t="n">
        <v>45393</v>
      </c>
      <c r="D185" s="30" t="s">
        <v>50</v>
      </c>
      <c r="E185" s="30" t="s">
        <v>105</v>
      </c>
      <c r="F185" s="30" t="s">
        <v>85</v>
      </c>
      <c r="G185" s="31" t="n">
        <v>2689</v>
      </c>
      <c r="H185" s="19" t="n">
        <v>1</v>
      </c>
      <c r="I185" s="32" t="n">
        <v>0.05</v>
      </c>
      <c r="J185" s="30" t="s">
        <v>48</v>
      </c>
      <c r="K185" s="30" t="s">
        <v>47</v>
      </c>
      <c r="L185" s="30" t="s">
        <v>84</v>
      </c>
      <c r="M185" s="31" t="n">
        <f aca="false">AVERAGEIF($E$2:$E$1197,E185,$G$2:$G$1197)</f>
        <v>2870.26771653543</v>
      </c>
      <c r="N185" s="19" t="str">
        <f aca="false">IF(G185&gt;M185*3,"نعم","لا")</f>
        <v>لا</v>
      </c>
      <c r="O185" s="19" t="str">
        <f aca="false">IF(OR(C185="",ISNUMBER(C185)),"لا","نعم")</f>
        <v>لا</v>
      </c>
      <c r="P185" s="19" t="str">
        <f aca="false">IF(COUNTIF($B$2:B185,B185)&gt;1,"مكرر","فريد")</f>
        <v>فريد</v>
      </c>
      <c r="Q185" s="19" t="str">
        <f aca="false">IF(COUNTBLANK(D185:L185)&gt;0,"نعم","لا")</f>
        <v>لا</v>
      </c>
    </row>
    <row r="186" customFormat="false" ht="15" hidden="false" customHeight="false" outlineLevel="0" collapsed="false">
      <c r="A186" s="19" t="n">
        <v>185</v>
      </c>
      <c r="B186" s="30" t="s">
        <v>409</v>
      </c>
      <c r="C186" s="44" t="n">
        <v>45378</v>
      </c>
      <c r="D186" s="30" t="s">
        <v>46</v>
      </c>
      <c r="E186" s="30" t="s">
        <v>107</v>
      </c>
      <c r="F186" s="30" t="s">
        <v>272</v>
      </c>
      <c r="G186" s="31" t="n">
        <v>3099</v>
      </c>
      <c r="H186" s="19" t="n">
        <v>1</v>
      </c>
      <c r="I186" s="32" t="n">
        <v>0</v>
      </c>
      <c r="J186" s="30" t="s">
        <v>52</v>
      </c>
      <c r="K186" s="30" t="s">
        <v>47</v>
      </c>
      <c r="L186" s="30" t="s">
        <v>84</v>
      </c>
      <c r="M186" s="31" t="n">
        <f aca="false">AVERAGEIF($E$2:$E$1197,E186,$G$2:$G$1197)</f>
        <v>4981.14563106796</v>
      </c>
      <c r="N186" s="19" t="str">
        <f aca="false">IF(G186&gt;M186*3,"نعم","لا")</f>
        <v>لا</v>
      </c>
      <c r="O186" s="19" t="str">
        <f aca="false">IF(OR(C186="",ISNUMBER(C186)),"لا","نعم")</f>
        <v>لا</v>
      </c>
      <c r="P186" s="19" t="str">
        <f aca="false">IF(COUNTIF($B$2:B186,B186)&gt;1,"مكرر","فريد")</f>
        <v>فريد</v>
      </c>
      <c r="Q186" s="19" t="str">
        <f aca="false">IF(COUNTBLANK(D186:L186)&gt;0,"نعم","لا")</f>
        <v>لا</v>
      </c>
    </row>
    <row r="187" customFormat="false" ht="15" hidden="false" customHeight="false" outlineLevel="0" collapsed="false">
      <c r="A187" s="19" t="n">
        <v>186</v>
      </c>
      <c r="B187" s="30" t="s">
        <v>656</v>
      </c>
      <c r="C187" s="44" t="n">
        <v>45471</v>
      </c>
      <c r="D187" s="30" t="s">
        <v>46</v>
      </c>
      <c r="E187" s="30" t="s">
        <v>109</v>
      </c>
      <c r="F187" s="30" t="s">
        <v>175</v>
      </c>
      <c r="G187" s="31" t="n">
        <v>309</v>
      </c>
      <c r="H187" s="19" t="n">
        <v>2</v>
      </c>
      <c r="I187" s="32" t="n">
        <v>0.05</v>
      </c>
      <c r="J187" s="30" t="s">
        <v>52</v>
      </c>
      <c r="K187" s="30" t="s">
        <v>47</v>
      </c>
      <c r="L187" s="30" t="s">
        <v>76</v>
      </c>
      <c r="M187" s="31" t="n">
        <f aca="false">AVERAGEIF($E$2:$E$1197,E187,$G$2:$G$1197)</f>
        <v>186.056291390729</v>
      </c>
      <c r="N187" s="19" t="str">
        <f aca="false">IF(G187&gt;M187*3,"نعم","لا")</f>
        <v>لا</v>
      </c>
      <c r="O187" s="19" t="str">
        <f aca="false">IF(OR(C187="",ISNUMBER(C187)),"لا","نعم")</f>
        <v>لا</v>
      </c>
      <c r="P187" s="19" t="str">
        <f aca="false">IF(COUNTIF($B$2:B187,B187)&gt;1,"مكرر","فريد")</f>
        <v>فريد</v>
      </c>
      <c r="Q187" s="19" t="str">
        <f aca="false">IF(COUNTBLANK(D187:L187)&gt;0,"نعم","لا")</f>
        <v>لا</v>
      </c>
    </row>
    <row r="188" customFormat="false" ht="15" hidden="false" customHeight="false" outlineLevel="0" collapsed="false">
      <c r="A188" s="19" t="n">
        <v>187</v>
      </c>
      <c r="B188" s="30" t="s">
        <v>693</v>
      </c>
      <c r="C188" s="44" t="n">
        <v>45484</v>
      </c>
      <c r="D188" s="30" t="s">
        <v>46</v>
      </c>
      <c r="E188" s="30" t="s">
        <v>105</v>
      </c>
      <c r="F188" s="30" t="s">
        <v>85</v>
      </c>
      <c r="G188" s="31" t="n">
        <v>3339</v>
      </c>
      <c r="H188" s="19" t="n">
        <v>1</v>
      </c>
      <c r="I188" s="32" t="n">
        <v>0</v>
      </c>
      <c r="J188" s="30" t="s">
        <v>48</v>
      </c>
      <c r="K188" s="30" t="s">
        <v>47</v>
      </c>
      <c r="L188" s="30" t="s">
        <v>96</v>
      </c>
      <c r="M188" s="31" t="n">
        <f aca="false">AVERAGEIF($E$2:$E$1197,E188,$G$2:$G$1197)</f>
        <v>2870.26771653543</v>
      </c>
      <c r="N188" s="19" t="str">
        <f aca="false">IF(G188&gt;M188*3,"نعم","لا")</f>
        <v>لا</v>
      </c>
      <c r="O188" s="19" t="str">
        <f aca="false">IF(OR(C188="",ISNUMBER(C188)),"لا","نعم")</f>
        <v>لا</v>
      </c>
      <c r="P188" s="19" t="str">
        <f aca="false">IF(COUNTIF($B$2:B188,B188)&gt;1,"مكرر","فريد")</f>
        <v>فريد</v>
      </c>
      <c r="Q188" s="19" t="str">
        <f aca="false">IF(COUNTBLANK(D188:L188)&gt;0,"نعم","لا")</f>
        <v>لا</v>
      </c>
    </row>
    <row r="189" customFormat="false" ht="15" hidden="false" customHeight="false" outlineLevel="0" collapsed="false">
      <c r="A189" s="19" t="n">
        <v>188</v>
      </c>
      <c r="B189" s="30" t="s">
        <v>588</v>
      </c>
      <c r="C189" s="44" t="n">
        <v>45446</v>
      </c>
      <c r="D189" s="30" t="s">
        <v>50</v>
      </c>
      <c r="E189" s="30" t="s">
        <v>111</v>
      </c>
      <c r="F189" s="30" t="s">
        <v>108</v>
      </c>
      <c r="G189" s="31" t="n">
        <v>319</v>
      </c>
      <c r="H189" s="19" t="n">
        <v>8</v>
      </c>
      <c r="I189" s="32" t="n">
        <v>0</v>
      </c>
      <c r="J189" s="30" t="s">
        <v>52</v>
      </c>
      <c r="K189" s="30" t="s">
        <v>51</v>
      </c>
      <c r="L189" s="30" t="s">
        <v>86</v>
      </c>
      <c r="M189" s="31" t="n">
        <f aca="false">AVERAGEIF($E$2:$E$1197,E189,$G$2:$G$1197)</f>
        <v>366.306569343066</v>
      </c>
      <c r="N189" s="19" t="str">
        <f aca="false">IF(G189&gt;M189*3,"نعم","لا")</f>
        <v>لا</v>
      </c>
      <c r="O189" s="19" t="str">
        <f aca="false">IF(OR(C189="",ISNUMBER(C189)),"لا","نعم")</f>
        <v>لا</v>
      </c>
      <c r="P189" s="19" t="str">
        <f aca="false">IF(COUNTIF($B$2:B189,B189)&gt;1,"مكرر","فريد")</f>
        <v>فريد</v>
      </c>
      <c r="Q189" s="19" t="str">
        <f aca="false">IF(COUNTBLANK(D189:L189)&gt;0,"نعم","لا")</f>
        <v>لا</v>
      </c>
    </row>
    <row r="190" customFormat="false" ht="15" hidden="false" customHeight="false" outlineLevel="0" collapsed="false">
      <c r="A190" s="19" t="n">
        <v>189</v>
      </c>
      <c r="B190" s="30" t="s">
        <v>1069</v>
      </c>
      <c r="C190" s="44" t="n">
        <v>45601</v>
      </c>
      <c r="D190" s="30" t="s">
        <v>46</v>
      </c>
      <c r="E190" s="30" t="s">
        <v>107</v>
      </c>
      <c r="F190" s="30" t="s">
        <v>184</v>
      </c>
      <c r="G190" s="31" t="n">
        <v>3829</v>
      </c>
      <c r="H190" s="19" t="n">
        <v>3</v>
      </c>
      <c r="I190" s="32" t="n">
        <v>0</v>
      </c>
      <c r="J190" s="30" t="s">
        <v>55</v>
      </c>
      <c r="K190" s="30" t="s">
        <v>51</v>
      </c>
      <c r="L190" s="30" t="s">
        <v>99</v>
      </c>
      <c r="M190" s="31" t="n">
        <f aca="false">AVERAGEIF($E$2:$E$1197,E190,$G$2:$G$1197)</f>
        <v>4981.14563106796</v>
      </c>
      <c r="N190" s="19" t="str">
        <f aca="false">IF(G190&gt;M190*3,"نعم","لا")</f>
        <v>لا</v>
      </c>
      <c r="O190" s="19" t="str">
        <f aca="false">IF(OR(C190="",ISNUMBER(C190)),"لا","نعم")</f>
        <v>لا</v>
      </c>
      <c r="P190" s="19" t="str">
        <f aca="false">IF(COUNTIF($B$2:B190,B190)&gt;1,"مكرر","فريد")</f>
        <v>فريد</v>
      </c>
      <c r="Q190" s="19" t="str">
        <f aca="false">IF(COUNTBLANK(D190:L190)&gt;0,"نعم","لا")</f>
        <v>لا</v>
      </c>
    </row>
    <row r="191" customFormat="false" ht="15" hidden="false" customHeight="false" outlineLevel="0" collapsed="false">
      <c r="A191" s="19" t="n">
        <v>190</v>
      </c>
      <c r="B191" s="30" t="s">
        <v>500</v>
      </c>
      <c r="C191" s="44" t="n">
        <v>45414</v>
      </c>
      <c r="D191" s="30" t="s">
        <v>46</v>
      </c>
      <c r="E191" s="30" t="s">
        <v>105</v>
      </c>
      <c r="F191" s="30" t="s">
        <v>85</v>
      </c>
      <c r="G191" s="31" t="n">
        <v>3609</v>
      </c>
      <c r="H191" s="19" t="n">
        <v>1</v>
      </c>
      <c r="I191" s="32" t="n">
        <v>0</v>
      </c>
      <c r="J191" s="30" t="s">
        <v>52</v>
      </c>
      <c r="K191" s="30" t="s">
        <v>47</v>
      </c>
      <c r="L191" s="30" t="s">
        <v>78</v>
      </c>
      <c r="M191" s="31" t="n">
        <f aca="false">AVERAGEIF($E$2:$E$1197,E191,$G$2:$G$1197)</f>
        <v>2870.26771653543</v>
      </c>
      <c r="N191" s="19" t="str">
        <f aca="false">IF(G191&gt;M191*3,"نعم","لا")</f>
        <v>لا</v>
      </c>
      <c r="O191" s="19" t="str">
        <f aca="false">IF(OR(C191="",ISNUMBER(C191)),"لا","نعم")</f>
        <v>لا</v>
      </c>
      <c r="P191" s="19" t="str">
        <f aca="false">IF(COUNTIF($B$2:B191,B191)&gt;1,"مكرر","فريد")</f>
        <v>فريد</v>
      </c>
      <c r="Q191" s="19" t="str">
        <f aca="false">IF(COUNTBLANK(D191:L191)&gt;0,"نعم","لا")</f>
        <v>لا</v>
      </c>
    </row>
    <row r="192" customFormat="false" ht="15" hidden="false" customHeight="false" outlineLevel="0" collapsed="false">
      <c r="A192" s="19" t="n">
        <v>191</v>
      </c>
      <c r="B192" s="30" t="s">
        <v>675</v>
      </c>
      <c r="C192" s="44" t="n">
        <v>45476</v>
      </c>
      <c r="D192" s="30" t="s">
        <v>57</v>
      </c>
      <c r="E192" s="30" t="s">
        <v>109</v>
      </c>
      <c r="F192" s="30" t="s">
        <v>175</v>
      </c>
      <c r="G192" s="31" t="n">
        <v>149</v>
      </c>
      <c r="H192" s="19" t="n">
        <v>1</v>
      </c>
      <c r="I192" s="32" t="n">
        <v>0</v>
      </c>
      <c r="J192" s="30" t="s">
        <v>48</v>
      </c>
      <c r="K192" s="30" t="s">
        <v>51</v>
      </c>
      <c r="L192" s="30" t="s">
        <v>89</v>
      </c>
      <c r="M192" s="31" t="n">
        <f aca="false">AVERAGEIF($E$2:$E$1197,E192,$G$2:$G$1197)</f>
        <v>186.056291390729</v>
      </c>
      <c r="N192" s="19" t="str">
        <f aca="false">IF(G192&gt;M192*3,"نعم","لا")</f>
        <v>لا</v>
      </c>
      <c r="O192" s="19" t="str">
        <f aca="false">IF(OR(C192="",ISNUMBER(C192)),"لا","نعم")</f>
        <v>لا</v>
      </c>
      <c r="P192" s="19" t="str">
        <f aca="false">IF(COUNTIF($B$2:B192,B192)&gt;1,"مكرر","فريد")</f>
        <v>فريد</v>
      </c>
      <c r="Q192" s="19" t="str">
        <f aca="false">IF(COUNTBLANK(D192:L192)&gt;0,"نعم","لا")</f>
        <v>لا</v>
      </c>
    </row>
    <row r="193" customFormat="false" ht="15" hidden="false" customHeight="false" outlineLevel="0" collapsed="false">
      <c r="A193" s="19" t="n">
        <v>192</v>
      </c>
      <c r="B193" s="30" t="s">
        <v>182</v>
      </c>
      <c r="C193" s="44" t="n">
        <v>45296</v>
      </c>
      <c r="D193" s="30" t="s">
        <v>46</v>
      </c>
      <c r="E193" s="30" t="s">
        <v>113</v>
      </c>
      <c r="F193" s="30" t="s">
        <v>95</v>
      </c>
      <c r="G193" s="31" t="n">
        <v>789</v>
      </c>
      <c r="H193" s="19" t="n">
        <v>1</v>
      </c>
      <c r="I193" s="32"/>
      <c r="J193" s="30" t="s">
        <v>48</v>
      </c>
      <c r="K193" s="30" t="s">
        <v>47</v>
      </c>
      <c r="L193" s="30" t="s">
        <v>76</v>
      </c>
      <c r="M193" s="31" t="n">
        <f aca="false">AVERAGEIF($E$2:$E$1197,E193,$G$2:$G$1197)</f>
        <v>545.358823529412</v>
      </c>
      <c r="N193" s="19" t="str">
        <f aca="false">IF(G193&gt;M193*3,"نعم","لا")</f>
        <v>لا</v>
      </c>
      <c r="O193" s="19" t="str">
        <f aca="false">IF(OR(C193="",ISNUMBER(C193)),"لا","نعم")</f>
        <v>لا</v>
      </c>
      <c r="P193" s="19" t="str">
        <f aca="false">IF(COUNTIF($B$2:B193,B193)&gt;1,"مكرر","فريد")</f>
        <v>فريد</v>
      </c>
      <c r="Q193" s="19" t="str">
        <f aca="false">IF(COUNTBLANK(D193:L193)&gt;0,"نعم","لا")</f>
        <v>نعم</v>
      </c>
    </row>
    <row r="194" customFormat="false" ht="15" hidden="false" customHeight="false" outlineLevel="0" collapsed="false">
      <c r="A194" s="19" t="n">
        <v>193</v>
      </c>
      <c r="B194" s="30" t="s">
        <v>927</v>
      </c>
      <c r="C194" s="44" t="n">
        <v>45557</v>
      </c>
      <c r="D194" s="30" t="s">
        <v>46</v>
      </c>
      <c r="E194" s="30" t="s">
        <v>113</v>
      </c>
      <c r="F194" s="30" t="s">
        <v>97</v>
      </c>
      <c r="G194" s="31" t="n">
        <v>749</v>
      </c>
      <c r="H194" s="19" t="n">
        <v>5</v>
      </c>
      <c r="I194" s="32" t="n">
        <v>0.05</v>
      </c>
      <c r="J194" s="30" t="s">
        <v>48</v>
      </c>
      <c r="K194" s="30" t="s">
        <v>51</v>
      </c>
      <c r="L194" s="30" t="s">
        <v>81</v>
      </c>
      <c r="M194" s="31" t="n">
        <f aca="false">AVERAGEIF($E$2:$E$1197,E194,$G$2:$G$1197)</f>
        <v>545.358823529412</v>
      </c>
      <c r="N194" s="19" t="str">
        <f aca="false">IF(G194&gt;M194*3,"نعم","لا")</f>
        <v>لا</v>
      </c>
      <c r="O194" s="19" t="str">
        <f aca="false">IF(OR(C194="",ISNUMBER(C194)),"لا","نعم")</f>
        <v>لا</v>
      </c>
      <c r="P194" s="19" t="str">
        <f aca="false">IF(COUNTIF($B$2:B194,B194)&gt;1,"مكرر","فريد")</f>
        <v>فريد</v>
      </c>
      <c r="Q194" s="19" t="str">
        <f aca="false">IF(COUNTBLANK(D194:L194)&gt;0,"نعم","لا")</f>
        <v>لا</v>
      </c>
    </row>
    <row r="195" customFormat="false" ht="15" hidden="false" customHeight="false" outlineLevel="0" collapsed="false">
      <c r="A195" s="19" t="n">
        <v>194</v>
      </c>
      <c r="B195" s="30" t="s">
        <v>906</v>
      </c>
      <c r="C195" s="44" t="n">
        <v>45548</v>
      </c>
      <c r="D195" s="30" t="s">
        <v>46</v>
      </c>
      <c r="E195" s="30" t="s">
        <v>109</v>
      </c>
      <c r="F195" s="30" t="s">
        <v>110</v>
      </c>
      <c r="G195" s="31" t="n">
        <v>199</v>
      </c>
      <c r="H195" s="19" t="n">
        <v>3</v>
      </c>
      <c r="I195" s="32" t="n">
        <v>0.1</v>
      </c>
      <c r="J195" s="30" t="s">
        <v>58</v>
      </c>
      <c r="K195" s="30" t="s">
        <v>47</v>
      </c>
      <c r="L195" s="30" t="s">
        <v>76</v>
      </c>
      <c r="M195" s="31" t="n">
        <f aca="false">AVERAGEIF($E$2:$E$1197,E195,$G$2:$G$1197)</f>
        <v>186.056291390729</v>
      </c>
      <c r="N195" s="19" t="str">
        <f aca="false">IF(G195&gt;M195*3,"نعم","لا")</f>
        <v>لا</v>
      </c>
      <c r="O195" s="19" t="str">
        <f aca="false">IF(OR(C195="",ISNUMBER(C195)),"لا","نعم")</f>
        <v>لا</v>
      </c>
      <c r="P195" s="19" t="str">
        <f aca="false">IF(COUNTIF($B$2:B195,B195)&gt;1,"مكرر","فريد")</f>
        <v>فريد</v>
      </c>
      <c r="Q195" s="19" t="str">
        <f aca="false">IF(COUNTBLANK(D195:L195)&gt;0,"نعم","لا")</f>
        <v>لا</v>
      </c>
    </row>
    <row r="196" customFormat="false" ht="15" hidden="false" customHeight="false" outlineLevel="0" collapsed="false">
      <c r="A196" s="19" t="n">
        <v>195</v>
      </c>
      <c r="B196" s="30" t="s">
        <v>601</v>
      </c>
      <c r="C196" s="44" t="n">
        <v>45452</v>
      </c>
      <c r="D196" s="30" t="s">
        <v>50</v>
      </c>
      <c r="E196" s="30" t="s">
        <v>105</v>
      </c>
      <c r="F196" s="30" t="s">
        <v>85</v>
      </c>
      <c r="G196" s="31" t="n">
        <v>2579</v>
      </c>
      <c r="H196" s="19" t="n">
        <v>1</v>
      </c>
      <c r="I196" s="32" t="n">
        <v>0</v>
      </c>
      <c r="J196" s="30" t="s">
        <v>58</v>
      </c>
      <c r="K196" s="30" t="s">
        <v>47</v>
      </c>
      <c r="L196" s="30" t="s">
        <v>84</v>
      </c>
      <c r="M196" s="31" t="n">
        <f aca="false">AVERAGEIF($E$2:$E$1197,E196,$G$2:$G$1197)</f>
        <v>2870.26771653543</v>
      </c>
      <c r="N196" s="19" t="str">
        <f aca="false">IF(G196&gt;M196*3,"نعم","لا")</f>
        <v>لا</v>
      </c>
      <c r="O196" s="19" t="str">
        <f aca="false">IF(OR(C196="",ISNUMBER(C196)),"لا","نعم")</f>
        <v>لا</v>
      </c>
      <c r="P196" s="19" t="str">
        <f aca="false">IF(COUNTIF($B$2:B196,B196)&gt;1,"مكرر","فريد")</f>
        <v>فريد</v>
      </c>
      <c r="Q196" s="19" t="str">
        <f aca="false">IF(COUNTBLANK(D196:L196)&gt;0,"نعم","لا")</f>
        <v>لا</v>
      </c>
    </row>
    <row r="197" customFormat="false" ht="15" hidden="false" customHeight="false" outlineLevel="0" collapsed="false">
      <c r="A197" s="19" t="n">
        <v>196</v>
      </c>
      <c r="B197" s="30" t="s">
        <v>229</v>
      </c>
      <c r="C197" s="44" t="n">
        <v>45313</v>
      </c>
      <c r="D197" s="30" t="s">
        <v>50</v>
      </c>
      <c r="E197" s="30" t="s">
        <v>111</v>
      </c>
      <c r="F197" s="30" t="s">
        <v>118</v>
      </c>
      <c r="G197" s="31" t="n">
        <v>499</v>
      </c>
      <c r="H197" s="19" t="n">
        <v>1</v>
      </c>
      <c r="I197" s="32" t="n">
        <v>0.1</v>
      </c>
      <c r="J197" s="30" t="s">
        <v>58</v>
      </c>
      <c r="K197" s="30" t="s">
        <v>47</v>
      </c>
      <c r="L197" s="30" t="s">
        <v>86</v>
      </c>
      <c r="M197" s="31" t="n">
        <f aca="false">AVERAGEIF($E$2:$E$1197,E197,$G$2:$G$1197)</f>
        <v>366.306569343066</v>
      </c>
      <c r="N197" s="19" t="str">
        <f aca="false">IF(G197&gt;M197*3,"نعم","لا")</f>
        <v>لا</v>
      </c>
      <c r="O197" s="19" t="str">
        <f aca="false">IF(OR(C197="",ISNUMBER(C197)),"لا","نعم")</f>
        <v>لا</v>
      </c>
      <c r="P197" s="19" t="str">
        <f aca="false">IF(COUNTIF($B$2:B197,B197)&gt;1,"مكرر","فريد")</f>
        <v>فريد</v>
      </c>
      <c r="Q197" s="19" t="str">
        <f aca="false">IF(COUNTBLANK(D197:L197)&gt;0,"نعم","لا")</f>
        <v>لا</v>
      </c>
    </row>
    <row r="198" customFormat="false" ht="15" hidden="false" customHeight="false" outlineLevel="0" collapsed="false">
      <c r="A198" s="19" t="n">
        <v>197</v>
      </c>
      <c r="B198" s="30" t="s">
        <v>450</v>
      </c>
      <c r="C198" s="30" t="s">
        <v>1374</v>
      </c>
      <c r="D198" s="30" t="s">
        <v>54</v>
      </c>
      <c r="E198" s="30" t="s">
        <v>111</v>
      </c>
      <c r="F198" s="30" t="s">
        <v>120</v>
      </c>
      <c r="G198" s="31" t="n">
        <v>529</v>
      </c>
      <c r="H198" s="19" t="n">
        <v>2</v>
      </c>
      <c r="I198" s="32" t="n">
        <v>0.1</v>
      </c>
      <c r="J198" s="30" t="s">
        <v>48</v>
      </c>
      <c r="K198" s="30" t="s">
        <v>51</v>
      </c>
      <c r="L198" s="30" t="s">
        <v>99</v>
      </c>
      <c r="M198" s="31" t="n">
        <f aca="false">AVERAGEIF($E$2:$E$1197,E198,$G$2:$G$1197)</f>
        <v>366.306569343066</v>
      </c>
      <c r="N198" s="19" t="str">
        <f aca="false">IF(G198&gt;M198*3,"نعم","لا")</f>
        <v>لا</v>
      </c>
      <c r="O198" s="19" t="str">
        <f aca="false">IF(OR(C198="",ISNUMBER(C198)),"لا","نعم")</f>
        <v>نعم</v>
      </c>
      <c r="P198" s="19" t="str">
        <f aca="false">IF(COUNTIF($B$2:B198,B198)&gt;1,"مكرر","فريد")</f>
        <v>فريد</v>
      </c>
      <c r="Q198" s="19" t="str">
        <f aca="false">IF(COUNTBLANK(D198:L198)&gt;0,"نعم","لا")</f>
        <v>لا</v>
      </c>
    </row>
    <row r="199" customFormat="false" ht="15" hidden="false" customHeight="false" outlineLevel="0" collapsed="false">
      <c r="A199" s="19" t="n">
        <v>198</v>
      </c>
      <c r="B199" s="30" t="s">
        <v>412</v>
      </c>
      <c r="C199" s="44" t="n">
        <v>45379</v>
      </c>
      <c r="D199" s="30" t="s">
        <v>50</v>
      </c>
      <c r="E199" s="30" t="s">
        <v>111</v>
      </c>
      <c r="F199" s="30" t="s">
        <v>118</v>
      </c>
      <c r="G199" s="31" t="n">
        <v>289</v>
      </c>
      <c r="H199" s="19" t="n">
        <v>1</v>
      </c>
      <c r="I199" s="32" t="n">
        <v>0.1</v>
      </c>
      <c r="J199" s="30" t="s">
        <v>48</v>
      </c>
      <c r="K199" s="30" t="s">
        <v>47</v>
      </c>
      <c r="L199" s="30" t="s">
        <v>86</v>
      </c>
      <c r="M199" s="31" t="n">
        <f aca="false">AVERAGEIF($E$2:$E$1197,E199,$G$2:$G$1197)</f>
        <v>366.306569343066</v>
      </c>
      <c r="N199" s="19" t="str">
        <f aca="false">IF(G199&gt;M199*3,"نعم","لا")</f>
        <v>لا</v>
      </c>
      <c r="O199" s="19" t="str">
        <f aca="false">IF(OR(C199="",ISNUMBER(C199)),"لا","نعم")</f>
        <v>لا</v>
      </c>
      <c r="P199" s="19" t="str">
        <f aca="false">IF(COUNTIF($B$2:B199,B199)&gt;1,"مكرر","فريد")</f>
        <v>فريد</v>
      </c>
      <c r="Q199" s="19" t="str">
        <f aca="false">IF(COUNTBLANK(D199:L199)&gt;0,"نعم","لا")</f>
        <v>لا</v>
      </c>
    </row>
    <row r="200" customFormat="false" ht="15" hidden="false" customHeight="false" outlineLevel="0" collapsed="false">
      <c r="A200" s="19" t="n">
        <v>199</v>
      </c>
      <c r="B200" s="30" t="s">
        <v>438</v>
      </c>
      <c r="C200" s="30" t="s">
        <v>1375</v>
      </c>
      <c r="D200" s="30" t="s">
        <v>1353</v>
      </c>
      <c r="E200" s="30" t="s">
        <v>105</v>
      </c>
      <c r="F200" s="30" t="s">
        <v>90</v>
      </c>
      <c r="G200" s="31" t="n">
        <v>1919</v>
      </c>
      <c r="H200" s="19" t="n">
        <v>1</v>
      </c>
      <c r="I200" s="32" t="n">
        <v>0</v>
      </c>
      <c r="J200" s="30" t="s">
        <v>52</v>
      </c>
      <c r="K200" s="30" t="s">
        <v>47</v>
      </c>
      <c r="L200" s="30" t="s">
        <v>81</v>
      </c>
      <c r="M200" s="31" t="n">
        <f aca="false">AVERAGEIF($E$2:$E$1197,E200,$G$2:$G$1197)</f>
        <v>2870.26771653543</v>
      </c>
      <c r="N200" s="19" t="str">
        <f aca="false">IF(G200&gt;M200*3,"نعم","لا")</f>
        <v>لا</v>
      </c>
      <c r="O200" s="19" t="str">
        <f aca="false">IF(OR(C200="",ISNUMBER(C200)),"لا","نعم")</f>
        <v>نعم</v>
      </c>
      <c r="P200" s="19" t="str">
        <f aca="false">IF(COUNTIF($B$2:B200,B200)&gt;1,"مكرر","فريد")</f>
        <v>فريد</v>
      </c>
      <c r="Q200" s="19" t="str">
        <f aca="false">IF(COUNTBLANK(D200:L200)&gt;0,"نعم","لا")</f>
        <v>لا</v>
      </c>
    </row>
    <row r="201" customFormat="false" ht="15" hidden="false" customHeight="false" outlineLevel="0" collapsed="false">
      <c r="A201" s="19" t="n">
        <v>200</v>
      </c>
      <c r="B201" s="30" t="s">
        <v>981</v>
      </c>
      <c r="C201" s="44" t="n">
        <v>45574</v>
      </c>
      <c r="D201" s="30" t="s">
        <v>54</v>
      </c>
      <c r="E201" s="30" t="s">
        <v>107</v>
      </c>
      <c r="F201" s="30" t="s">
        <v>272</v>
      </c>
      <c r="G201" s="31" t="n">
        <v>4009</v>
      </c>
      <c r="H201" s="19" t="n">
        <v>1</v>
      </c>
      <c r="I201" s="32" t="n">
        <v>0</v>
      </c>
      <c r="J201" s="30" t="s">
        <v>55</v>
      </c>
      <c r="K201" s="30" t="s">
        <v>47</v>
      </c>
      <c r="L201" s="30" t="s">
        <v>76</v>
      </c>
      <c r="M201" s="31" t="n">
        <f aca="false">AVERAGEIF($E$2:$E$1197,E201,$G$2:$G$1197)</f>
        <v>4981.14563106796</v>
      </c>
      <c r="N201" s="19" t="str">
        <f aca="false">IF(G201&gt;M201*3,"نعم","لا")</f>
        <v>لا</v>
      </c>
      <c r="O201" s="19" t="str">
        <f aca="false">IF(OR(C201="",ISNUMBER(C201)),"لا","نعم")</f>
        <v>لا</v>
      </c>
      <c r="P201" s="19" t="str">
        <f aca="false">IF(COUNTIF($B$2:B201,B201)&gt;1,"مكرر","فريد")</f>
        <v>فريد</v>
      </c>
      <c r="Q201" s="19" t="str">
        <f aca="false">IF(COUNTBLANK(D201:L201)&gt;0,"نعم","لا")</f>
        <v>لا</v>
      </c>
    </row>
    <row r="202" customFormat="false" ht="15" hidden="false" customHeight="false" outlineLevel="0" collapsed="false">
      <c r="A202" s="19" t="n">
        <v>201</v>
      </c>
      <c r="B202" s="30" t="s">
        <v>844</v>
      </c>
      <c r="C202" s="44" t="n">
        <v>45528</v>
      </c>
      <c r="D202" s="30" t="s">
        <v>50</v>
      </c>
      <c r="E202" s="30" t="s">
        <v>105</v>
      </c>
      <c r="F202" s="30" t="s">
        <v>179</v>
      </c>
      <c r="G202" s="31" t="n">
        <v>1359</v>
      </c>
      <c r="H202" s="19" t="n">
        <v>1</v>
      </c>
      <c r="I202" s="32" t="n">
        <v>0.15</v>
      </c>
      <c r="J202" s="30" t="s">
        <v>1376</v>
      </c>
      <c r="K202" s="30" t="s">
        <v>47</v>
      </c>
      <c r="L202" s="30" t="s">
        <v>78</v>
      </c>
      <c r="M202" s="31" t="n">
        <f aca="false">AVERAGEIF($E$2:$E$1197,E202,$G$2:$G$1197)</f>
        <v>2870.26771653543</v>
      </c>
      <c r="N202" s="19" t="str">
        <f aca="false">IF(G202&gt;M202*3,"نعم","لا")</f>
        <v>لا</v>
      </c>
      <c r="O202" s="19" t="str">
        <f aca="false">IF(OR(C202="",ISNUMBER(C202)),"لا","نعم")</f>
        <v>لا</v>
      </c>
      <c r="P202" s="19" t="str">
        <f aca="false">IF(COUNTIF($B$2:B202,B202)&gt;1,"مكرر","فريد")</f>
        <v>فريد</v>
      </c>
      <c r="Q202" s="19" t="str">
        <f aca="false">IF(COUNTBLANK(D202:L202)&gt;0,"نعم","لا")</f>
        <v>لا</v>
      </c>
    </row>
    <row r="203" customFormat="false" ht="15" hidden="false" customHeight="false" outlineLevel="0" collapsed="false">
      <c r="A203" s="19" t="n">
        <v>202</v>
      </c>
      <c r="B203" s="30" t="s">
        <v>1377</v>
      </c>
      <c r="C203" s="44" t="n">
        <v>45518</v>
      </c>
      <c r="D203" s="30"/>
      <c r="E203" s="30" t="s">
        <v>105</v>
      </c>
      <c r="F203" s="30" t="s">
        <v>85</v>
      </c>
      <c r="G203" s="31" t="n">
        <v>2299</v>
      </c>
      <c r="H203" s="19" t="n">
        <v>1</v>
      </c>
      <c r="I203" s="32" t="n">
        <v>0.05</v>
      </c>
      <c r="J203" s="30" t="s">
        <v>48</v>
      </c>
      <c r="K203" s="30" t="s">
        <v>51</v>
      </c>
      <c r="L203" s="30" t="s">
        <v>84</v>
      </c>
      <c r="M203" s="31" t="n">
        <f aca="false">AVERAGEIF($E$2:$E$1197,E203,$G$2:$G$1197)</f>
        <v>2870.26771653543</v>
      </c>
      <c r="N203" s="19" t="str">
        <f aca="false">IF(G203&gt;M203*3,"نعم","لا")</f>
        <v>لا</v>
      </c>
      <c r="O203" s="19" t="str">
        <f aca="false">IF(OR(C203="",ISNUMBER(C203)),"لا","نعم")</f>
        <v>لا</v>
      </c>
      <c r="P203" s="19" t="str">
        <f aca="false">IF(COUNTIF($B$2:B203,B203)&gt;1,"مكرر","فريد")</f>
        <v>فريد</v>
      </c>
      <c r="Q203" s="19" t="str">
        <f aca="false">IF(COUNTBLANK(D203:L203)&gt;0,"نعم","لا")</f>
        <v>نعم</v>
      </c>
    </row>
    <row r="204" customFormat="false" ht="15" hidden="false" customHeight="false" outlineLevel="0" collapsed="false">
      <c r="A204" s="19" t="n">
        <v>203</v>
      </c>
      <c r="B204" s="30" t="s">
        <v>1062</v>
      </c>
      <c r="C204" s="44" t="n">
        <v>45600</v>
      </c>
      <c r="D204" s="30" t="s">
        <v>46</v>
      </c>
      <c r="E204" s="30" t="s">
        <v>111</v>
      </c>
      <c r="F204" s="30" t="s">
        <v>120</v>
      </c>
      <c r="G204" s="31" t="n">
        <v>549</v>
      </c>
      <c r="H204" s="19" t="n">
        <v>1</v>
      </c>
      <c r="I204" s="32" t="n">
        <v>0</v>
      </c>
      <c r="J204" s="30" t="s">
        <v>52</v>
      </c>
      <c r="K204" s="30" t="s">
        <v>47</v>
      </c>
      <c r="L204" s="30" t="s">
        <v>94</v>
      </c>
      <c r="M204" s="31" t="n">
        <f aca="false">AVERAGEIF($E$2:$E$1197,E204,$G$2:$G$1197)</f>
        <v>366.306569343066</v>
      </c>
      <c r="N204" s="19" t="str">
        <f aca="false">IF(G204&gt;M204*3,"نعم","لا")</f>
        <v>لا</v>
      </c>
      <c r="O204" s="19" t="str">
        <f aca="false">IF(OR(C204="",ISNUMBER(C204)),"لا","نعم")</f>
        <v>لا</v>
      </c>
      <c r="P204" s="19" t="str">
        <f aca="false">IF(COUNTIF($B$2:B204,B204)&gt;1,"مكرر","فريد")</f>
        <v>فريد</v>
      </c>
      <c r="Q204" s="19" t="str">
        <f aca="false">IF(COUNTBLANK(D204:L204)&gt;0,"نعم","لا")</f>
        <v>لا</v>
      </c>
    </row>
    <row r="205" customFormat="false" ht="15" hidden="false" customHeight="false" outlineLevel="0" collapsed="false">
      <c r="A205" s="19" t="n">
        <v>204</v>
      </c>
      <c r="B205" s="30" t="s">
        <v>818</v>
      </c>
      <c r="C205" s="44" t="n">
        <v>45521</v>
      </c>
      <c r="D205" s="30" t="s">
        <v>50</v>
      </c>
      <c r="E205" s="30" t="s">
        <v>109</v>
      </c>
      <c r="F205" s="30" t="s">
        <v>93</v>
      </c>
      <c r="G205" s="31" t="n">
        <v>49</v>
      </c>
      <c r="H205" s="19" t="n">
        <v>1</v>
      </c>
      <c r="I205" s="32" t="n">
        <v>0.05</v>
      </c>
      <c r="J205" s="30"/>
      <c r="K205" s="30" t="s">
        <v>47</v>
      </c>
      <c r="L205" s="30" t="s">
        <v>89</v>
      </c>
      <c r="M205" s="31" t="n">
        <f aca="false">AVERAGEIF($E$2:$E$1197,E205,$G$2:$G$1197)</f>
        <v>186.056291390729</v>
      </c>
      <c r="N205" s="19" t="str">
        <f aca="false">IF(G205&gt;M205*3,"نعم","لا")</f>
        <v>لا</v>
      </c>
      <c r="O205" s="19" t="str">
        <f aca="false">IF(OR(C205="",ISNUMBER(C205)),"لا","نعم")</f>
        <v>لا</v>
      </c>
      <c r="P205" s="19" t="str">
        <f aca="false">IF(COUNTIF($B$2:B205,B205)&gt;1,"مكرر","فريد")</f>
        <v>فريد</v>
      </c>
      <c r="Q205" s="19" t="str">
        <f aca="false">IF(COUNTBLANK(D205:L205)&gt;0,"نعم","لا")</f>
        <v>نعم</v>
      </c>
    </row>
    <row r="206" customFormat="false" ht="15" hidden="false" customHeight="false" outlineLevel="0" collapsed="false">
      <c r="A206" s="19" t="n">
        <v>205</v>
      </c>
      <c r="B206" s="30" t="s">
        <v>1277</v>
      </c>
      <c r="C206" s="44" t="n">
        <v>45653</v>
      </c>
      <c r="D206" s="30" t="s">
        <v>57</v>
      </c>
      <c r="E206" s="30" t="s">
        <v>105</v>
      </c>
      <c r="F206" s="30" t="s">
        <v>179</v>
      </c>
      <c r="G206" s="31" t="n">
        <v>2789</v>
      </c>
      <c r="H206" s="19" t="n">
        <v>6</v>
      </c>
      <c r="I206" s="32" t="n">
        <v>0</v>
      </c>
      <c r="J206" s="30" t="s">
        <v>55</v>
      </c>
      <c r="K206" s="30" t="s">
        <v>51</v>
      </c>
      <c r="L206" s="30" t="s">
        <v>94</v>
      </c>
      <c r="M206" s="31" t="n">
        <f aca="false">AVERAGEIF($E$2:$E$1197,E206,$G$2:$G$1197)</f>
        <v>2870.26771653543</v>
      </c>
      <c r="N206" s="19" t="str">
        <f aca="false">IF(G206&gt;M206*3,"نعم","لا")</f>
        <v>لا</v>
      </c>
      <c r="O206" s="19" t="str">
        <f aca="false">IF(OR(C206="",ISNUMBER(C206)),"لا","نعم")</f>
        <v>لا</v>
      </c>
      <c r="P206" s="19" t="str">
        <f aca="false">IF(COUNTIF($B$2:B206,B206)&gt;1,"مكرر","فريد")</f>
        <v>فريد</v>
      </c>
      <c r="Q206" s="19" t="str">
        <f aca="false">IF(COUNTBLANK(D206:L206)&gt;0,"نعم","لا")</f>
        <v>لا</v>
      </c>
    </row>
    <row r="207" customFormat="false" ht="15" hidden="false" customHeight="false" outlineLevel="0" collapsed="false">
      <c r="A207" s="19" t="n">
        <v>206</v>
      </c>
      <c r="B207" s="30" t="s">
        <v>930</v>
      </c>
      <c r="C207" s="44" t="n">
        <v>45558</v>
      </c>
      <c r="D207" s="30" t="s">
        <v>46</v>
      </c>
      <c r="E207" s="30" t="s">
        <v>107</v>
      </c>
      <c r="F207" s="30" t="s">
        <v>115</v>
      </c>
      <c r="G207" s="31" t="n">
        <v>5179</v>
      </c>
      <c r="H207" s="19" t="n">
        <v>1</v>
      </c>
      <c r="I207" s="32" t="n">
        <v>0</v>
      </c>
      <c r="J207" s="30" t="s">
        <v>55</v>
      </c>
      <c r="K207" s="30" t="s">
        <v>51</v>
      </c>
      <c r="L207" s="30" t="s">
        <v>86</v>
      </c>
      <c r="M207" s="31" t="n">
        <f aca="false">AVERAGEIF($E$2:$E$1197,E207,$G$2:$G$1197)</f>
        <v>4981.14563106796</v>
      </c>
      <c r="N207" s="19" t="str">
        <f aca="false">IF(G207&gt;M207*3,"نعم","لا")</f>
        <v>لا</v>
      </c>
      <c r="O207" s="19" t="str">
        <f aca="false">IF(OR(C207="",ISNUMBER(C207)),"لا","نعم")</f>
        <v>لا</v>
      </c>
      <c r="P207" s="19" t="str">
        <f aca="false">IF(COUNTIF($B$2:B207,B207)&gt;1,"مكرر","فريد")</f>
        <v>فريد</v>
      </c>
      <c r="Q207" s="19" t="str">
        <f aca="false">IF(COUNTBLANK(D207:L207)&gt;0,"نعم","لا")</f>
        <v>لا</v>
      </c>
    </row>
    <row r="208" customFormat="false" ht="15" hidden="false" customHeight="false" outlineLevel="0" collapsed="false">
      <c r="A208" s="19" t="n">
        <v>207</v>
      </c>
      <c r="B208" s="30" t="s">
        <v>727</v>
      </c>
      <c r="C208" s="44" t="n">
        <v>45496</v>
      </c>
      <c r="D208" s="30" t="s">
        <v>46</v>
      </c>
      <c r="E208" s="30" t="s">
        <v>105</v>
      </c>
      <c r="F208" s="30" t="s">
        <v>90</v>
      </c>
      <c r="G208" s="31" t="n">
        <v>3799</v>
      </c>
      <c r="H208" s="19" t="n">
        <v>1</v>
      </c>
      <c r="I208" s="32" t="n">
        <v>0.15</v>
      </c>
      <c r="J208" s="30" t="s">
        <v>48</v>
      </c>
      <c r="K208" s="30" t="s">
        <v>47</v>
      </c>
      <c r="L208" s="30" t="s">
        <v>81</v>
      </c>
      <c r="M208" s="31" t="n">
        <f aca="false">AVERAGEIF($E$2:$E$1197,E208,$G$2:$G$1197)</f>
        <v>2870.26771653543</v>
      </c>
      <c r="N208" s="19" t="str">
        <f aca="false">IF(G208&gt;M208*3,"نعم","لا")</f>
        <v>لا</v>
      </c>
      <c r="O208" s="19" t="str">
        <f aca="false">IF(OR(C208="",ISNUMBER(C208)),"لا","نعم")</f>
        <v>لا</v>
      </c>
      <c r="P208" s="19" t="str">
        <f aca="false">IF(COUNTIF($B$2:B208,B208)&gt;1,"مكرر","فريد")</f>
        <v>فريد</v>
      </c>
      <c r="Q208" s="19" t="str">
        <f aca="false">IF(COUNTBLANK(D208:L208)&gt;0,"نعم","لا")</f>
        <v>لا</v>
      </c>
    </row>
    <row r="209" customFormat="false" ht="15" hidden="false" customHeight="false" outlineLevel="0" collapsed="false">
      <c r="A209" s="19" t="n">
        <v>208</v>
      </c>
      <c r="B209" s="30" t="s">
        <v>721</v>
      </c>
      <c r="C209" s="44" t="n">
        <v>45493</v>
      </c>
      <c r="D209" s="30" t="s">
        <v>57</v>
      </c>
      <c r="E209" s="30" t="s">
        <v>111</v>
      </c>
      <c r="F209" s="30" t="s">
        <v>122</v>
      </c>
      <c r="G209" s="31" t="n">
        <v>369</v>
      </c>
      <c r="H209" s="19" t="n">
        <v>1</v>
      </c>
      <c r="I209" s="32" t="n">
        <v>0</v>
      </c>
      <c r="J209" s="30" t="s">
        <v>52</v>
      </c>
      <c r="K209" s="30" t="s">
        <v>47</v>
      </c>
      <c r="L209" s="30" t="s">
        <v>89</v>
      </c>
      <c r="M209" s="31" t="n">
        <f aca="false">AVERAGEIF($E$2:$E$1197,E209,$G$2:$G$1197)</f>
        <v>366.306569343066</v>
      </c>
      <c r="N209" s="19" t="str">
        <f aca="false">IF(G209&gt;M209*3,"نعم","لا")</f>
        <v>لا</v>
      </c>
      <c r="O209" s="19" t="str">
        <f aca="false">IF(OR(C209="",ISNUMBER(C209)),"لا","نعم")</f>
        <v>لا</v>
      </c>
      <c r="P209" s="19" t="str">
        <f aca="false">IF(COUNTIF($B$2:B209,B209)&gt;1,"مكرر","فريد")</f>
        <v>فريد</v>
      </c>
      <c r="Q209" s="19" t="str">
        <f aca="false">IF(COUNTBLANK(D209:L209)&gt;0,"نعم","لا")</f>
        <v>لا</v>
      </c>
    </row>
    <row r="210" customFormat="false" ht="15" hidden="false" customHeight="false" outlineLevel="0" collapsed="false">
      <c r="A210" s="19" t="n">
        <v>209</v>
      </c>
      <c r="B210" s="30" t="s">
        <v>909</v>
      </c>
      <c r="C210" s="44" t="n">
        <v>45550</v>
      </c>
      <c r="D210" s="30" t="s">
        <v>57</v>
      </c>
      <c r="E210" s="30" t="s">
        <v>105</v>
      </c>
      <c r="F210" s="30" t="s">
        <v>179</v>
      </c>
      <c r="G210" s="31" t="n">
        <v>939</v>
      </c>
      <c r="H210" s="19" t="n">
        <v>2</v>
      </c>
      <c r="I210" s="32" t="n">
        <v>0</v>
      </c>
      <c r="J210" s="30" t="s">
        <v>52</v>
      </c>
      <c r="K210" s="30" t="s">
        <v>51</v>
      </c>
      <c r="L210" s="30" t="s">
        <v>96</v>
      </c>
      <c r="M210" s="31" t="n">
        <f aca="false">AVERAGEIF($E$2:$E$1197,E210,$G$2:$G$1197)</f>
        <v>2870.26771653543</v>
      </c>
      <c r="N210" s="19" t="str">
        <f aca="false">IF(G210&gt;M210*3,"نعم","لا")</f>
        <v>لا</v>
      </c>
      <c r="O210" s="19" t="str">
        <f aca="false">IF(OR(C210="",ISNUMBER(C210)),"لا","نعم")</f>
        <v>لا</v>
      </c>
      <c r="P210" s="19" t="str">
        <f aca="false">IF(COUNTIF($B$2:B210,B210)&gt;1,"مكرر","فريد")</f>
        <v>فريد</v>
      </c>
      <c r="Q210" s="19" t="str">
        <f aca="false">IF(COUNTBLANK(D210:L210)&gt;0,"نعم","لا")</f>
        <v>لا</v>
      </c>
    </row>
    <row r="211" customFormat="false" ht="15" hidden="false" customHeight="false" outlineLevel="0" collapsed="false">
      <c r="A211" s="19" t="n">
        <v>210</v>
      </c>
      <c r="B211" s="30" t="s">
        <v>1264</v>
      </c>
      <c r="C211" s="44" t="n">
        <v>45648</v>
      </c>
      <c r="D211" s="30" t="s">
        <v>46</v>
      </c>
      <c r="E211" s="30" t="s">
        <v>111</v>
      </c>
      <c r="F211" s="30" t="s">
        <v>108</v>
      </c>
      <c r="G211" s="31" t="n">
        <v>489</v>
      </c>
      <c r="H211" s="19" t="n">
        <v>1</v>
      </c>
      <c r="I211" s="32" t="n">
        <v>0</v>
      </c>
      <c r="J211" s="30" t="s">
        <v>52</v>
      </c>
      <c r="K211" s="30" t="s">
        <v>47</v>
      </c>
      <c r="L211" s="30" t="s">
        <v>96</v>
      </c>
      <c r="M211" s="31" t="n">
        <f aca="false">AVERAGEIF($E$2:$E$1197,E211,$G$2:$G$1197)</f>
        <v>366.306569343066</v>
      </c>
      <c r="N211" s="19" t="str">
        <f aca="false">IF(G211&gt;M211*3,"نعم","لا")</f>
        <v>لا</v>
      </c>
      <c r="O211" s="19" t="str">
        <f aca="false">IF(OR(C211="",ISNUMBER(C211)),"لا","نعم")</f>
        <v>لا</v>
      </c>
      <c r="P211" s="19" t="str">
        <f aca="false">IF(COUNTIF($B$2:B211,B211)&gt;1,"مكرر","فريد")</f>
        <v>فريد</v>
      </c>
      <c r="Q211" s="19" t="str">
        <f aca="false">IF(COUNTBLANK(D211:L211)&gt;0,"نعم","لا")</f>
        <v>لا</v>
      </c>
    </row>
    <row r="212" customFormat="false" ht="15" hidden="false" customHeight="false" outlineLevel="0" collapsed="false">
      <c r="A212" s="19" t="n">
        <v>211</v>
      </c>
      <c r="B212" s="30" t="s">
        <v>461</v>
      </c>
      <c r="C212" s="44" t="n">
        <v>45395</v>
      </c>
      <c r="D212" s="30" t="s">
        <v>50</v>
      </c>
      <c r="E212" s="30" t="s">
        <v>105</v>
      </c>
      <c r="F212" s="30" t="s">
        <v>79</v>
      </c>
      <c r="G212" s="31" t="n">
        <v>4229</v>
      </c>
      <c r="H212" s="19" t="n">
        <v>5</v>
      </c>
      <c r="I212" s="32" t="n">
        <v>0</v>
      </c>
      <c r="J212" s="30" t="s">
        <v>55</v>
      </c>
      <c r="K212" s="30" t="s">
        <v>51</v>
      </c>
      <c r="L212" s="30" t="s">
        <v>92</v>
      </c>
      <c r="M212" s="31" t="n">
        <f aca="false">AVERAGEIF($E$2:$E$1197,E212,$G$2:$G$1197)</f>
        <v>2870.26771653543</v>
      </c>
      <c r="N212" s="19" t="str">
        <f aca="false">IF(G212&gt;M212*3,"نعم","لا")</f>
        <v>لا</v>
      </c>
      <c r="O212" s="19" t="str">
        <f aca="false">IF(OR(C212="",ISNUMBER(C212)),"لا","نعم")</f>
        <v>لا</v>
      </c>
      <c r="P212" s="19" t="str">
        <f aca="false">IF(COUNTIF($B$2:B212,B212)&gt;1,"مكرر","فريد")</f>
        <v>فريد</v>
      </c>
      <c r="Q212" s="19" t="str">
        <f aca="false">IF(COUNTBLANK(D212:L212)&gt;0,"نعم","لا")</f>
        <v>لا</v>
      </c>
    </row>
    <row r="213" customFormat="false" ht="15" hidden="false" customHeight="false" outlineLevel="0" collapsed="false">
      <c r="A213" s="19" t="n">
        <v>212</v>
      </c>
      <c r="B213" s="30" t="s">
        <v>573</v>
      </c>
      <c r="C213" s="44" t="n">
        <v>45440</v>
      </c>
      <c r="D213" s="30" t="s">
        <v>50</v>
      </c>
      <c r="E213" s="30" t="s">
        <v>109</v>
      </c>
      <c r="F213" s="30" t="s">
        <v>175</v>
      </c>
      <c r="G213" s="31" t="n">
        <v>149</v>
      </c>
      <c r="H213" s="19" t="n">
        <v>1</v>
      </c>
      <c r="I213" s="32" t="n">
        <v>0</v>
      </c>
      <c r="J213" s="30" t="s">
        <v>48</v>
      </c>
      <c r="K213" s="30" t="s">
        <v>47</v>
      </c>
      <c r="L213" s="30" t="s">
        <v>86</v>
      </c>
      <c r="M213" s="31" t="n">
        <f aca="false">AVERAGEIF($E$2:$E$1197,E213,$G$2:$G$1197)</f>
        <v>186.056291390729</v>
      </c>
      <c r="N213" s="19" t="str">
        <f aca="false">IF(G213&gt;M213*3,"نعم","لا")</f>
        <v>لا</v>
      </c>
      <c r="O213" s="19" t="str">
        <f aca="false">IF(OR(C213="",ISNUMBER(C213)),"لا","نعم")</f>
        <v>لا</v>
      </c>
      <c r="P213" s="19" t="str">
        <f aca="false">IF(COUNTIF($B$2:B213,B213)&gt;1,"مكرر","فريد")</f>
        <v>فريد</v>
      </c>
      <c r="Q213" s="19" t="str">
        <f aca="false">IF(COUNTBLANK(D213:L213)&gt;0,"نعم","لا")</f>
        <v>لا</v>
      </c>
    </row>
    <row r="214" customFormat="false" ht="15" hidden="false" customHeight="false" outlineLevel="0" collapsed="false">
      <c r="A214" s="19" t="n">
        <v>213</v>
      </c>
      <c r="B214" s="30" t="s">
        <v>1226</v>
      </c>
      <c r="C214" s="44" t="n">
        <v>45637</v>
      </c>
      <c r="D214" s="30" t="s">
        <v>57</v>
      </c>
      <c r="E214" s="30" t="s">
        <v>105</v>
      </c>
      <c r="F214" s="30" t="s">
        <v>82</v>
      </c>
      <c r="G214" s="31" t="n">
        <v>3679</v>
      </c>
      <c r="H214" s="19"/>
      <c r="I214" s="32" t="n">
        <v>0</v>
      </c>
      <c r="J214" s="30" t="s">
        <v>52</v>
      </c>
      <c r="K214" s="30" t="s">
        <v>47</v>
      </c>
      <c r="L214" s="30" t="s">
        <v>86</v>
      </c>
      <c r="M214" s="31" t="n">
        <f aca="false">AVERAGEIF($E$2:$E$1197,E214,$G$2:$G$1197)</f>
        <v>2870.26771653543</v>
      </c>
      <c r="N214" s="19" t="str">
        <f aca="false">IF(G214&gt;M214*3,"نعم","لا")</f>
        <v>لا</v>
      </c>
      <c r="O214" s="19" t="str">
        <f aca="false">IF(OR(C214="",ISNUMBER(C214)),"لا","نعم")</f>
        <v>لا</v>
      </c>
      <c r="P214" s="19" t="str">
        <f aca="false">IF(COUNTIF($B$2:B214,B214)&gt;1,"مكرر","فريد")</f>
        <v>فريد</v>
      </c>
      <c r="Q214" s="19" t="str">
        <f aca="false">IF(COUNTBLANK(D214:L214)&gt;0,"نعم","لا")</f>
        <v>نعم</v>
      </c>
    </row>
    <row r="215" customFormat="false" ht="15" hidden="false" customHeight="false" outlineLevel="0" collapsed="false">
      <c r="A215" s="19" t="n">
        <v>214</v>
      </c>
      <c r="B215" s="30" t="s">
        <v>1075</v>
      </c>
      <c r="C215" s="44" t="n">
        <v>45602</v>
      </c>
      <c r="D215" s="30" t="s">
        <v>54</v>
      </c>
      <c r="E215" s="30" t="s">
        <v>107</v>
      </c>
      <c r="F215" s="30" t="s">
        <v>184</v>
      </c>
      <c r="G215" s="31" t="n">
        <v>7399</v>
      </c>
      <c r="H215" s="19" t="n">
        <v>1</v>
      </c>
      <c r="I215" s="32" t="n">
        <v>0</v>
      </c>
      <c r="J215" s="30" t="s">
        <v>48</v>
      </c>
      <c r="K215" s="30" t="s">
        <v>47</v>
      </c>
      <c r="L215" s="30" t="s">
        <v>81</v>
      </c>
      <c r="M215" s="31" t="n">
        <f aca="false">AVERAGEIF($E$2:$E$1197,E215,$G$2:$G$1197)</f>
        <v>4981.14563106796</v>
      </c>
      <c r="N215" s="19" t="str">
        <f aca="false">IF(G215&gt;M215*3,"نعم","لا")</f>
        <v>لا</v>
      </c>
      <c r="O215" s="19" t="str">
        <f aca="false">IF(OR(C215="",ISNUMBER(C215)),"لا","نعم")</f>
        <v>لا</v>
      </c>
      <c r="P215" s="19" t="str">
        <f aca="false">IF(COUNTIF($B$2:B215,B215)&gt;1,"مكرر","فريد")</f>
        <v>فريد</v>
      </c>
      <c r="Q215" s="19" t="str">
        <f aca="false">IF(COUNTBLANK(D215:L215)&gt;0,"نعم","لا")</f>
        <v>لا</v>
      </c>
    </row>
    <row r="216" customFormat="false" ht="15" hidden="false" customHeight="false" outlineLevel="0" collapsed="false">
      <c r="A216" s="19" t="n">
        <v>215</v>
      </c>
      <c r="B216" s="30" t="s">
        <v>1122</v>
      </c>
      <c r="C216" s="44" t="n">
        <v>45612</v>
      </c>
      <c r="D216" s="30" t="s">
        <v>50</v>
      </c>
      <c r="E216" s="30" t="s">
        <v>109</v>
      </c>
      <c r="F216" s="30" t="s">
        <v>93</v>
      </c>
      <c r="G216" s="31" t="n">
        <v>99</v>
      </c>
      <c r="H216" s="19" t="n">
        <v>1</v>
      </c>
      <c r="I216" s="32" t="n">
        <v>0.1</v>
      </c>
      <c r="J216" s="30" t="s">
        <v>55</v>
      </c>
      <c r="K216" s="30" t="s">
        <v>47</v>
      </c>
      <c r="L216" s="30" t="s">
        <v>84</v>
      </c>
      <c r="M216" s="31" t="n">
        <f aca="false">AVERAGEIF($E$2:$E$1197,E216,$G$2:$G$1197)</f>
        <v>186.056291390729</v>
      </c>
      <c r="N216" s="19" t="str">
        <f aca="false">IF(G216&gt;M216*3,"نعم","لا")</f>
        <v>لا</v>
      </c>
      <c r="O216" s="19" t="str">
        <f aca="false">IF(OR(C216="",ISNUMBER(C216)),"لا","نعم")</f>
        <v>لا</v>
      </c>
      <c r="P216" s="19" t="str">
        <f aca="false">IF(COUNTIF($B$2:B216,B216)&gt;1,"مكرر","فريد")</f>
        <v>فريد</v>
      </c>
      <c r="Q216" s="19" t="str">
        <f aca="false">IF(COUNTBLANK(D216:L216)&gt;0,"نعم","لا")</f>
        <v>لا</v>
      </c>
    </row>
    <row r="217" customFormat="false" ht="15" hidden="false" customHeight="false" outlineLevel="0" collapsed="false">
      <c r="A217" s="19" t="n">
        <v>216</v>
      </c>
      <c r="B217" s="30" t="s">
        <v>1235</v>
      </c>
      <c r="C217" s="44" t="n">
        <v>45639</v>
      </c>
      <c r="D217" s="30" t="s">
        <v>57</v>
      </c>
      <c r="E217" s="30" t="s">
        <v>113</v>
      </c>
      <c r="F217" s="30" t="s">
        <v>97</v>
      </c>
      <c r="G217" s="31" t="n">
        <v>519</v>
      </c>
      <c r="H217" s="19" t="n">
        <v>2</v>
      </c>
      <c r="I217" s="32" t="n">
        <v>0</v>
      </c>
      <c r="J217" s="30" t="s">
        <v>48</v>
      </c>
      <c r="K217" s="30" t="s">
        <v>51</v>
      </c>
      <c r="L217" s="30" t="s">
        <v>99</v>
      </c>
      <c r="M217" s="31" t="n">
        <f aca="false">AVERAGEIF($E$2:$E$1197,E217,$G$2:$G$1197)</f>
        <v>545.358823529412</v>
      </c>
      <c r="N217" s="19" t="str">
        <f aca="false">IF(G217&gt;M217*3,"نعم","لا")</f>
        <v>لا</v>
      </c>
      <c r="O217" s="19" t="str">
        <f aca="false">IF(OR(C217="",ISNUMBER(C217)),"لا","نعم")</f>
        <v>لا</v>
      </c>
      <c r="P217" s="19" t="str">
        <f aca="false">IF(COUNTIF($B$2:B217,B217)&gt;1,"مكرر","فريد")</f>
        <v>فريد</v>
      </c>
      <c r="Q217" s="19" t="str">
        <f aca="false">IF(COUNTBLANK(D217:L217)&gt;0,"نعم","لا")</f>
        <v>لا</v>
      </c>
    </row>
    <row r="218" customFormat="false" ht="15" hidden="false" customHeight="false" outlineLevel="0" collapsed="false">
      <c r="A218" s="19" t="n">
        <v>217</v>
      </c>
      <c r="B218" s="30" t="s">
        <v>444</v>
      </c>
      <c r="C218" s="44" t="n">
        <v>45388</v>
      </c>
      <c r="D218" s="30" t="s">
        <v>54</v>
      </c>
      <c r="E218" s="30" t="s">
        <v>109</v>
      </c>
      <c r="F218" s="30" t="s">
        <v>93</v>
      </c>
      <c r="G218" s="31" t="n">
        <v>219</v>
      </c>
      <c r="H218" s="19" t="n">
        <v>1</v>
      </c>
      <c r="I218" s="32" t="n">
        <v>0</v>
      </c>
      <c r="J218" s="30" t="s">
        <v>52</v>
      </c>
      <c r="K218" s="30" t="s">
        <v>47</v>
      </c>
      <c r="L218" s="30" t="s">
        <v>89</v>
      </c>
      <c r="M218" s="31" t="n">
        <f aca="false">AVERAGEIF($E$2:$E$1197,E218,$G$2:$G$1197)</f>
        <v>186.056291390729</v>
      </c>
      <c r="N218" s="19" t="str">
        <f aca="false">IF(G218&gt;M218*3,"نعم","لا")</f>
        <v>لا</v>
      </c>
      <c r="O218" s="19" t="str">
        <f aca="false">IF(OR(C218="",ISNUMBER(C218)),"لا","نعم")</f>
        <v>لا</v>
      </c>
      <c r="P218" s="19" t="str">
        <f aca="false">IF(COUNTIF($B$2:B218,B218)&gt;1,"مكرر","فريد")</f>
        <v>فريد</v>
      </c>
      <c r="Q218" s="19" t="str">
        <f aca="false">IF(COUNTBLANK(D218:L218)&gt;0,"نعم","لا")</f>
        <v>لا</v>
      </c>
    </row>
    <row r="219" customFormat="false" ht="15" hidden="false" customHeight="false" outlineLevel="0" collapsed="false">
      <c r="A219" s="19" t="n">
        <v>218</v>
      </c>
      <c r="B219" s="30" t="s">
        <v>1047</v>
      </c>
      <c r="C219" s="44" t="n">
        <v>45596</v>
      </c>
      <c r="D219" s="30" t="s">
        <v>50</v>
      </c>
      <c r="E219" s="30" t="s">
        <v>113</v>
      </c>
      <c r="F219" s="30" t="s">
        <v>121</v>
      </c>
      <c r="G219" s="31" t="n">
        <v>469</v>
      </c>
      <c r="H219" s="19" t="n">
        <v>2</v>
      </c>
      <c r="I219" s="32" t="n">
        <v>0.1</v>
      </c>
      <c r="J219" s="30" t="s">
        <v>52</v>
      </c>
      <c r="K219" s="30" t="s">
        <v>47</v>
      </c>
      <c r="L219" s="30" t="s">
        <v>84</v>
      </c>
      <c r="M219" s="31" t="n">
        <f aca="false">AVERAGEIF($E$2:$E$1197,E219,$G$2:$G$1197)</f>
        <v>545.358823529412</v>
      </c>
      <c r="N219" s="19" t="str">
        <f aca="false">IF(G219&gt;M219*3,"نعم","لا")</f>
        <v>لا</v>
      </c>
      <c r="O219" s="19" t="str">
        <f aca="false">IF(OR(C219="",ISNUMBER(C219)),"لا","نعم")</f>
        <v>لا</v>
      </c>
      <c r="P219" s="19" t="str">
        <f aca="false">IF(COUNTIF($B$2:B219,B219)&gt;1,"مكرر","فريد")</f>
        <v>فريد</v>
      </c>
      <c r="Q219" s="19" t="str">
        <f aca="false">IF(COUNTBLANK(D219:L219)&gt;0,"نعم","لا")</f>
        <v>لا</v>
      </c>
    </row>
    <row r="220" customFormat="false" ht="15" hidden="false" customHeight="false" outlineLevel="0" collapsed="false">
      <c r="A220" s="19" t="n">
        <v>219</v>
      </c>
      <c r="B220" s="30" t="s">
        <v>714</v>
      </c>
      <c r="C220" s="30" t="s">
        <v>1378</v>
      </c>
      <c r="D220" s="30" t="s">
        <v>46</v>
      </c>
      <c r="E220" s="30" t="s">
        <v>105</v>
      </c>
      <c r="F220" s="30" t="s">
        <v>85</v>
      </c>
      <c r="G220" s="31" t="n">
        <v>4249</v>
      </c>
      <c r="H220" s="19"/>
      <c r="I220" s="32" t="n">
        <v>0</v>
      </c>
      <c r="J220" s="30" t="s">
        <v>58</v>
      </c>
      <c r="K220" s="30" t="s">
        <v>47</v>
      </c>
      <c r="L220" s="30" t="s">
        <v>96</v>
      </c>
      <c r="M220" s="31" t="n">
        <f aca="false">AVERAGEIF($E$2:$E$1197,E220,$G$2:$G$1197)</f>
        <v>2870.26771653543</v>
      </c>
      <c r="N220" s="19" t="str">
        <f aca="false">IF(G220&gt;M220*3,"نعم","لا")</f>
        <v>لا</v>
      </c>
      <c r="O220" s="19" t="str">
        <f aca="false">IF(OR(C220="",ISNUMBER(C220)),"لا","نعم")</f>
        <v>نعم</v>
      </c>
      <c r="P220" s="19" t="str">
        <f aca="false">IF(COUNTIF($B$2:B220,B220)&gt;1,"مكرر","فريد")</f>
        <v>فريد</v>
      </c>
      <c r="Q220" s="19" t="str">
        <f aca="false">IF(COUNTBLANK(D220:L220)&gt;0,"نعم","لا")</f>
        <v>نعم</v>
      </c>
    </row>
    <row r="221" customFormat="false" ht="15" hidden="false" customHeight="false" outlineLevel="0" collapsed="false">
      <c r="A221" s="19" t="n">
        <v>220</v>
      </c>
      <c r="B221" s="30" t="s">
        <v>572</v>
      </c>
      <c r="C221" s="44" t="n">
        <v>45439</v>
      </c>
      <c r="D221" s="30" t="s">
        <v>54</v>
      </c>
      <c r="E221" s="30" t="s">
        <v>109</v>
      </c>
      <c r="F221" s="30" t="s">
        <v>175</v>
      </c>
      <c r="G221" s="31" t="n">
        <v>139</v>
      </c>
      <c r="H221" s="19" t="n">
        <v>4</v>
      </c>
      <c r="I221" s="32" t="n">
        <v>0</v>
      </c>
      <c r="J221" s="30" t="s">
        <v>48</v>
      </c>
      <c r="K221" s="30" t="s">
        <v>51</v>
      </c>
      <c r="L221" s="30" t="s">
        <v>84</v>
      </c>
      <c r="M221" s="31" t="n">
        <f aca="false">AVERAGEIF($E$2:$E$1197,E221,$G$2:$G$1197)</f>
        <v>186.056291390729</v>
      </c>
      <c r="N221" s="19" t="str">
        <f aca="false">IF(G221&gt;M221*3,"نعم","لا")</f>
        <v>لا</v>
      </c>
      <c r="O221" s="19" t="str">
        <f aca="false">IF(OR(C221="",ISNUMBER(C221)),"لا","نعم")</f>
        <v>لا</v>
      </c>
      <c r="P221" s="19" t="str">
        <f aca="false">IF(COUNTIF($B$2:B221,B221)&gt;1,"مكرر","فريد")</f>
        <v>فريد</v>
      </c>
      <c r="Q221" s="19" t="str">
        <f aca="false">IF(COUNTBLANK(D221:L221)&gt;0,"نعم","لا")</f>
        <v>لا</v>
      </c>
    </row>
    <row r="222" customFormat="false" ht="15" hidden="false" customHeight="false" outlineLevel="0" collapsed="false">
      <c r="A222" s="19" t="n">
        <v>221</v>
      </c>
      <c r="B222" s="30" t="s">
        <v>1132</v>
      </c>
      <c r="C222" s="30" t="s">
        <v>1379</v>
      </c>
      <c r="D222" s="30" t="s">
        <v>50</v>
      </c>
      <c r="E222" s="30" t="s">
        <v>105</v>
      </c>
      <c r="F222" s="30" t="s">
        <v>79</v>
      </c>
      <c r="G222" s="31" t="n">
        <v>1969</v>
      </c>
      <c r="H222" s="19" t="n">
        <v>1</v>
      </c>
      <c r="I222" s="32" t="n">
        <v>0</v>
      </c>
      <c r="J222" s="30" t="s">
        <v>48</v>
      </c>
      <c r="K222" s="30" t="s">
        <v>47</v>
      </c>
      <c r="L222" s="30" t="s">
        <v>92</v>
      </c>
      <c r="M222" s="31" t="n">
        <f aca="false">AVERAGEIF($E$2:$E$1197,E222,$G$2:$G$1197)</f>
        <v>2870.26771653543</v>
      </c>
      <c r="N222" s="19" t="str">
        <f aca="false">IF(G222&gt;M222*3,"نعم","لا")</f>
        <v>لا</v>
      </c>
      <c r="O222" s="19" t="str">
        <f aca="false">IF(OR(C222="",ISNUMBER(C222)),"لا","نعم")</f>
        <v>نعم</v>
      </c>
      <c r="P222" s="19" t="str">
        <f aca="false">IF(COUNTIF($B$2:B222,B222)&gt;1,"مكرر","فريد")</f>
        <v>فريد</v>
      </c>
      <c r="Q222" s="19" t="str">
        <f aca="false">IF(COUNTBLANK(D222:L222)&gt;0,"نعم","لا")</f>
        <v>لا</v>
      </c>
    </row>
    <row r="223" customFormat="false" ht="15" hidden="false" customHeight="false" outlineLevel="0" collapsed="false">
      <c r="A223" s="19" t="n">
        <v>222</v>
      </c>
      <c r="B223" s="30" t="s">
        <v>1037</v>
      </c>
      <c r="C223" s="44" t="n">
        <v>45594</v>
      </c>
      <c r="D223" s="30" t="s">
        <v>60</v>
      </c>
      <c r="E223" s="30" t="s">
        <v>105</v>
      </c>
      <c r="F223" s="30" t="s">
        <v>79</v>
      </c>
      <c r="G223" s="31" t="n">
        <v>2929</v>
      </c>
      <c r="H223" s="19" t="n">
        <v>2</v>
      </c>
      <c r="I223" s="32"/>
      <c r="J223" s="30" t="s">
        <v>52</v>
      </c>
      <c r="K223" s="30" t="s">
        <v>47</v>
      </c>
      <c r="L223" s="30" t="s">
        <v>94</v>
      </c>
      <c r="M223" s="31" t="n">
        <f aca="false">AVERAGEIF($E$2:$E$1197,E223,$G$2:$G$1197)</f>
        <v>2870.26771653543</v>
      </c>
      <c r="N223" s="19" t="str">
        <f aca="false">IF(G223&gt;M223*3,"نعم","لا")</f>
        <v>لا</v>
      </c>
      <c r="O223" s="19" t="str">
        <f aca="false">IF(OR(C223="",ISNUMBER(C223)),"لا","نعم")</f>
        <v>لا</v>
      </c>
      <c r="P223" s="19" t="str">
        <f aca="false">IF(COUNTIF($B$2:B223,B223)&gt;1,"مكرر","فريد")</f>
        <v>فريد</v>
      </c>
      <c r="Q223" s="19" t="str">
        <f aca="false">IF(COUNTBLANK(D223:L223)&gt;0,"نعم","لا")</f>
        <v>نعم</v>
      </c>
    </row>
    <row r="224" customFormat="false" ht="15" hidden="false" customHeight="false" outlineLevel="0" collapsed="false">
      <c r="A224" s="19" t="n">
        <v>223</v>
      </c>
      <c r="B224" s="30" t="s">
        <v>1193</v>
      </c>
      <c r="C224" s="44" t="n">
        <v>45630</v>
      </c>
      <c r="D224" s="30" t="s">
        <v>57</v>
      </c>
      <c r="E224" s="30" t="s">
        <v>111</v>
      </c>
      <c r="F224" s="30" t="s">
        <v>122</v>
      </c>
      <c r="G224" s="31" t="n">
        <v>399</v>
      </c>
      <c r="H224" s="19" t="n">
        <v>1</v>
      </c>
      <c r="I224" s="32" t="n">
        <v>0.05</v>
      </c>
      <c r="J224" s="30" t="s">
        <v>52</v>
      </c>
      <c r="K224" s="30" t="s">
        <v>47</v>
      </c>
      <c r="L224" s="30" t="s">
        <v>81</v>
      </c>
      <c r="M224" s="31" t="n">
        <f aca="false">AVERAGEIF($E$2:$E$1197,E224,$G$2:$G$1197)</f>
        <v>366.306569343066</v>
      </c>
      <c r="N224" s="19" t="str">
        <f aca="false">IF(G224&gt;M224*3,"نعم","لا")</f>
        <v>لا</v>
      </c>
      <c r="O224" s="19" t="str">
        <f aca="false">IF(OR(C224="",ISNUMBER(C224)),"لا","نعم")</f>
        <v>لا</v>
      </c>
      <c r="P224" s="19" t="str">
        <f aca="false">IF(COUNTIF($B$2:B224,B224)&gt;1,"مكرر","فريد")</f>
        <v>فريد</v>
      </c>
      <c r="Q224" s="19" t="str">
        <f aca="false">IF(COUNTBLANK(D224:L224)&gt;0,"نعم","لا")</f>
        <v>لا</v>
      </c>
    </row>
    <row r="225" customFormat="false" ht="15" hidden="false" customHeight="false" outlineLevel="0" collapsed="false">
      <c r="A225" s="19" t="n">
        <v>224</v>
      </c>
      <c r="B225" s="30" t="s">
        <v>458</v>
      </c>
      <c r="C225" s="44" t="n">
        <v>45392</v>
      </c>
      <c r="D225" s="30" t="s">
        <v>54</v>
      </c>
      <c r="E225" s="30" t="s">
        <v>105</v>
      </c>
      <c r="F225" s="30" t="s">
        <v>85</v>
      </c>
      <c r="G225" s="31" t="n">
        <v>2099</v>
      </c>
      <c r="H225" s="19" t="n">
        <v>1</v>
      </c>
      <c r="I225" s="32" t="n">
        <v>0.1</v>
      </c>
      <c r="J225" s="30" t="s">
        <v>48</v>
      </c>
      <c r="K225" s="30" t="s">
        <v>47</v>
      </c>
      <c r="L225" s="30" t="s">
        <v>78</v>
      </c>
      <c r="M225" s="31" t="n">
        <f aca="false">AVERAGEIF($E$2:$E$1197,E225,$G$2:$G$1197)</f>
        <v>2870.26771653543</v>
      </c>
      <c r="N225" s="19" t="str">
        <f aca="false">IF(G225&gt;M225*3,"نعم","لا")</f>
        <v>لا</v>
      </c>
      <c r="O225" s="19" t="str">
        <f aca="false">IF(OR(C225="",ISNUMBER(C225)),"لا","نعم")</f>
        <v>لا</v>
      </c>
      <c r="P225" s="19" t="str">
        <f aca="false">IF(COUNTIF($B$2:B225,B225)&gt;1,"مكرر","فريد")</f>
        <v>فريد</v>
      </c>
      <c r="Q225" s="19" t="str">
        <f aca="false">IF(COUNTBLANK(D225:L225)&gt;0,"نعم","لا")</f>
        <v>لا</v>
      </c>
    </row>
    <row r="226" customFormat="false" ht="15" hidden="false" customHeight="false" outlineLevel="0" collapsed="false">
      <c r="A226" s="19" t="n">
        <v>225</v>
      </c>
      <c r="B226" s="30" t="s">
        <v>858</v>
      </c>
      <c r="C226" s="44" t="n">
        <v>45532</v>
      </c>
      <c r="D226" s="30" t="s">
        <v>50</v>
      </c>
      <c r="E226" s="30" t="s">
        <v>111</v>
      </c>
      <c r="F226" s="30" t="s">
        <v>120</v>
      </c>
      <c r="G226" s="31" t="n">
        <v>209</v>
      </c>
      <c r="H226" s="19" t="n">
        <v>1</v>
      </c>
      <c r="I226" s="32" t="n">
        <v>0.1</v>
      </c>
      <c r="J226" s="30" t="s">
        <v>55</v>
      </c>
      <c r="K226" s="30" t="s">
        <v>47</v>
      </c>
      <c r="L226" s="30" t="s">
        <v>86</v>
      </c>
      <c r="M226" s="31" t="n">
        <f aca="false">AVERAGEIF($E$2:$E$1197,E226,$G$2:$G$1197)</f>
        <v>366.306569343066</v>
      </c>
      <c r="N226" s="19" t="str">
        <f aca="false">IF(G226&gt;M226*3,"نعم","لا")</f>
        <v>لا</v>
      </c>
      <c r="O226" s="19" t="str">
        <f aca="false">IF(OR(C226="",ISNUMBER(C226)),"لا","نعم")</f>
        <v>لا</v>
      </c>
      <c r="P226" s="19" t="str">
        <f aca="false">IF(COUNTIF($B$2:B226,B226)&gt;1,"مكرر","فريد")</f>
        <v>فريد</v>
      </c>
      <c r="Q226" s="19" t="str">
        <f aca="false">IF(COUNTBLANK(D226:L226)&gt;0,"نعم","لا")</f>
        <v>لا</v>
      </c>
    </row>
    <row r="227" customFormat="false" ht="15" hidden="false" customHeight="false" outlineLevel="0" collapsed="false">
      <c r="A227" s="19" t="n">
        <v>226</v>
      </c>
      <c r="B227" s="30" t="s">
        <v>684</v>
      </c>
      <c r="C227" s="44" t="n">
        <v>45479</v>
      </c>
      <c r="D227" s="30" t="s">
        <v>60</v>
      </c>
      <c r="E227" s="30" t="s">
        <v>111</v>
      </c>
      <c r="F227" s="30" t="s">
        <v>122</v>
      </c>
      <c r="G227" s="31" t="n">
        <v>499</v>
      </c>
      <c r="H227" s="19" t="n">
        <v>1</v>
      </c>
      <c r="I227" s="32" t="n">
        <v>0.05</v>
      </c>
      <c r="J227" s="30" t="s">
        <v>55</v>
      </c>
      <c r="K227" s="30" t="s">
        <v>47</v>
      </c>
      <c r="L227" s="30" t="s">
        <v>86</v>
      </c>
      <c r="M227" s="31" t="n">
        <f aca="false">AVERAGEIF($E$2:$E$1197,E227,$G$2:$G$1197)</f>
        <v>366.306569343066</v>
      </c>
      <c r="N227" s="19" t="str">
        <f aca="false">IF(G227&gt;M227*3,"نعم","لا")</f>
        <v>لا</v>
      </c>
      <c r="O227" s="19" t="str">
        <f aca="false">IF(OR(C227="",ISNUMBER(C227)),"لا","نعم")</f>
        <v>لا</v>
      </c>
      <c r="P227" s="19" t="str">
        <f aca="false">IF(COUNTIF($B$2:B227,B227)&gt;1,"مكرر","فريد")</f>
        <v>فريد</v>
      </c>
      <c r="Q227" s="19" t="str">
        <f aca="false">IF(COUNTBLANK(D227:L227)&gt;0,"نعم","لا")</f>
        <v>لا</v>
      </c>
    </row>
    <row r="228" customFormat="false" ht="15" hidden="false" customHeight="false" outlineLevel="0" collapsed="false">
      <c r="A228" s="19" t="n">
        <v>227</v>
      </c>
      <c r="B228" s="30" t="s">
        <v>253</v>
      </c>
      <c r="C228" s="44" t="n">
        <v>45323</v>
      </c>
      <c r="D228" s="30" t="s">
        <v>46</v>
      </c>
      <c r="E228" s="30" t="s">
        <v>113</v>
      </c>
      <c r="F228" s="30" t="s">
        <v>97</v>
      </c>
      <c r="G228" s="31" t="n">
        <v>559</v>
      </c>
      <c r="H228" s="19" t="n">
        <v>1</v>
      </c>
      <c r="I228" s="32" t="n">
        <v>0.05</v>
      </c>
      <c r="J228" s="30" t="s">
        <v>48</v>
      </c>
      <c r="K228" s="30" t="s">
        <v>47</v>
      </c>
      <c r="L228" s="30" t="s">
        <v>78</v>
      </c>
      <c r="M228" s="31" t="n">
        <f aca="false">AVERAGEIF($E$2:$E$1197,E228,$G$2:$G$1197)</f>
        <v>545.358823529412</v>
      </c>
      <c r="N228" s="19" t="str">
        <f aca="false">IF(G228&gt;M228*3,"نعم","لا")</f>
        <v>لا</v>
      </c>
      <c r="O228" s="19" t="str">
        <f aca="false">IF(OR(C228="",ISNUMBER(C228)),"لا","نعم")</f>
        <v>لا</v>
      </c>
      <c r="P228" s="19" t="str">
        <f aca="false">IF(COUNTIF($B$2:B228,B228)&gt;1,"مكرر","فريد")</f>
        <v>فريد</v>
      </c>
      <c r="Q228" s="19" t="str">
        <f aca="false">IF(COUNTBLANK(D228:L228)&gt;0,"نعم","لا")</f>
        <v>لا</v>
      </c>
    </row>
    <row r="229" customFormat="false" ht="15" hidden="false" customHeight="false" outlineLevel="0" collapsed="false">
      <c r="A229" s="19" t="n">
        <v>228</v>
      </c>
      <c r="B229" s="30" t="s">
        <v>701</v>
      </c>
      <c r="C229" s="44" t="n">
        <v>45486</v>
      </c>
      <c r="D229" s="30" t="s">
        <v>46</v>
      </c>
      <c r="E229" s="30" t="s">
        <v>109</v>
      </c>
      <c r="F229" s="30" t="s">
        <v>110</v>
      </c>
      <c r="G229" s="31" t="n">
        <v>339</v>
      </c>
      <c r="H229" s="19"/>
      <c r="I229" s="32" t="n">
        <v>0</v>
      </c>
      <c r="J229" s="30" t="s">
        <v>48</v>
      </c>
      <c r="K229" s="30" t="s">
        <v>47</v>
      </c>
      <c r="L229" s="30" t="s">
        <v>84</v>
      </c>
      <c r="M229" s="31" t="n">
        <f aca="false">AVERAGEIF($E$2:$E$1197,E229,$G$2:$G$1197)</f>
        <v>186.056291390729</v>
      </c>
      <c r="N229" s="19" t="str">
        <f aca="false">IF(G229&gt;M229*3,"نعم","لا")</f>
        <v>لا</v>
      </c>
      <c r="O229" s="19" t="str">
        <f aca="false">IF(OR(C229="",ISNUMBER(C229)),"لا","نعم")</f>
        <v>لا</v>
      </c>
      <c r="P229" s="19" t="str">
        <f aca="false">IF(COUNTIF($B$2:B229,B229)&gt;1,"مكرر","فريد")</f>
        <v>فريد</v>
      </c>
      <c r="Q229" s="19" t="str">
        <f aca="false">IF(COUNTBLANK(D229:L229)&gt;0,"نعم","لا")</f>
        <v>نعم</v>
      </c>
    </row>
    <row r="230" customFormat="false" ht="15" hidden="false" customHeight="false" outlineLevel="0" collapsed="false">
      <c r="A230" s="19" t="n">
        <v>229</v>
      </c>
      <c r="B230" s="30" t="s">
        <v>838</v>
      </c>
      <c r="C230" s="44" t="n">
        <v>45526</v>
      </c>
      <c r="D230" s="30" t="s">
        <v>46</v>
      </c>
      <c r="E230" s="30" t="s">
        <v>111</v>
      </c>
      <c r="F230" s="30" t="s">
        <v>108</v>
      </c>
      <c r="G230" s="31" t="n">
        <v>239</v>
      </c>
      <c r="H230" s="19" t="n">
        <v>1</v>
      </c>
      <c r="I230" s="32" t="n">
        <v>0</v>
      </c>
      <c r="J230" s="30" t="s">
        <v>55</v>
      </c>
      <c r="K230" s="30" t="s">
        <v>47</v>
      </c>
      <c r="L230" s="30" t="s">
        <v>94</v>
      </c>
      <c r="M230" s="31" t="n">
        <f aca="false">AVERAGEIF($E$2:$E$1197,E230,$G$2:$G$1197)</f>
        <v>366.306569343066</v>
      </c>
      <c r="N230" s="19" t="str">
        <f aca="false">IF(G230&gt;M230*3,"نعم","لا")</f>
        <v>لا</v>
      </c>
      <c r="O230" s="19" t="str">
        <f aca="false">IF(OR(C230="",ISNUMBER(C230)),"لا","نعم")</f>
        <v>لا</v>
      </c>
      <c r="P230" s="19" t="str">
        <f aca="false">IF(COUNTIF($B$2:B230,B230)&gt;1,"مكرر","فريد")</f>
        <v>فريد</v>
      </c>
      <c r="Q230" s="19" t="str">
        <f aca="false">IF(COUNTBLANK(D230:L230)&gt;0,"نعم","لا")</f>
        <v>لا</v>
      </c>
    </row>
    <row r="231" customFormat="false" ht="15" hidden="false" customHeight="false" outlineLevel="0" collapsed="false">
      <c r="A231" s="19" t="n">
        <v>230</v>
      </c>
      <c r="B231" s="30" t="s">
        <v>474</v>
      </c>
      <c r="C231" s="44" t="n">
        <v>45400</v>
      </c>
      <c r="D231" s="30" t="s">
        <v>1338</v>
      </c>
      <c r="E231" s="30" t="s">
        <v>113</v>
      </c>
      <c r="F231" s="30" t="s">
        <v>97</v>
      </c>
      <c r="G231" s="31" t="n">
        <v>309</v>
      </c>
      <c r="H231" s="19" t="n">
        <v>1</v>
      </c>
      <c r="I231" s="32" t="n">
        <v>0</v>
      </c>
      <c r="J231" s="30" t="s">
        <v>48</v>
      </c>
      <c r="K231" s="30" t="s">
        <v>47</v>
      </c>
      <c r="L231" s="30" t="s">
        <v>78</v>
      </c>
      <c r="M231" s="31" t="n">
        <f aca="false">AVERAGEIF($E$2:$E$1197,E231,$G$2:$G$1197)</f>
        <v>545.358823529412</v>
      </c>
      <c r="N231" s="19" t="str">
        <f aca="false">IF(G231&gt;M231*3,"نعم","لا")</f>
        <v>لا</v>
      </c>
      <c r="O231" s="19" t="str">
        <f aca="false">IF(OR(C231="",ISNUMBER(C231)),"لا","نعم")</f>
        <v>لا</v>
      </c>
      <c r="P231" s="19" t="str">
        <f aca="false">IF(COUNTIF($B$2:B231,B231)&gt;1,"مكرر","فريد")</f>
        <v>فريد</v>
      </c>
      <c r="Q231" s="19" t="str">
        <f aca="false">IF(COUNTBLANK(D231:L231)&gt;0,"نعم","لا")</f>
        <v>لا</v>
      </c>
    </row>
    <row r="232" customFormat="false" ht="15" hidden="false" customHeight="false" outlineLevel="0" collapsed="false">
      <c r="A232" s="19" t="n">
        <v>231</v>
      </c>
      <c r="B232" s="30" t="s">
        <v>302</v>
      </c>
      <c r="C232" s="44" t="n">
        <v>45341</v>
      </c>
      <c r="D232" s="30" t="s">
        <v>50</v>
      </c>
      <c r="E232" s="30" t="s">
        <v>113</v>
      </c>
      <c r="F232" s="30" t="s">
        <v>95</v>
      </c>
      <c r="G232" s="31" t="n">
        <v>459</v>
      </c>
      <c r="H232" s="19" t="n">
        <v>5</v>
      </c>
      <c r="I232" s="32"/>
      <c r="J232" s="30" t="s">
        <v>58</v>
      </c>
      <c r="K232" s="30" t="s">
        <v>51</v>
      </c>
      <c r="L232" s="30" t="s">
        <v>99</v>
      </c>
      <c r="M232" s="31" t="n">
        <f aca="false">AVERAGEIF($E$2:$E$1197,E232,$G$2:$G$1197)</f>
        <v>545.358823529412</v>
      </c>
      <c r="N232" s="19" t="str">
        <f aca="false">IF(G232&gt;M232*3,"نعم","لا")</f>
        <v>لا</v>
      </c>
      <c r="O232" s="19" t="str">
        <f aca="false">IF(OR(C232="",ISNUMBER(C232)),"لا","نعم")</f>
        <v>لا</v>
      </c>
      <c r="P232" s="19" t="str">
        <f aca="false">IF(COUNTIF($B$2:B232,B232)&gt;1,"مكرر","فريد")</f>
        <v>فريد</v>
      </c>
      <c r="Q232" s="19" t="str">
        <f aca="false">IF(COUNTBLANK(D232:L232)&gt;0,"نعم","لا")</f>
        <v>نعم</v>
      </c>
    </row>
    <row r="233" customFormat="false" ht="15" hidden="false" customHeight="false" outlineLevel="0" collapsed="false">
      <c r="A233" s="19" t="n">
        <v>232</v>
      </c>
      <c r="B233" s="30" t="s">
        <v>1040</v>
      </c>
      <c r="C233" s="44" t="n">
        <v>45594</v>
      </c>
      <c r="D233" s="30" t="s">
        <v>50</v>
      </c>
      <c r="E233" s="30" t="s">
        <v>109</v>
      </c>
      <c r="F233" s="30" t="s">
        <v>93</v>
      </c>
      <c r="G233" s="31" t="n">
        <v>319</v>
      </c>
      <c r="H233" s="19" t="n">
        <v>1</v>
      </c>
      <c r="I233" s="32" t="n">
        <v>0</v>
      </c>
      <c r="J233" s="30" t="s">
        <v>55</v>
      </c>
      <c r="K233" s="30" t="s">
        <v>47</v>
      </c>
      <c r="L233" s="30" t="s">
        <v>96</v>
      </c>
      <c r="M233" s="31" t="n">
        <f aca="false">AVERAGEIF($E$2:$E$1197,E233,$G$2:$G$1197)</f>
        <v>186.056291390729</v>
      </c>
      <c r="N233" s="19" t="str">
        <f aca="false">IF(G233&gt;M233*3,"نعم","لا")</f>
        <v>لا</v>
      </c>
      <c r="O233" s="19" t="str">
        <f aca="false">IF(OR(C233="",ISNUMBER(C233)),"لا","نعم")</f>
        <v>لا</v>
      </c>
      <c r="P233" s="19" t="str">
        <f aca="false">IF(COUNTIF($B$2:B233,B233)&gt;1,"مكرر","فريد")</f>
        <v>فريد</v>
      </c>
      <c r="Q233" s="19" t="str">
        <f aca="false">IF(COUNTBLANK(D233:L233)&gt;0,"نعم","لا")</f>
        <v>لا</v>
      </c>
    </row>
    <row r="234" customFormat="false" ht="15" hidden="false" customHeight="false" outlineLevel="0" collapsed="false">
      <c r="A234" s="19" t="n">
        <v>233</v>
      </c>
      <c r="B234" s="30" t="s">
        <v>1082</v>
      </c>
      <c r="C234" s="30" t="s">
        <v>1380</v>
      </c>
      <c r="D234" s="30" t="s">
        <v>60</v>
      </c>
      <c r="E234" s="30" t="s">
        <v>107</v>
      </c>
      <c r="F234" s="30" t="s">
        <v>272</v>
      </c>
      <c r="G234" s="31" t="n">
        <v>2069</v>
      </c>
      <c r="H234" s="19" t="n">
        <v>4</v>
      </c>
      <c r="I234" s="32" t="n">
        <v>0</v>
      </c>
      <c r="J234" s="30" t="s">
        <v>52</v>
      </c>
      <c r="K234" s="30" t="s">
        <v>51</v>
      </c>
      <c r="L234" s="30" t="s">
        <v>89</v>
      </c>
      <c r="M234" s="31" t="n">
        <f aca="false">AVERAGEIF($E$2:$E$1197,E234,$G$2:$G$1197)</f>
        <v>4981.14563106796</v>
      </c>
      <c r="N234" s="19" t="str">
        <f aca="false">IF(G234&gt;M234*3,"نعم","لا")</f>
        <v>لا</v>
      </c>
      <c r="O234" s="19" t="str">
        <f aca="false">IF(OR(C234="",ISNUMBER(C234)),"لا","نعم")</f>
        <v>نعم</v>
      </c>
      <c r="P234" s="19" t="str">
        <f aca="false">IF(COUNTIF($B$2:B234,B234)&gt;1,"مكرر","فريد")</f>
        <v>فريد</v>
      </c>
      <c r="Q234" s="19" t="str">
        <f aca="false">IF(COUNTBLANK(D234:L234)&gt;0,"نعم","لا")</f>
        <v>لا</v>
      </c>
    </row>
    <row r="235" customFormat="false" ht="15" hidden="false" customHeight="false" outlineLevel="0" collapsed="false">
      <c r="A235" s="19" t="n">
        <v>234</v>
      </c>
      <c r="B235" s="30" t="s">
        <v>914</v>
      </c>
      <c r="C235" s="44" t="n">
        <v>45552</v>
      </c>
      <c r="D235" s="30" t="s">
        <v>1337</v>
      </c>
      <c r="E235" s="30" t="s">
        <v>109</v>
      </c>
      <c r="F235" s="30" t="s">
        <v>192</v>
      </c>
      <c r="G235" s="31" t="n">
        <v>159</v>
      </c>
      <c r="H235" s="19" t="n">
        <v>2</v>
      </c>
      <c r="I235" s="32" t="n">
        <v>0</v>
      </c>
      <c r="J235" s="30" t="s">
        <v>48</v>
      </c>
      <c r="K235" s="30" t="s">
        <v>47</v>
      </c>
      <c r="L235" s="30" t="s">
        <v>86</v>
      </c>
      <c r="M235" s="31" t="n">
        <f aca="false">AVERAGEIF($E$2:$E$1197,E235,$G$2:$G$1197)</f>
        <v>186.056291390729</v>
      </c>
      <c r="N235" s="19" t="str">
        <f aca="false">IF(G235&gt;M235*3,"نعم","لا")</f>
        <v>لا</v>
      </c>
      <c r="O235" s="19" t="str">
        <f aca="false">IF(OR(C235="",ISNUMBER(C235)),"لا","نعم")</f>
        <v>لا</v>
      </c>
      <c r="P235" s="19" t="str">
        <f aca="false">IF(COUNTIF($B$2:B235,B235)&gt;1,"مكرر","فريد")</f>
        <v>فريد</v>
      </c>
      <c r="Q235" s="19" t="str">
        <f aca="false">IF(COUNTBLANK(D235:L235)&gt;0,"نعم","لا")</f>
        <v>لا</v>
      </c>
    </row>
    <row r="236" customFormat="false" ht="15" hidden="false" customHeight="false" outlineLevel="0" collapsed="false">
      <c r="A236" s="19" t="n">
        <v>235</v>
      </c>
      <c r="B236" s="30" t="s">
        <v>542</v>
      </c>
      <c r="C236" s="44" t="n">
        <v>45427</v>
      </c>
      <c r="D236" s="30" t="s">
        <v>60</v>
      </c>
      <c r="E236" s="30" t="s">
        <v>105</v>
      </c>
      <c r="F236" s="30" t="s">
        <v>79</v>
      </c>
      <c r="G236" s="31" t="n">
        <v>2839</v>
      </c>
      <c r="H236" s="19" t="n">
        <v>1</v>
      </c>
      <c r="I236" s="32" t="n">
        <v>0</v>
      </c>
      <c r="J236" s="30" t="s">
        <v>58</v>
      </c>
      <c r="K236" s="30" t="s">
        <v>47</v>
      </c>
      <c r="L236" s="30" t="s">
        <v>78</v>
      </c>
      <c r="M236" s="31" t="n">
        <f aca="false">AVERAGEIF($E$2:$E$1197,E236,$G$2:$G$1197)</f>
        <v>2870.26771653543</v>
      </c>
      <c r="N236" s="19" t="str">
        <f aca="false">IF(G236&gt;M236*3,"نعم","لا")</f>
        <v>لا</v>
      </c>
      <c r="O236" s="19" t="str">
        <f aca="false">IF(OR(C236="",ISNUMBER(C236)),"لا","نعم")</f>
        <v>لا</v>
      </c>
      <c r="P236" s="19" t="str">
        <f aca="false">IF(COUNTIF($B$2:B236,B236)&gt;1,"مكرر","فريد")</f>
        <v>فريد</v>
      </c>
      <c r="Q236" s="19" t="str">
        <f aca="false">IF(COUNTBLANK(D236:L236)&gt;0,"نعم","لا")</f>
        <v>لا</v>
      </c>
    </row>
    <row r="237" customFormat="false" ht="15" hidden="false" customHeight="false" outlineLevel="0" collapsed="false">
      <c r="A237" s="19" t="n">
        <v>236</v>
      </c>
      <c r="B237" s="30" t="s">
        <v>690</v>
      </c>
      <c r="C237" s="44" t="n">
        <v>45481</v>
      </c>
      <c r="D237" s="30" t="s">
        <v>57</v>
      </c>
      <c r="E237" s="30" t="s">
        <v>109</v>
      </c>
      <c r="F237" s="30" t="s">
        <v>110</v>
      </c>
      <c r="G237" s="31" t="n">
        <v>279</v>
      </c>
      <c r="H237" s="19" t="n">
        <v>2</v>
      </c>
      <c r="I237" s="32" t="n">
        <v>0</v>
      </c>
      <c r="J237" s="30" t="s">
        <v>52</v>
      </c>
      <c r="K237" s="30" t="s">
        <v>47</v>
      </c>
      <c r="L237" s="30" t="s">
        <v>84</v>
      </c>
      <c r="M237" s="31" t="n">
        <f aca="false">AVERAGEIF($E$2:$E$1197,E237,$G$2:$G$1197)</f>
        <v>186.056291390729</v>
      </c>
      <c r="N237" s="19" t="str">
        <f aca="false">IF(G237&gt;M237*3,"نعم","لا")</f>
        <v>لا</v>
      </c>
      <c r="O237" s="19" t="str">
        <f aca="false">IF(OR(C237="",ISNUMBER(C237)),"لا","نعم")</f>
        <v>لا</v>
      </c>
      <c r="P237" s="19" t="str">
        <f aca="false">IF(COUNTIF($B$2:B237,B237)&gt;1,"مكرر","فريد")</f>
        <v>فريد</v>
      </c>
      <c r="Q237" s="19" t="str">
        <f aca="false">IF(COUNTBLANK(D237:L237)&gt;0,"نعم","لا")</f>
        <v>لا</v>
      </c>
    </row>
    <row r="238" customFormat="false" ht="15" hidden="false" customHeight="false" outlineLevel="0" collapsed="false">
      <c r="A238" s="19" t="n">
        <v>237</v>
      </c>
      <c r="B238" s="30" t="s">
        <v>702</v>
      </c>
      <c r="C238" s="44" t="n">
        <v>45486</v>
      </c>
      <c r="D238" s="30" t="s">
        <v>50</v>
      </c>
      <c r="E238" s="30" t="s">
        <v>105</v>
      </c>
      <c r="F238" s="30" t="s">
        <v>79</v>
      </c>
      <c r="G238" s="31" t="n">
        <v>1679</v>
      </c>
      <c r="H238" s="19" t="n">
        <v>2</v>
      </c>
      <c r="I238" s="32" t="n">
        <v>0</v>
      </c>
      <c r="J238" s="30" t="s">
        <v>52</v>
      </c>
      <c r="K238" s="30" t="s">
        <v>51</v>
      </c>
      <c r="L238" s="30" t="s">
        <v>94</v>
      </c>
      <c r="M238" s="31" t="n">
        <f aca="false">AVERAGEIF($E$2:$E$1197,E238,$G$2:$G$1197)</f>
        <v>2870.26771653543</v>
      </c>
      <c r="N238" s="19" t="str">
        <f aca="false">IF(G238&gt;M238*3,"نعم","لا")</f>
        <v>لا</v>
      </c>
      <c r="O238" s="19" t="str">
        <f aca="false">IF(OR(C238="",ISNUMBER(C238)),"لا","نعم")</f>
        <v>لا</v>
      </c>
      <c r="P238" s="19" t="str">
        <f aca="false">IF(COUNTIF($B$2:B238,B238)&gt;1,"مكرر","فريد")</f>
        <v>فريد</v>
      </c>
      <c r="Q238" s="19" t="str">
        <f aca="false">IF(COUNTBLANK(D238:L238)&gt;0,"نعم","لا")</f>
        <v>لا</v>
      </c>
    </row>
    <row r="239" customFormat="false" ht="15" hidden="false" customHeight="false" outlineLevel="0" collapsed="false">
      <c r="A239" s="19" t="n">
        <v>238</v>
      </c>
      <c r="B239" s="30" t="s">
        <v>434</v>
      </c>
      <c r="C239" s="44" t="n">
        <v>45385</v>
      </c>
      <c r="D239" s="30" t="s">
        <v>46</v>
      </c>
      <c r="E239" s="30" t="s">
        <v>105</v>
      </c>
      <c r="F239" s="30" t="s">
        <v>85</v>
      </c>
      <c r="G239" s="31" t="n">
        <v>4449</v>
      </c>
      <c r="H239" s="19" t="n">
        <v>1</v>
      </c>
      <c r="I239" s="32" t="n">
        <v>0.05</v>
      </c>
      <c r="J239" s="30" t="s">
        <v>48</v>
      </c>
      <c r="K239" s="30" t="s">
        <v>47</v>
      </c>
      <c r="L239" s="30" t="s">
        <v>81</v>
      </c>
      <c r="M239" s="31" t="n">
        <f aca="false">AVERAGEIF($E$2:$E$1197,E239,$G$2:$G$1197)</f>
        <v>2870.26771653543</v>
      </c>
      <c r="N239" s="19" t="str">
        <f aca="false">IF(G239&gt;M239*3,"نعم","لا")</f>
        <v>لا</v>
      </c>
      <c r="O239" s="19" t="str">
        <f aca="false">IF(OR(C239="",ISNUMBER(C239)),"لا","نعم")</f>
        <v>لا</v>
      </c>
      <c r="P239" s="19" t="str">
        <f aca="false">IF(COUNTIF($B$2:B239,B239)&gt;1,"مكرر","فريد")</f>
        <v>فريد</v>
      </c>
      <c r="Q239" s="19" t="str">
        <f aca="false">IF(COUNTBLANK(D239:L239)&gt;0,"نعم","لا")</f>
        <v>لا</v>
      </c>
    </row>
    <row r="240" customFormat="false" ht="15" hidden="false" customHeight="false" outlineLevel="0" collapsed="false">
      <c r="A240" s="19" t="n">
        <v>239</v>
      </c>
      <c r="B240" s="30" t="s">
        <v>1010</v>
      </c>
      <c r="C240" s="44" t="n">
        <v>45587</v>
      </c>
      <c r="D240" s="30" t="s">
        <v>46</v>
      </c>
      <c r="E240" s="30" t="s">
        <v>105</v>
      </c>
      <c r="F240" s="30" t="s">
        <v>85</v>
      </c>
      <c r="G240" s="31" t="n">
        <v>2729</v>
      </c>
      <c r="H240" s="19" t="n">
        <v>1</v>
      </c>
      <c r="I240" s="32" t="n">
        <v>0</v>
      </c>
      <c r="J240" s="30" t="s">
        <v>48</v>
      </c>
      <c r="K240" s="30" t="s">
        <v>47</v>
      </c>
      <c r="L240" s="30" t="s">
        <v>84</v>
      </c>
      <c r="M240" s="31" t="n">
        <f aca="false">AVERAGEIF($E$2:$E$1197,E240,$G$2:$G$1197)</f>
        <v>2870.26771653543</v>
      </c>
      <c r="N240" s="19" t="str">
        <f aca="false">IF(G240&gt;M240*3,"نعم","لا")</f>
        <v>لا</v>
      </c>
      <c r="O240" s="19" t="str">
        <f aca="false">IF(OR(C240="",ISNUMBER(C240)),"لا","نعم")</f>
        <v>لا</v>
      </c>
      <c r="P240" s="19" t="str">
        <f aca="false">IF(COUNTIF($B$2:B240,B240)&gt;1,"مكرر","فريد")</f>
        <v>فريد</v>
      </c>
      <c r="Q240" s="19" t="str">
        <f aca="false">IF(COUNTBLANK(D240:L240)&gt;0,"نعم","لا")</f>
        <v>لا</v>
      </c>
    </row>
    <row r="241" customFormat="false" ht="15" hidden="false" customHeight="false" outlineLevel="0" collapsed="false">
      <c r="A241" s="19" t="n">
        <v>240</v>
      </c>
      <c r="B241" s="30" t="s">
        <v>1091</v>
      </c>
      <c r="C241" s="44" t="n">
        <v>45605</v>
      </c>
      <c r="D241" s="30" t="s">
        <v>57</v>
      </c>
      <c r="E241" s="30" t="s">
        <v>105</v>
      </c>
      <c r="F241" s="30" t="s">
        <v>90</v>
      </c>
      <c r="G241" s="31" t="n">
        <v>2689</v>
      </c>
      <c r="H241" s="19" t="n">
        <v>1</v>
      </c>
      <c r="I241" s="32" t="n">
        <v>0</v>
      </c>
      <c r="J241" s="30" t="s">
        <v>48</v>
      </c>
      <c r="K241" s="30" t="s">
        <v>47</v>
      </c>
      <c r="L241" s="30" t="s">
        <v>81</v>
      </c>
      <c r="M241" s="31" t="n">
        <f aca="false">AVERAGEIF($E$2:$E$1197,E241,$G$2:$G$1197)</f>
        <v>2870.26771653543</v>
      </c>
      <c r="N241" s="19" t="str">
        <f aca="false">IF(G241&gt;M241*3,"نعم","لا")</f>
        <v>لا</v>
      </c>
      <c r="O241" s="19" t="str">
        <f aca="false">IF(OR(C241="",ISNUMBER(C241)),"لا","نعم")</f>
        <v>لا</v>
      </c>
      <c r="P241" s="19" t="str">
        <f aca="false">IF(COUNTIF($B$2:B241,B241)&gt;1,"مكرر","فريد")</f>
        <v>فريد</v>
      </c>
      <c r="Q241" s="19" t="str">
        <f aca="false">IF(COUNTBLANK(D241:L241)&gt;0,"نعم","لا")</f>
        <v>لا</v>
      </c>
    </row>
    <row r="242" customFormat="false" ht="15" hidden="false" customHeight="false" outlineLevel="0" collapsed="false">
      <c r="A242" s="19" t="n">
        <v>241</v>
      </c>
      <c r="B242" s="30" t="s">
        <v>704</v>
      </c>
      <c r="C242" s="44" t="n">
        <v>45487</v>
      </c>
      <c r="D242" s="30" t="s">
        <v>50</v>
      </c>
      <c r="E242" s="30" t="s">
        <v>113</v>
      </c>
      <c r="F242" s="30" t="s">
        <v>97</v>
      </c>
      <c r="G242" s="31" t="n">
        <v>79</v>
      </c>
      <c r="H242" s="19" t="n">
        <v>1</v>
      </c>
      <c r="I242" s="32" t="n">
        <v>0</v>
      </c>
      <c r="J242" s="30" t="s">
        <v>52</v>
      </c>
      <c r="K242" s="30" t="s">
        <v>47</v>
      </c>
      <c r="L242" s="30" t="s">
        <v>96</v>
      </c>
      <c r="M242" s="31" t="n">
        <f aca="false">AVERAGEIF($E$2:$E$1197,E242,$G$2:$G$1197)</f>
        <v>545.358823529412</v>
      </c>
      <c r="N242" s="19" t="str">
        <f aca="false">IF(G242&gt;M242*3,"نعم","لا")</f>
        <v>لا</v>
      </c>
      <c r="O242" s="19" t="str">
        <f aca="false">IF(OR(C242="",ISNUMBER(C242)),"لا","نعم")</f>
        <v>لا</v>
      </c>
      <c r="P242" s="19" t="str">
        <f aca="false">IF(COUNTIF($B$2:B242,B242)&gt;1,"مكرر","فريد")</f>
        <v>فريد</v>
      </c>
      <c r="Q242" s="19" t="str">
        <f aca="false">IF(COUNTBLANK(D242:L242)&gt;0,"نعم","لا")</f>
        <v>لا</v>
      </c>
    </row>
    <row r="243" customFormat="false" ht="15" hidden="false" customHeight="false" outlineLevel="0" collapsed="false">
      <c r="A243" s="19" t="n">
        <v>242</v>
      </c>
      <c r="B243" s="30" t="s">
        <v>247</v>
      </c>
      <c r="C243" s="44" t="n">
        <v>45321</v>
      </c>
      <c r="D243" s="30" t="s">
        <v>50</v>
      </c>
      <c r="E243" s="30" t="s">
        <v>107</v>
      </c>
      <c r="F243" s="30" t="s">
        <v>184</v>
      </c>
      <c r="G243" s="31" t="n">
        <v>6799</v>
      </c>
      <c r="H243" s="19" t="n">
        <v>2</v>
      </c>
      <c r="I243" s="32" t="n">
        <v>0.05</v>
      </c>
      <c r="J243" s="30" t="s">
        <v>48</v>
      </c>
      <c r="K243" s="30" t="s">
        <v>47</v>
      </c>
      <c r="L243" s="30" t="s">
        <v>81</v>
      </c>
      <c r="M243" s="31" t="n">
        <f aca="false">AVERAGEIF($E$2:$E$1197,E243,$G$2:$G$1197)</f>
        <v>4981.14563106796</v>
      </c>
      <c r="N243" s="19" t="str">
        <f aca="false">IF(G243&gt;M243*3,"نعم","لا")</f>
        <v>لا</v>
      </c>
      <c r="O243" s="19" t="str">
        <f aca="false">IF(OR(C243="",ISNUMBER(C243)),"لا","نعم")</f>
        <v>لا</v>
      </c>
      <c r="P243" s="19" t="str">
        <f aca="false">IF(COUNTIF($B$2:B243,B243)&gt;1,"مكرر","فريد")</f>
        <v>فريد</v>
      </c>
      <c r="Q243" s="19" t="str">
        <f aca="false">IF(COUNTBLANK(D243:L243)&gt;0,"نعم","لا")</f>
        <v>لا</v>
      </c>
    </row>
    <row r="244" customFormat="false" ht="15" hidden="false" customHeight="false" outlineLevel="0" collapsed="false">
      <c r="A244" s="19" t="n">
        <v>243</v>
      </c>
      <c r="B244" s="30" t="s">
        <v>1183</v>
      </c>
      <c r="C244" s="44" t="n">
        <v>45626</v>
      </c>
      <c r="D244" s="30" t="s">
        <v>46</v>
      </c>
      <c r="E244" s="30" t="s">
        <v>107</v>
      </c>
      <c r="F244" s="30" t="s">
        <v>184</v>
      </c>
      <c r="G244" s="31" t="n">
        <v>6449</v>
      </c>
      <c r="H244" s="19"/>
      <c r="I244" s="32" t="n">
        <v>0</v>
      </c>
      <c r="J244" s="30" t="s">
        <v>55</v>
      </c>
      <c r="K244" s="30" t="s">
        <v>47</v>
      </c>
      <c r="L244" s="30" t="s">
        <v>94</v>
      </c>
      <c r="M244" s="31" t="n">
        <f aca="false">AVERAGEIF($E$2:$E$1197,E244,$G$2:$G$1197)</f>
        <v>4981.14563106796</v>
      </c>
      <c r="N244" s="19" t="str">
        <f aca="false">IF(G244&gt;M244*3,"نعم","لا")</f>
        <v>لا</v>
      </c>
      <c r="O244" s="19" t="str">
        <f aca="false">IF(OR(C244="",ISNUMBER(C244)),"لا","نعم")</f>
        <v>لا</v>
      </c>
      <c r="P244" s="19" t="str">
        <f aca="false">IF(COUNTIF($B$2:B244,B244)&gt;1,"مكرر","فريد")</f>
        <v>فريد</v>
      </c>
      <c r="Q244" s="19" t="str">
        <f aca="false">IF(COUNTBLANK(D244:L244)&gt;0,"نعم","لا")</f>
        <v>نعم</v>
      </c>
    </row>
    <row r="245" customFormat="false" ht="15" hidden="false" customHeight="false" outlineLevel="0" collapsed="false">
      <c r="A245" s="19" t="n">
        <v>244</v>
      </c>
      <c r="B245" s="30" t="s">
        <v>308</v>
      </c>
      <c r="C245" s="44" t="n">
        <v>45344</v>
      </c>
      <c r="D245" s="30" t="s">
        <v>54</v>
      </c>
      <c r="E245" s="30" t="s">
        <v>111</v>
      </c>
      <c r="F245" s="30" t="s">
        <v>122</v>
      </c>
      <c r="G245" s="31" t="n">
        <v>379</v>
      </c>
      <c r="H245" s="19" t="n">
        <v>1</v>
      </c>
      <c r="I245" s="32" t="n">
        <v>0.05</v>
      </c>
      <c r="J245" s="30" t="s">
        <v>52</v>
      </c>
      <c r="K245" s="30" t="s">
        <v>47</v>
      </c>
      <c r="L245" s="30" t="s">
        <v>86</v>
      </c>
      <c r="M245" s="31" t="n">
        <f aca="false">AVERAGEIF($E$2:$E$1197,E245,$G$2:$G$1197)</f>
        <v>366.306569343066</v>
      </c>
      <c r="N245" s="19" t="str">
        <f aca="false">IF(G245&gt;M245*3,"نعم","لا")</f>
        <v>لا</v>
      </c>
      <c r="O245" s="19" t="str">
        <f aca="false">IF(OR(C245="",ISNUMBER(C245)),"لا","نعم")</f>
        <v>لا</v>
      </c>
      <c r="P245" s="19" t="str">
        <f aca="false">IF(COUNTIF($B$2:B245,B245)&gt;1,"مكرر","فريد")</f>
        <v>مكرر</v>
      </c>
      <c r="Q245" s="19" t="str">
        <f aca="false">IF(COUNTBLANK(D245:L245)&gt;0,"نعم","لا")</f>
        <v>لا</v>
      </c>
    </row>
    <row r="246" customFormat="false" ht="15" hidden="false" customHeight="false" outlineLevel="0" collapsed="false">
      <c r="A246" s="19" t="n">
        <v>245</v>
      </c>
      <c r="B246" s="30" t="s">
        <v>958</v>
      </c>
      <c r="C246" s="44" t="n">
        <v>45567</v>
      </c>
      <c r="D246" s="30" t="s">
        <v>46</v>
      </c>
      <c r="E246" s="30" t="s">
        <v>107</v>
      </c>
      <c r="F246" s="30" t="s">
        <v>115</v>
      </c>
      <c r="G246" s="31" t="n">
        <v>6479</v>
      </c>
      <c r="H246" s="19" t="n">
        <v>1</v>
      </c>
      <c r="I246" s="32" t="n">
        <v>0</v>
      </c>
      <c r="J246" s="30" t="s">
        <v>55</v>
      </c>
      <c r="K246" s="30" t="s">
        <v>47</v>
      </c>
      <c r="L246" s="30" t="s">
        <v>94</v>
      </c>
      <c r="M246" s="31" t="n">
        <f aca="false">AVERAGEIF($E$2:$E$1197,E246,$G$2:$G$1197)</f>
        <v>4981.14563106796</v>
      </c>
      <c r="N246" s="19" t="str">
        <f aca="false">IF(G246&gt;M246*3,"نعم","لا")</f>
        <v>لا</v>
      </c>
      <c r="O246" s="19" t="str">
        <f aca="false">IF(OR(C246="",ISNUMBER(C246)),"لا","نعم")</f>
        <v>لا</v>
      </c>
      <c r="P246" s="19" t="str">
        <f aca="false">IF(COUNTIF($B$2:B246,B246)&gt;1,"مكرر","فريد")</f>
        <v>فريد</v>
      </c>
      <c r="Q246" s="19" t="str">
        <f aca="false">IF(COUNTBLANK(D246:L246)&gt;0,"نعم","لا")</f>
        <v>لا</v>
      </c>
    </row>
    <row r="247" customFormat="false" ht="15" hidden="false" customHeight="false" outlineLevel="0" collapsed="false">
      <c r="A247" s="19" t="n">
        <v>246</v>
      </c>
      <c r="B247" s="30" t="s">
        <v>819</v>
      </c>
      <c r="C247" s="30" t="s">
        <v>1381</v>
      </c>
      <c r="D247" s="30" t="s">
        <v>50</v>
      </c>
      <c r="E247" s="30" t="s">
        <v>109</v>
      </c>
      <c r="F247" s="30" t="s">
        <v>175</v>
      </c>
      <c r="G247" s="31" t="n">
        <v>29</v>
      </c>
      <c r="H247" s="19" t="n">
        <v>2</v>
      </c>
      <c r="I247" s="32" t="n">
        <v>0</v>
      </c>
      <c r="J247" s="30" t="s">
        <v>55</v>
      </c>
      <c r="K247" s="30" t="s">
        <v>47</v>
      </c>
      <c r="L247" s="30" t="s">
        <v>84</v>
      </c>
      <c r="M247" s="31" t="n">
        <f aca="false">AVERAGEIF($E$2:$E$1197,E247,$G$2:$G$1197)</f>
        <v>186.056291390729</v>
      </c>
      <c r="N247" s="19" t="str">
        <f aca="false">IF(G247&gt;M247*3,"نعم","لا")</f>
        <v>لا</v>
      </c>
      <c r="O247" s="19" t="str">
        <f aca="false">IF(OR(C247="",ISNUMBER(C247)),"لا","نعم")</f>
        <v>نعم</v>
      </c>
      <c r="P247" s="19" t="str">
        <f aca="false">IF(COUNTIF($B$2:B247,B247)&gt;1,"مكرر","فريد")</f>
        <v>فريد</v>
      </c>
      <c r="Q247" s="19" t="str">
        <f aca="false">IF(COUNTBLANK(D247:L247)&gt;0,"نعم","لا")</f>
        <v>لا</v>
      </c>
    </row>
    <row r="248" customFormat="false" ht="15" hidden="false" customHeight="false" outlineLevel="0" collapsed="false">
      <c r="A248" s="19" t="n">
        <v>247</v>
      </c>
      <c r="B248" s="30" t="s">
        <v>1140</v>
      </c>
      <c r="C248" s="44" t="n">
        <v>45615</v>
      </c>
      <c r="D248" s="30" t="s">
        <v>50</v>
      </c>
      <c r="E248" s="30" t="s">
        <v>105</v>
      </c>
      <c r="F248" s="30" t="s">
        <v>90</v>
      </c>
      <c r="G248" s="31" t="n">
        <v>2419</v>
      </c>
      <c r="H248" s="19" t="n">
        <v>1</v>
      </c>
      <c r="I248" s="32" t="n">
        <v>0.1</v>
      </c>
      <c r="J248" s="30" t="s">
        <v>48</v>
      </c>
      <c r="K248" s="30" t="s">
        <v>47</v>
      </c>
      <c r="L248" s="30" t="s">
        <v>92</v>
      </c>
      <c r="M248" s="31" t="n">
        <f aca="false">AVERAGEIF($E$2:$E$1197,E248,$G$2:$G$1197)</f>
        <v>2870.26771653543</v>
      </c>
      <c r="N248" s="19" t="str">
        <f aca="false">IF(G248&gt;M248*3,"نعم","لا")</f>
        <v>لا</v>
      </c>
      <c r="O248" s="19" t="str">
        <f aca="false">IF(OR(C248="",ISNUMBER(C248)),"لا","نعم")</f>
        <v>لا</v>
      </c>
      <c r="P248" s="19" t="str">
        <f aca="false">IF(COUNTIF($B$2:B248,B248)&gt;1,"مكرر","فريد")</f>
        <v>فريد</v>
      </c>
      <c r="Q248" s="19" t="str">
        <f aca="false">IF(COUNTBLANK(D248:L248)&gt;0,"نعم","لا")</f>
        <v>لا</v>
      </c>
    </row>
    <row r="249" customFormat="false" ht="15" hidden="false" customHeight="false" outlineLevel="0" collapsed="false">
      <c r="A249" s="19" t="n">
        <v>248</v>
      </c>
      <c r="B249" s="30" t="s">
        <v>234</v>
      </c>
      <c r="C249" s="44" t="n">
        <v>45314</v>
      </c>
      <c r="D249" s="30" t="s">
        <v>46</v>
      </c>
      <c r="E249" s="30" t="s">
        <v>109</v>
      </c>
      <c r="F249" s="30" t="s">
        <v>175</v>
      </c>
      <c r="G249" s="31" t="n">
        <v>99</v>
      </c>
      <c r="H249" s="19" t="n">
        <v>1</v>
      </c>
      <c r="I249" s="32" t="n">
        <v>0</v>
      </c>
      <c r="J249" s="30" t="s">
        <v>58</v>
      </c>
      <c r="K249" s="30" t="s">
        <v>47</v>
      </c>
      <c r="L249" s="30" t="s">
        <v>76</v>
      </c>
      <c r="M249" s="31" t="n">
        <f aca="false">AVERAGEIF($E$2:$E$1197,E249,$G$2:$G$1197)</f>
        <v>186.056291390729</v>
      </c>
      <c r="N249" s="19" t="str">
        <f aca="false">IF(G249&gt;M249*3,"نعم","لا")</f>
        <v>لا</v>
      </c>
      <c r="O249" s="19" t="str">
        <f aca="false">IF(OR(C249="",ISNUMBER(C249)),"لا","نعم")</f>
        <v>لا</v>
      </c>
      <c r="P249" s="19" t="str">
        <f aca="false">IF(COUNTIF($B$2:B249,B249)&gt;1,"مكرر","فريد")</f>
        <v>فريد</v>
      </c>
      <c r="Q249" s="19" t="str">
        <f aca="false">IF(COUNTBLANK(D249:L249)&gt;0,"نعم","لا")</f>
        <v>لا</v>
      </c>
    </row>
    <row r="250" customFormat="false" ht="15" hidden="false" customHeight="false" outlineLevel="0" collapsed="false">
      <c r="A250" s="19" t="n">
        <v>249</v>
      </c>
      <c r="B250" s="30" t="s">
        <v>312</v>
      </c>
      <c r="C250" s="44" t="n">
        <v>45347</v>
      </c>
      <c r="D250" s="30" t="s">
        <v>46</v>
      </c>
      <c r="E250" s="30" t="s">
        <v>111</v>
      </c>
      <c r="F250" s="30" t="s">
        <v>120</v>
      </c>
      <c r="G250" s="31" t="n">
        <v>329</v>
      </c>
      <c r="H250" s="19" t="n">
        <v>5</v>
      </c>
      <c r="I250" s="32" t="n">
        <v>0.05</v>
      </c>
      <c r="J250" s="30" t="s">
        <v>52</v>
      </c>
      <c r="K250" s="30" t="s">
        <v>51</v>
      </c>
      <c r="L250" s="30" t="s">
        <v>86</v>
      </c>
      <c r="M250" s="31" t="n">
        <f aca="false">AVERAGEIF($E$2:$E$1197,E250,$G$2:$G$1197)</f>
        <v>366.306569343066</v>
      </c>
      <c r="N250" s="19" t="str">
        <f aca="false">IF(G250&gt;M250*3,"نعم","لا")</f>
        <v>لا</v>
      </c>
      <c r="O250" s="19" t="str">
        <f aca="false">IF(OR(C250="",ISNUMBER(C250)),"لا","نعم")</f>
        <v>لا</v>
      </c>
      <c r="P250" s="19" t="str">
        <f aca="false">IF(COUNTIF($B$2:B250,B250)&gt;1,"مكرر","فريد")</f>
        <v>فريد</v>
      </c>
      <c r="Q250" s="19" t="str">
        <f aca="false">IF(COUNTBLANK(D250:L250)&gt;0,"نعم","لا")</f>
        <v>لا</v>
      </c>
    </row>
    <row r="251" customFormat="false" ht="15" hidden="false" customHeight="false" outlineLevel="0" collapsed="false">
      <c r="A251" s="19" t="n">
        <v>250</v>
      </c>
      <c r="B251" s="30" t="s">
        <v>1212</v>
      </c>
      <c r="C251" s="44" t="n">
        <v>45634</v>
      </c>
      <c r="D251" s="30" t="s">
        <v>46</v>
      </c>
      <c r="E251" s="30" t="s">
        <v>109</v>
      </c>
      <c r="F251" s="30" t="s">
        <v>175</v>
      </c>
      <c r="G251" s="31" t="n">
        <v>319</v>
      </c>
      <c r="H251" s="19" t="n">
        <v>1</v>
      </c>
      <c r="I251" s="32" t="n">
        <v>0</v>
      </c>
      <c r="J251" s="30" t="s">
        <v>48</v>
      </c>
      <c r="K251" s="30" t="s">
        <v>47</v>
      </c>
      <c r="L251" s="30" t="s">
        <v>76</v>
      </c>
      <c r="M251" s="31" t="n">
        <f aca="false">AVERAGEIF($E$2:$E$1197,E251,$G$2:$G$1197)</f>
        <v>186.056291390729</v>
      </c>
      <c r="N251" s="19" t="str">
        <f aca="false">IF(G251&gt;M251*3,"نعم","لا")</f>
        <v>لا</v>
      </c>
      <c r="O251" s="19" t="str">
        <f aca="false">IF(OR(C251="",ISNUMBER(C251)),"لا","نعم")</f>
        <v>لا</v>
      </c>
      <c r="P251" s="19" t="str">
        <f aca="false">IF(COUNTIF($B$2:B251,B251)&gt;1,"مكرر","فريد")</f>
        <v>فريد</v>
      </c>
      <c r="Q251" s="19" t="str">
        <f aca="false">IF(COUNTBLANK(D251:L251)&gt;0,"نعم","لا")</f>
        <v>لا</v>
      </c>
    </row>
    <row r="252" customFormat="false" ht="15" hidden="false" customHeight="false" outlineLevel="0" collapsed="false">
      <c r="A252" s="19" t="n">
        <v>251</v>
      </c>
      <c r="B252" s="30" t="s">
        <v>1063</v>
      </c>
      <c r="C252" s="44" t="n">
        <v>45600</v>
      </c>
      <c r="D252" s="30" t="s">
        <v>54</v>
      </c>
      <c r="E252" s="30" t="s">
        <v>105</v>
      </c>
      <c r="F252" s="30" t="s">
        <v>179</v>
      </c>
      <c r="G252" s="31" t="n">
        <v>2979</v>
      </c>
      <c r="H252" s="19" t="n">
        <v>1</v>
      </c>
      <c r="I252" s="32" t="n">
        <v>0.15</v>
      </c>
      <c r="J252" s="30" t="s">
        <v>48</v>
      </c>
      <c r="K252" s="30" t="s">
        <v>47</v>
      </c>
      <c r="L252" s="30" t="s">
        <v>81</v>
      </c>
      <c r="M252" s="31" t="n">
        <f aca="false">AVERAGEIF($E$2:$E$1197,E252,$G$2:$G$1197)</f>
        <v>2870.26771653543</v>
      </c>
      <c r="N252" s="19" t="str">
        <f aca="false">IF(G252&gt;M252*3,"نعم","لا")</f>
        <v>لا</v>
      </c>
      <c r="O252" s="19" t="str">
        <f aca="false">IF(OR(C252="",ISNUMBER(C252)),"لا","نعم")</f>
        <v>لا</v>
      </c>
      <c r="P252" s="19" t="str">
        <f aca="false">IF(COUNTIF($B$2:B252,B252)&gt;1,"مكرر","فريد")</f>
        <v>فريد</v>
      </c>
      <c r="Q252" s="19" t="str">
        <f aca="false">IF(COUNTBLANK(D252:L252)&gt;0,"نعم","لا")</f>
        <v>لا</v>
      </c>
    </row>
    <row r="253" customFormat="false" ht="15" hidden="false" customHeight="false" outlineLevel="0" collapsed="false">
      <c r="A253" s="19" t="n">
        <v>252</v>
      </c>
      <c r="B253" s="30" t="s">
        <v>524</v>
      </c>
      <c r="C253" s="30" t="s">
        <v>1382</v>
      </c>
      <c r="D253" s="30" t="s">
        <v>46</v>
      </c>
      <c r="E253" s="30" t="s">
        <v>105</v>
      </c>
      <c r="F253" s="30" t="s">
        <v>82</v>
      </c>
      <c r="G253" s="31" t="n">
        <v>3369</v>
      </c>
      <c r="H253" s="19" t="n">
        <v>1</v>
      </c>
      <c r="I253" s="32" t="n">
        <v>0</v>
      </c>
      <c r="J253" s="30" t="s">
        <v>52</v>
      </c>
      <c r="K253" s="30" t="s">
        <v>47</v>
      </c>
      <c r="L253" s="30" t="s">
        <v>92</v>
      </c>
      <c r="M253" s="31" t="n">
        <f aca="false">AVERAGEIF($E$2:$E$1197,E253,$G$2:$G$1197)</f>
        <v>2870.26771653543</v>
      </c>
      <c r="N253" s="19" t="str">
        <f aca="false">IF(G253&gt;M253*3,"نعم","لا")</f>
        <v>لا</v>
      </c>
      <c r="O253" s="19" t="str">
        <f aca="false">IF(OR(C253="",ISNUMBER(C253)),"لا","نعم")</f>
        <v>نعم</v>
      </c>
      <c r="P253" s="19" t="str">
        <f aca="false">IF(COUNTIF($B$2:B253,B253)&gt;1,"مكرر","فريد")</f>
        <v>فريد</v>
      </c>
      <c r="Q253" s="19" t="str">
        <f aca="false">IF(COUNTBLANK(D253:L253)&gt;0,"نعم","لا")</f>
        <v>لا</v>
      </c>
    </row>
    <row r="254" customFormat="false" ht="15" hidden="false" customHeight="false" outlineLevel="0" collapsed="false">
      <c r="A254" s="19" t="n">
        <v>253</v>
      </c>
      <c r="B254" s="30" t="s">
        <v>310</v>
      </c>
      <c r="C254" s="44" t="n">
        <v>45346</v>
      </c>
      <c r="D254" s="30" t="s">
        <v>46</v>
      </c>
      <c r="E254" s="30" t="s">
        <v>109</v>
      </c>
      <c r="F254" s="30" t="s">
        <v>171</v>
      </c>
      <c r="G254" s="31" t="n">
        <v>89</v>
      </c>
      <c r="H254" s="19" t="n">
        <v>1</v>
      </c>
      <c r="I254" s="32" t="n">
        <v>0.2</v>
      </c>
      <c r="J254" s="30" t="s">
        <v>55</v>
      </c>
      <c r="K254" s="30" t="s">
        <v>47</v>
      </c>
      <c r="L254" s="30" t="s">
        <v>84</v>
      </c>
      <c r="M254" s="31" t="n">
        <f aca="false">AVERAGEIF($E$2:$E$1197,E254,$G$2:$G$1197)</f>
        <v>186.056291390729</v>
      </c>
      <c r="N254" s="19" t="str">
        <f aca="false">IF(G254&gt;M254*3,"نعم","لا")</f>
        <v>لا</v>
      </c>
      <c r="O254" s="19" t="str">
        <f aca="false">IF(OR(C254="",ISNUMBER(C254)),"لا","نعم")</f>
        <v>لا</v>
      </c>
      <c r="P254" s="19" t="str">
        <f aca="false">IF(COUNTIF($B$2:B254,B254)&gt;1,"مكرر","فريد")</f>
        <v>مكرر</v>
      </c>
      <c r="Q254" s="19" t="str">
        <f aca="false">IF(COUNTBLANK(D254:L254)&gt;0,"نعم","لا")</f>
        <v>لا</v>
      </c>
    </row>
    <row r="255" customFormat="false" ht="15" hidden="false" customHeight="false" outlineLevel="0" collapsed="false">
      <c r="A255" s="19" t="n">
        <v>254</v>
      </c>
      <c r="B255" s="30" t="s">
        <v>592</v>
      </c>
      <c r="C255" s="44" t="n">
        <v>45449</v>
      </c>
      <c r="D255" s="30" t="s">
        <v>54</v>
      </c>
      <c r="E255" s="30" t="s">
        <v>107</v>
      </c>
      <c r="F255" s="30" t="s">
        <v>114</v>
      </c>
      <c r="G255" s="31" t="n">
        <v>4909</v>
      </c>
      <c r="H255" s="19" t="n">
        <v>3</v>
      </c>
      <c r="I255" s="32" t="n">
        <v>0.2</v>
      </c>
      <c r="J255" s="30" t="s">
        <v>58</v>
      </c>
      <c r="K255" s="30" t="s">
        <v>51</v>
      </c>
      <c r="L255" s="30" t="s">
        <v>84</v>
      </c>
      <c r="M255" s="31" t="n">
        <f aca="false">AVERAGEIF($E$2:$E$1197,E255,$G$2:$G$1197)</f>
        <v>4981.14563106796</v>
      </c>
      <c r="N255" s="19" t="str">
        <f aca="false">IF(G255&gt;M255*3,"نعم","لا")</f>
        <v>لا</v>
      </c>
      <c r="O255" s="19" t="str">
        <f aca="false">IF(OR(C255="",ISNUMBER(C255)),"لا","نعم")</f>
        <v>لا</v>
      </c>
      <c r="P255" s="19" t="str">
        <f aca="false">IF(COUNTIF($B$2:B255,B255)&gt;1,"مكرر","فريد")</f>
        <v>فريد</v>
      </c>
      <c r="Q255" s="19" t="str">
        <f aca="false">IF(COUNTBLANK(D255:L255)&gt;0,"نعم","لا")</f>
        <v>لا</v>
      </c>
    </row>
    <row r="256" customFormat="false" ht="15" hidden="false" customHeight="false" outlineLevel="0" collapsed="false">
      <c r="A256" s="19" t="n">
        <v>255</v>
      </c>
      <c r="B256" s="30" t="s">
        <v>1291</v>
      </c>
      <c r="C256" s="44" t="n">
        <v>45657</v>
      </c>
      <c r="D256" s="30" t="s">
        <v>57</v>
      </c>
      <c r="E256" s="30" t="s">
        <v>113</v>
      </c>
      <c r="F256" s="30" t="s">
        <v>100</v>
      </c>
      <c r="G256" s="31" t="n">
        <v>749</v>
      </c>
      <c r="H256" s="19" t="n">
        <v>1</v>
      </c>
      <c r="I256" s="32" t="n">
        <v>0</v>
      </c>
      <c r="J256" s="30" t="s">
        <v>48</v>
      </c>
      <c r="K256" s="30" t="s">
        <v>47</v>
      </c>
      <c r="L256" s="30" t="s">
        <v>86</v>
      </c>
      <c r="M256" s="31" t="n">
        <f aca="false">AVERAGEIF($E$2:$E$1197,E256,$G$2:$G$1197)</f>
        <v>545.358823529412</v>
      </c>
      <c r="N256" s="19" t="str">
        <f aca="false">IF(G256&gt;M256*3,"نعم","لا")</f>
        <v>لا</v>
      </c>
      <c r="O256" s="19" t="str">
        <f aca="false">IF(OR(C256="",ISNUMBER(C256)),"لا","نعم")</f>
        <v>لا</v>
      </c>
      <c r="P256" s="19" t="str">
        <f aca="false">IF(COUNTIF($B$2:B256,B256)&gt;1,"مكرر","فريد")</f>
        <v>فريد</v>
      </c>
      <c r="Q256" s="19" t="str">
        <f aca="false">IF(COUNTBLANK(D256:L256)&gt;0,"نعم","لا")</f>
        <v>لا</v>
      </c>
    </row>
    <row r="257" customFormat="false" ht="15" hidden="false" customHeight="false" outlineLevel="0" collapsed="false">
      <c r="A257" s="19" t="n">
        <v>256</v>
      </c>
      <c r="B257" s="30" t="s">
        <v>1383</v>
      </c>
      <c r="C257" s="44" t="n">
        <v>45373</v>
      </c>
      <c r="D257" s="30" t="s">
        <v>60</v>
      </c>
      <c r="E257" s="30" t="s">
        <v>105</v>
      </c>
      <c r="F257" s="30" t="s">
        <v>90</v>
      </c>
      <c r="G257" s="31" t="n">
        <v>2159</v>
      </c>
      <c r="H257" s="19" t="n">
        <v>0</v>
      </c>
      <c r="I257" s="32" t="n">
        <v>0.05</v>
      </c>
      <c r="J257" s="30" t="s">
        <v>48</v>
      </c>
      <c r="K257" s="30" t="s">
        <v>47</v>
      </c>
      <c r="L257" s="30" t="s">
        <v>92</v>
      </c>
      <c r="M257" s="31" t="n">
        <f aca="false">AVERAGEIF($E$2:$E$1197,E257,$G$2:$G$1197)</f>
        <v>2870.26771653543</v>
      </c>
      <c r="N257" s="19" t="str">
        <f aca="false">IF(G257&gt;M257*3,"نعم","لا")</f>
        <v>لا</v>
      </c>
      <c r="O257" s="19" t="str">
        <f aca="false">IF(OR(C257="",ISNUMBER(C257)),"لا","نعم")</f>
        <v>لا</v>
      </c>
      <c r="P257" s="19" t="str">
        <f aca="false">IF(COUNTIF($B$2:B257,B257)&gt;1,"مكرر","فريد")</f>
        <v>فريد</v>
      </c>
      <c r="Q257" s="19" t="str">
        <f aca="false">IF(COUNTBLANK(D257:L257)&gt;0,"نعم","لا")</f>
        <v>لا</v>
      </c>
    </row>
    <row r="258" customFormat="false" ht="15" hidden="false" customHeight="false" outlineLevel="0" collapsed="false">
      <c r="A258" s="19" t="n">
        <v>257</v>
      </c>
      <c r="B258" s="30" t="s">
        <v>1384</v>
      </c>
      <c r="C258" s="44" t="n">
        <v>45399</v>
      </c>
      <c r="D258" s="30" t="s">
        <v>57</v>
      </c>
      <c r="E258" s="30" t="s">
        <v>105</v>
      </c>
      <c r="F258" s="30" t="s">
        <v>85</v>
      </c>
      <c r="G258" s="31" t="n">
        <v>4469</v>
      </c>
      <c r="H258" s="19" t="n">
        <v>-2</v>
      </c>
      <c r="I258" s="32" t="n">
        <v>0</v>
      </c>
      <c r="J258" s="30" t="s">
        <v>1352</v>
      </c>
      <c r="K258" s="30" t="s">
        <v>47</v>
      </c>
      <c r="L258" s="30" t="s">
        <v>76</v>
      </c>
      <c r="M258" s="31" t="n">
        <f aca="false">AVERAGEIF($E$2:$E$1197,E258,$G$2:$G$1197)</f>
        <v>2870.26771653543</v>
      </c>
      <c r="N258" s="19" t="str">
        <f aca="false">IF(G258&gt;M258*3,"نعم","لا")</f>
        <v>لا</v>
      </c>
      <c r="O258" s="19" t="str">
        <f aca="false">IF(OR(C258="",ISNUMBER(C258)),"لا","نعم")</f>
        <v>لا</v>
      </c>
      <c r="P258" s="19" t="str">
        <f aca="false">IF(COUNTIF($B$2:B258,B258)&gt;1,"مكرر","فريد")</f>
        <v>فريد</v>
      </c>
      <c r="Q258" s="19" t="str">
        <f aca="false">IF(COUNTBLANK(D258:L258)&gt;0,"نعم","لا")</f>
        <v>لا</v>
      </c>
    </row>
    <row r="259" customFormat="false" ht="15" hidden="false" customHeight="false" outlineLevel="0" collapsed="false">
      <c r="A259" s="19" t="n">
        <v>258</v>
      </c>
      <c r="B259" s="30" t="s">
        <v>430</v>
      </c>
      <c r="C259" s="44" t="n">
        <v>45384</v>
      </c>
      <c r="D259" s="30" t="s">
        <v>60</v>
      </c>
      <c r="E259" s="30" t="s">
        <v>109</v>
      </c>
      <c r="F259" s="30" t="s">
        <v>192</v>
      </c>
      <c r="G259" s="31" t="n">
        <v>219</v>
      </c>
      <c r="H259" s="19" t="n">
        <v>1</v>
      </c>
      <c r="I259" s="32" t="n">
        <v>0</v>
      </c>
      <c r="J259" s="30" t="s">
        <v>48</v>
      </c>
      <c r="K259" s="30" t="s">
        <v>47</v>
      </c>
      <c r="L259" s="30" t="s">
        <v>84</v>
      </c>
      <c r="M259" s="31" t="n">
        <f aca="false">AVERAGEIF($E$2:$E$1197,E259,$G$2:$G$1197)</f>
        <v>186.056291390729</v>
      </c>
      <c r="N259" s="19" t="str">
        <f aca="false">IF(G259&gt;M259*3,"نعم","لا")</f>
        <v>لا</v>
      </c>
      <c r="O259" s="19" t="str">
        <f aca="false">IF(OR(C259="",ISNUMBER(C259)),"لا","نعم")</f>
        <v>لا</v>
      </c>
      <c r="P259" s="19" t="str">
        <f aca="false">IF(COUNTIF($B$2:B259,B259)&gt;1,"مكرر","فريد")</f>
        <v>فريد</v>
      </c>
      <c r="Q259" s="19" t="str">
        <f aca="false">IF(COUNTBLANK(D259:L259)&gt;0,"نعم","لا")</f>
        <v>لا</v>
      </c>
    </row>
    <row r="260" customFormat="false" ht="15" hidden="false" customHeight="false" outlineLevel="0" collapsed="false">
      <c r="A260" s="19" t="n">
        <v>259</v>
      </c>
      <c r="B260" s="30" t="s">
        <v>610</v>
      </c>
      <c r="C260" s="44" t="n">
        <v>45454</v>
      </c>
      <c r="D260" s="30" t="s">
        <v>60</v>
      </c>
      <c r="E260" s="30" t="s">
        <v>109</v>
      </c>
      <c r="F260" s="30" t="s">
        <v>93</v>
      </c>
      <c r="G260" s="31" t="n">
        <v>59</v>
      </c>
      <c r="H260" s="19" t="n">
        <v>2</v>
      </c>
      <c r="I260" s="32" t="n">
        <v>0</v>
      </c>
      <c r="J260" s="30" t="s">
        <v>48</v>
      </c>
      <c r="K260" s="30" t="s">
        <v>51</v>
      </c>
      <c r="L260" s="30" t="s">
        <v>86</v>
      </c>
      <c r="M260" s="31" t="n">
        <f aca="false">AVERAGEIF($E$2:$E$1197,E260,$G$2:$G$1197)</f>
        <v>186.056291390729</v>
      </c>
      <c r="N260" s="19" t="str">
        <f aca="false">IF(G260&gt;M260*3,"نعم","لا")</f>
        <v>لا</v>
      </c>
      <c r="O260" s="19" t="str">
        <f aca="false">IF(OR(C260="",ISNUMBER(C260)),"لا","نعم")</f>
        <v>لا</v>
      </c>
      <c r="P260" s="19" t="str">
        <f aca="false">IF(COUNTIF($B$2:B260,B260)&gt;1,"مكرر","فريد")</f>
        <v>فريد</v>
      </c>
      <c r="Q260" s="19" t="str">
        <f aca="false">IF(COUNTBLANK(D260:L260)&gt;0,"نعم","لا")</f>
        <v>لا</v>
      </c>
    </row>
    <row r="261" customFormat="false" ht="15" hidden="false" customHeight="false" outlineLevel="0" collapsed="false">
      <c r="A261" s="19" t="n">
        <v>260</v>
      </c>
      <c r="B261" s="30" t="s">
        <v>1385</v>
      </c>
      <c r="C261" s="44" t="n">
        <v>45601</v>
      </c>
      <c r="D261" s="30" t="s">
        <v>46</v>
      </c>
      <c r="E261" s="30" t="s">
        <v>111</v>
      </c>
      <c r="F261" s="30" t="s">
        <v>1386</v>
      </c>
      <c r="G261" s="31" t="n">
        <v>339</v>
      </c>
      <c r="H261" s="19" t="n">
        <v>0</v>
      </c>
      <c r="I261" s="32" t="n">
        <v>0</v>
      </c>
      <c r="J261" s="30" t="s">
        <v>55</v>
      </c>
      <c r="K261" s="30" t="s">
        <v>47</v>
      </c>
      <c r="L261" s="30" t="s">
        <v>89</v>
      </c>
      <c r="M261" s="31" t="n">
        <f aca="false">AVERAGEIF($E$2:$E$1197,E261,$G$2:$G$1197)</f>
        <v>366.306569343066</v>
      </c>
      <c r="N261" s="19" t="str">
        <f aca="false">IF(G261&gt;M261*3,"نعم","لا")</f>
        <v>لا</v>
      </c>
      <c r="O261" s="19" t="str">
        <f aca="false">IF(OR(C261="",ISNUMBER(C261)),"لا","نعم")</f>
        <v>لا</v>
      </c>
      <c r="P261" s="19" t="str">
        <f aca="false">IF(COUNTIF($B$2:B261,B261)&gt;1,"مكرر","فريد")</f>
        <v>فريد</v>
      </c>
      <c r="Q261" s="19" t="str">
        <f aca="false">IF(COUNTBLANK(D261:L261)&gt;0,"نعم","لا")</f>
        <v>لا</v>
      </c>
    </row>
    <row r="262" customFormat="false" ht="15" hidden="false" customHeight="false" outlineLevel="0" collapsed="false">
      <c r="A262" s="19" t="n">
        <v>261</v>
      </c>
      <c r="B262" s="30" t="s">
        <v>1231</v>
      </c>
      <c r="C262" s="44" t="n">
        <v>45638</v>
      </c>
      <c r="D262" s="30" t="s">
        <v>50</v>
      </c>
      <c r="E262" s="30" t="s">
        <v>111</v>
      </c>
      <c r="F262" s="30" t="s">
        <v>120</v>
      </c>
      <c r="G262" s="31" t="n">
        <v>129</v>
      </c>
      <c r="H262" s="19" t="n">
        <v>1</v>
      </c>
      <c r="I262" s="32" t="n">
        <v>0</v>
      </c>
      <c r="J262" s="30" t="s">
        <v>48</v>
      </c>
      <c r="K262" s="30" t="s">
        <v>47</v>
      </c>
      <c r="L262" s="30" t="s">
        <v>78</v>
      </c>
      <c r="M262" s="31" t="n">
        <f aca="false">AVERAGEIF($E$2:$E$1197,E262,$G$2:$G$1197)</f>
        <v>366.306569343066</v>
      </c>
      <c r="N262" s="19" t="str">
        <f aca="false">IF(G262&gt;M262*3,"نعم","لا")</f>
        <v>لا</v>
      </c>
      <c r="O262" s="19" t="str">
        <f aca="false">IF(OR(C262="",ISNUMBER(C262)),"لا","نعم")</f>
        <v>لا</v>
      </c>
      <c r="P262" s="19" t="str">
        <f aca="false">IF(COUNTIF($B$2:B262,B262)&gt;1,"مكرر","فريد")</f>
        <v>فريد</v>
      </c>
      <c r="Q262" s="19" t="str">
        <f aca="false">IF(COUNTBLANK(D262:L262)&gt;0,"نعم","لا")</f>
        <v>لا</v>
      </c>
    </row>
    <row r="263" customFormat="false" ht="15" hidden="false" customHeight="false" outlineLevel="0" collapsed="false">
      <c r="A263" s="19" t="n">
        <v>262</v>
      </c>
      <c r="B263" s="30" t="s">
        <v>1285</v>
      </c>
      <c r="C263" s="44" t="n">
        <v>45655</v>
      </c>
      <c r="D263" s="30" t="s">
        <v>46</v>
      </c>
      <c r="E263" s="30" t="s">
        <v>105</v>
      </c>
      <c r="F263" s="30" t="s">
        <v>90</v>
      </c>
      <c r="G263" s="31" t="n">
        <v>3629</v>
      </c>
      <c r="H263" s="19" t="n">
        <v>2</v>
      </c>
      <c r="I263" s="32" t="n">
        <v>0</v>
      </c>
      <c r="J263" s="30" t="s">
        <v>48</v>
      </c>
      <c r="K263" s="30" t="s">
        <v>47</v>
      </c>
      <c r="L263" s="30" t="s">
        <v>81</v>
      </c>
      <c r="M263" s="31" t="n">
        <f aca="false">AVERAGEIF($E$2:$E$1197,E263,$G$2:$G$1197)</f>
        <v>2870.26771653543</v>
      </c>
      <c r="N263" s="19" t="str">
        <f aca="false">IF(G263&gt;M263*3,"نعم","لا")</f>
        <v>لا</v>
      </c>
      <c r="O263" s="19" t="str">
        <f aca="false">IF(OR(C263="",ISNUMBER(C263)),"لا","نعم")</f>
        <v>لا</v>
      </c>
      <c r="P263" s="19" t="str">
        <f aca="false">IF(COUNTIF($B$2:B263,B263)&gt;1,"مكرر","فريد")</f>
        <v>فريد</v>
      </c>
      <c r="Q263" s="19" t="str">
        <f aca="false">IF(COUNTBLANK(D263:L263)&gt;0,"نعم","لا")</f>
        <v>لا</v>
      </c>
    </row>
    <row r="264" customFormat="false" ht="15" hidden="false" customHeight="false" outlineLevel="0" collapsed="false">
      <c r="A264" s="19" t="n">
        <v>263</v>
      </c>
      <c r="B264" s="30" t="s">
        <v>772</v>
      </c>
      <c r="C264" s="44" t="n">
        <v>45509</v>
      </c>
      <c r="D264" s="30" t="s">
        <v>54</v>
      </c>
      <c r="E264" s="30" t="s">
        <v>109</v>
      </c>
      <c r="F264" s="30" t="s">
        <v>175</v>
      </c>
      <c r="G264" s="31" t="n">
        <v>299</v>
      </c>
      <c r="H264" s="19" t="n">
        <v>1</v>
      </c>
      <c r="I264" s="32" t="n">
        <v>0.15</v>
      </c>
      <c r="J264" s="30" t="s">
        <v>48</v>
      </c>
      <c r="K264" s="30" t="s">
        <v>47</v>
      </c>
      <c r="L264" s="30" t="s">
        <v>81</v>
      </c>
      <c r="M264" s="31" t="n">
        <f aca="false">AVERAGEIF($E$2:$E$1197,E264,$G$2:$G$1197)</f>
        <v>186.056291390729</v>
      </c>
      <c r="N264" s="19" t="str">
        <f aca="false">IF(G264&gt;M264*3,"نعم","لا")</f>
        <v>لا</v>
      </c>
      <c r="O264" s="19" t="str">
        <f aca="false">IF(OR(C264="",ISNUMBER(C264)),"لا","نعم")</f>
        <v>لا</v>
      </c>
      <c r="P264" s="19" t="str">
        <f aca="false">IF(COUNTIF($B$2:B264,B264)&gt;1,"مكرر","فريد")</f>
        <v>فريد</v>
      </c>
      <c r="Q264" s="19" t="str">
        <f aca="false">IF(COUNTBLANK(D264:L264)&gt;0,"نعم","لا")</f>
        <v>لا</v>
      </c>
    </row>
    <row r="265" customFormat="false" ht="15" hidden="false" customHeight="false" outlineLevel="0" collapsed="false">
      <c r="A265" s="19" t="n">
        <v>264</v>
      </c>
      <c r="B265" s="30" t="s">
        <v>823</v>
      </c>
      <c r="C265" s="44" t="n">
        <v>45522</v>
      </c>
      <c r="D265" s="30" t="s">
        <v>54</v>
      </c>
      <c r="E265" s="30" t="s">
        <v>107</v>
      </c>
      <c r="F265" s="30" t="s">
        <v>114</v>
      </c>
      <c r="G265" s="31" t="n">
        <v>4259</v>
      </c>
      <c r="H265" s="19" t="n">
        <v>1</v>
      </c>
      <c r="I265" s="32" t="n">
        <v>0.05</v>
      </c>
      <c r="J265" s="30" t="s">
        <v>48</v>
      </c>
      <c r="K265" s="30" t="s">
        <v>47</v>
      </c>
      <c r="L265" s="30" t="s">
        <v>86</v>
      </c>
      <c r="M265" s="31" t="n">
        <f aca="false">AVERAGEIF($E$2:$E$1197,E265,$G$2:$G$1197)</f>
        <v>4981.14563106796</v>
      </c>
      <c r="N265" s="19" t="str">
        <f aca="false">IF(G265&gt;M265*3,"نعم","لا")</f>
        <v>لا</v>
      </c>
      <c r="O265" s="19" t="str">
        <f aca="false">IF(OR(C265="",ISNUMBER(C265)),"لا","نعم")</f>
        <v>لا</v>
      </c>
      <c r="P265" s="19" t="str">
        <f aca="false">IF(COUNTIF($B$2:B265,B265)&gt;1,"مكرر","فريد")</f>
        <v>فريد</v>
      </c>
      <c r="Q265" s="19" t="str">
        <f aca="false">IF(COUNTBLANK(D265:L265)&gt;0,"نعم","لا")</f>
        <v>لا</v>
      </c>
    </row>
    <row r="266" customFormat="false" ht="15" hidden="false" customHeight="false" outlineLevel="0" collapsed="false">
      <c r="A266" s="19" t="n">
        <v>265</v>
      </c>
      <c r="B266" s="30" t="s">
        <v>1126</v>
      </c>
      <c r="C266" s="44" t="n">
        <v>45613</v>
      </c>
      <c r="D266" s="30" t="s">
        <v>50</v>
      </c>
      <c r="E266" s="30" t="s">
        <v>105</v>
      </c>
      <c r="F266" s="30" t="s">
        <v>90</v>
      </c>
      <c r="G266" s="31" t="n">
        <v>3889</v>
      </c>
      <c r="H266" s="19" t="n">
        <v>1</v>
      </c>
      <c r="I266" s="32" t="n">
        <v>0.1</v>
      </c>
      <c r="J266" s="30" t="s">
        <v>52</v>
      </c>
      <c r="K266" s="30" t="s">
        <v>47</v>
      </c>
      <c r="L266" s="30" t="s">
        <v>96</v>
      </c>
      <c r="M266" s="31" t="n">
        <f aca="false">AVERAGEIF($E$2:$E$1197,E266,$G$2:$G$1197)</f>
        <v>2870.26771653543</v>
      </c>
      <c r="N266" s="19" t="str">
        <f aca="false">IF(G266&gt;M266*3,"نعم","لا")</f>
        <v>لا</v>
      </c>
      <c r="O266" s="19" t="str">
        <f aca="false">IF(OR(C266="",ISNUMBER(C266)),"لا","نعم")</f>
        <v>لا</v>
      </c>
      <c r="P266" s="19" t="str">
        <f aca="false">IF(COUNTIF($B$2:B266,B266)&gt;1,"مكرر","فريد")</f>
        <v>فريد</v>
      </c>
      <c r="Q266" s="19" t="str">
        <f aca="false">IF(COUNTBLANK(D266:L266)&gt;0,"نعم","لا")</f>
        <v>لا</v>
      </c>
    </row>
    <row r="267" customFormat="false" ht="15" hidden="false" customHeight="false" outlineLevel="0" collapsed="false">
      <c r="A267" s="19" t="n">
        <v>266</v>
      </c>
      <c r="B267" s="30" t="s">
        <v>628</v>
      </c>
      <c r="C267" s="44" t="n">
        <v>45460</v>
      </c>
      <c r="D267" s="30" t="s">
        <v>57</v>
      </c>
      <c r="E267" s="30" t="s">
        <v>113</v>
      </c>
      <c r="F267" s="30" t="s">
        <v>95</v>
      </c>
      <c r="G267" s="31" t="n">
        <v>239</v>
      </c>
      <c r="H267" s="19" t="n">
        <v>1</v>
      </c>
      <c r="I267" s="32" t="n">
        <v>0.15</v>
      </c>
      <c r="J267" s="30" t="s">
        <v>48</v>
      </c>
      <c r="K267" s="30" t="s">
        <v>47</v>
      </c>
      <c r="L267" s="30" t="s">
        <v>89</v>
      </c>
      <c r="M267" s="31" t="n">
        <f aca="false">AVERAGEIF($E$2:$E$1197,E267,$G$2:$G$1197)</f>
        <v>545.358823529412</v>
      </c>
      <c r="N267" s="19" t="str">
        <f aca="false">IF(G267&gt;M267*3,"نعم","لا")</f>
        <v>لا</v>
      </c>
      <c r="O267" s="19" t="str">
        <f aca="false">IF(OR(C267="",ISNUMBER(C267)),"لا","نعم")</f>
        <v>لا</v>
      </c>
      <c r="P267" s="19" t="str">
        <f aca="false">IF(COUNTIF($B$2:B267,B267)&gt;1,"مكرر","فريد")</f>
        <v>فريد</v>
      </c>
      <c r="Q267" s="19" t="str">
        <f aca="false">IF(COUNTBLANK(D267:L267)&gt;0,"نعم","لا")</f>
        <v>لا</v>
      </c>
    </row>
    <row r="268" customFormat="false" ht="15" hidden="false" customHeight="false" outlineLevel="0" collapsed="false">
      <c r="A268" s="19" t="n">
        <v>267</v>
      </c>
      <c r="B268" s="30" t="s">
        <v>1051</v>
      </c>
      <c r="C268" s="30" t="s">
        <v>1356</v>
      </c>
      <c r="D268" s="30" t="s">
        <v>46</v>
      </c>
      <c r="E268" s="30" t="s">
        <v>113</v>
      </c>
      <c r="F268" s="30" t="s">
        <v>100</v>
      </c>
      <c r="G268" s="31" t="n">
        <v>499</v>
      </c>
      <c r="H268" s="19" t="n">
        <v>1</v>
      </c>
      <c r="I268" s="32" t="n">
        <v>0</v>
      </c>
      <c r="J268" s="30" t="s">
        <v>58</v>
      </c>
      <c r="K268" s="30" t="s">
        <v>47</v>
      </c>
      <c r="L268" s="30" t="s">
        <v>86</v>
      </c>
      <c r="M268" s="31" t="n">
        <f aca="false">AVERAGEIF($E$2:$E$1197,E268,$G$2:$G$1197)</f>
        <v>545.358823529412</v>
      </c>
      <c r="N268" s="19" t="str">
        <f aca="false">IF(G268&gt;M268*3,"نعم","لا")</f>
        <v>لا</v>
      </c>
      <c r="O268" s="19" t="str">
        <f aca="false">IF(OR(C268="",ISNUMBER(C268)),"لا","نعم")</f>
        <v>نعم</v>
      </c>
      <c r="P268" s="19" t="str">
        <f aca="false">IF(COUNTIF($B$2:B268,B268)&gt;1,"مكرر","فريد")</f>
        <v>فريد</v>
      </c>
      <c r="Q268" s="19" t="str">
        <f aca="false">IF(COUNTBLANK(D268:L268)&gt;0,"نعم","لا")</f>
        <v>لا</v>
      </c>
    </row>
    <row r="269" customFormat="false" ht="15" hidden="false" customHeight="false" outlineLevel="0" collapsed="false">
      <c r="A269" s="19" t="n">
        <v>268</v>
      </c>
      <c r="B269" s="30" t="s">
        <v>456</v>
      </c>
      <c r="C269" s="30" t="s">
        <v>1387</v>
      </c>
      <c r="D269" s="30" t="s">
        <v>46</v>
      </c>
      <c r="E269" s="30" t="s">
        <v>111</v>
      </c>
      <c r="F269" s="30" t="s">
        <v>122</v>
      </c>
      <c r="G269" s="31" t="n">
        <v>259</v>
      </c>
      <c r="H269" s="19" t="n">
        <v>1</v>
      </c>
      <c r="I269" s="32" t="n">
        <v>0.1</v>
      </c>
      <c r="J269" s="30" t="s">
        <v>48</v>
      </c>
      <c r="K269" s="30" t="s">
        <v>47</v>
      </c>
      <c r="L269" s="30" t="s">
        <v>99</v>
      </c>
      <c r="M269" s="31" t="n">
        <f aca="false">AVERAGEIF($E$2:$E$1197,E269,$G$2:$G$1197)</f>
        <v>366.306569343066</v>
      </c>
      <c r="N269" s="19" t="str">
        <f aca="false">IF(G269&gt;M269*3,"نعم","لا")</f>
        <v>لا</v>
      </c>
      <c r="O269" s="19" t="str">
        <f aca="false">IF(OR(C269="",ISNUMBER(C269)),"لا","نعم")</f>
        <v>نعم</v>
      </c>
      <c r="P269" s="19" t="str">
        <f aca="false">IF(COUNTIF($B$2:B269,B269)&gt;1,"مكرر","فريد")</f>
        <v>فريد</v>
      </c>
      <c r="Q269" s="19" t="str">
        <f aca="false">IF(COUNTBLANK(D269:L269)&gt;0,"نعم","لا")</f>
        <v>لا</v>
      </c>
    </row>
    <row r="270" customFormat="false" ht="15" hidden="false" customHeight="false" outlineLevel="0" collapsed="false">
      <c r="A270" s="19" t="n">
        <v>269</v>
      </c>
      <c r="B270" s="30" t="s">
        <v>1042</v>
      </c>
      <c r="C270" s="44" t="n">
        <v>45595</v>
      </c>
      <c r="D270" s="30" t="s">
        <v>60</v>
      </c>
      <c r="E270" s="30" t="s">
        <v>109</v>
      </c>
      <c r="F270" s="30" t="s">
        <v>175</v>
      </c>
      <c r="G270" s="31" t="n">
        <v>79</v>
      </c>
      <c r="H270" s="19" t="n">
        <v>2</v>
      </c>
      <c r="I270" s="32" t="n">
        <v>0</v>
      </c>
      <c r="J270" s="30" t="s">
        <v>48</v>
      </c>
      <c r="K270" s="30" t="s">
        <v>47</v>
      </c>
      <c r="L270" s="30" t="s">
        <v>89</v>
      </c>
      <c r="M270" s="31" t="n">
        <f aca="false">AVERAGEIF($E$2:$E$1197,E270,$G$2:$G$1197)</f>
        <v>186.056291390729</v>
      </c>
      <c r="N270" s="19" t="str">
        <f aca="false">IF(G270&gt;M270*3,"نعم","لا")</f>
        <v>لا</v>
      </c>
      <c r="O270" s="19" t="str">
        <f aca="false">IF(OR(C270="",ISNUMBER(C270)),"لا","نعم")</f>
        <v>لا</v>
      </c>
      <c r="P270" s="19" t="str">
        <f aca="false">IF(COUNTIF($B$2:B270,B270)&gt;1,"مكرر","فريد")</f>
        <v>فريد</v>
      </c>
      <c r="Q270" s="19" t="str">
        <f aca="false">IF(COUNTBLANK(D270:L270)&gt;0,"نعم","لا")</f>
        <v>لا</v>
      </c>
    </row>
    <row r="271" customFormat="false" ht="15" hidden="false" customHeight="false" outlineLevel="0" collapsed="false">
      <c r="A271" s="19" t="n">
        <v>270</v>
      </c>
      <c r="B271" s="30" t="s">
        <v>1104</v>
      </c>
      <c r="C271" s="44" t="n">
        <v>45607</v>
      </c>
      <c r="D271" s="30" t="s">
        <v>46</v>
      </c>
      <c r="E271" s="30" t="s">
        <v>113</v>
      </c>
      <c r="F271" s="30" t="s">
        <v>95</v>
      </c>
      <c r="G271" s="31" t="n">
        <v>779</v>
      </c>
      <c r="H271" s="19" t="n">
        <v>2</v>
      </c>
      <c r="I271" s="32" t="n">
        <v>0.05</v>
      </c>
      <c r="J271" s="30" t="s">
        <v>55</v>
      </c>
      <c r="K271" s="30" t="s">
        <v>47</v>
      </c>
      <c r="L271" s="30" t="s">
        <v>99</v>
      </c>
      <c r="M271" s="31" t="n">
        <f aca="false">AVERAGEIF($E$2:$E$1197,E271,$G$2:$G$1197)</f>
        <v>545.358823529412</v>
      </c>
      <c r="N271" s="19" t="str">
        <f aca="false">IF(G271&gt;M271*3,"نعم","لا")</f>
        <v>لا</v>
      </c>
      <c r="O271" s="19" t="str">
        <f aca="false">IF(OR(C271="",ISNUMBER(C271)),"لا","نعم")</f>
        <v>لا</v>
      </c>
      <c r="P271" s="19" t="str">
        <f aca="false">IF(COUNTIF($B$2:B271,B271)&gt;1,"مكرر","فريد")</f>
        <v>فريد</v>
      </c>
      <c r="Q271" s="19" t="str">
        <f aca="false">IF(COUNTBLANK(D271:L271)&gt;0,"نعم","لا")</f>
        <v>لا</v>
      </c>
    </row>
    <row r="272" customFormat="false" ht="15" hidden="false" customHeight="false" outlineLevel="0" collapsed="false">
      <c r="A272" s="19" t="n">
        <v>271</v>
      </c>
      <c r="B272" s="30" t="s">
        <v>884</v>
      </c>
      <c r="C272" s="44" t="n">
        <v>45539</v>
      </c>
      <c r="D272" s="30" t="s">
        <v>46</v>
      </c>
      <c r="E272" s="30" t="s">
        <v>109</v>
      </c>
      <c r="F272" s="30" t="s">
        <v>93</v>
      </c>
      <c r="G272" s="31" t="n">
        <v>49</v>
      </c>
      <c r="H272" s="19" t="n">
        <v>3</v>
      </c>
      <c r="I272" s="32" t="n">
        <v>0</v>
      </c>
      <c r="J272" s="30" t="s">
        <v>48</v>
      </c>
      <c r="K272" s="30" t="s">
        <v>51</v>
      </c>
      <c r="L272" s="30" t="s">
        <v>89</v>
      </c>
      <c r="M272" s="31" t="n">
        <f aca="false">AVERAGEIF($E$2:$E$1197,E272,$G$2:$G$1197)</f>
        <v>186.056291390729</v>
      </c>
      <c r="N272" s="19" t="str">
        <f aca="false">IF(G272&gt;M272*3,"نعم","لا")</f>
        <v>لا</v>
      </c>
      <c r="O272" s="19" t="str">
        <f aca="false">IF(OR(C272="",ISNUMBER(C272)),"لا","نعم")</f>
        <v>لا</v>
      </c>
      <c r="P272" s="19" t="str">
        <f aca="false">IF(COUNTIF($B$2:B272,B272)&gt;1,"مكرر","فريد")</f>
        <v>فريد</v>
      </c>
      <c r="Q272" s="19" t="str">
        <f aca="false">IF(COUNTBLANK(D272:L272)&gt;0,"نعم","لا")</f>
        <v>لا</v>
      </c>
    </row>
    <row r="273" customFormat="false" ht="15" hidden="false" customHeight="false" outlineLevel="0" collapsed="false">
      <c r="A273" s="19" t="n">
        <v>272</v>
      </c>
      <c r="B273" s="30" t="s">
        <v>785</v>
      </c>
      <c r="C273" s="44" t="n">
        <v>45512</v>
      </c>
      <c r="D273" s="30" t="s">
        <v>54</v>
      </c>
      <c r="E273" s="30" t="s">
        <v>109</v>
      </c>
      <c r="F273" s="30" t="s">
        <v>175</v>
      </c>
      <c r="G273" s="31" t="n">
        <v>109</v>
      </c>
      <c r="H273" s="19" t="n">
        <v>2</v>
      </c>
      <c r="I273" s="32" t="n">
        <v>0.05</v>
      </c>
      <c r="J273" s="30" t="s">
        <v>55</v>
      </c>
      <c r="K273" s="30" t="s">
        <v>47</v>
      </c>
      <c r="L273" s="30" t="s">
        <v>92</v>
      </c>
      <c r="M273" s="31" t="n">
        <f aca="false">AVERAGEIF($E$2:$E$1197,E273,$G$2:$G$1197)</f>
        <v>186.056291390729</v>
      </c>
      <c r="N273" s="19" t="str">
        <f aca="false">IF(G273&gt;M273*3,"نعم","لا")</f>
        <v>لا</v>
      </c>
      <c r="O273" s="19" t="str">
        <f aca="false">IF(OR(C273="",ISNUMBER(C273)),"لا","نعم")</f>
        <v>لا</v>
      </c>
      <c r="P273" s="19" t="str">
        <f aca="false">IF(COUNTIF($B$2:B273,B273)&gt;1,"مكرر","فريد")</f>
        <v>فريد</v>
      </c>
      <c r="Q273" s="19" t="str">
        <f aca="false">IF(COUNTBLANK(D273:L273)&gt;0,"نعم","لا")</f>
        <v>لا</v>
      </c>
    </row>
    <row r="274" customFormat="false" ht="15" hidden="false" customHeight="false" outlineLevel="0" collapsed="false">
      <c r="A274" s="19" t="n">
        <v>273</v>
      </c>
      <c r="B274" s="30" t="s">
        <v>1388</v>
      </c>
      <c r="C274" s="44" t="n">
        <v>45574</v>
      </c>
      <c r="D274" s="30"/>
      <c r="E274" s="30" t="s">
        <v>107</v>
      </c>
      <c r="F274" s="30" t="s">
        <v>184</v>
      </c>
      <c r="G274" s="31" t="n">
        <v>4659</v>
      </c>
      <c r="H274" s="19" t="n">
        <v>1</v>
      </c>
      <c r="I274" s="32" t="n">
        <v>0</v>
      </c>
      <c r="J274" s="30" t="s">
        <v>52</v>
      </c>
      <c r="K274" s="30" t="s">
        <v>47</v>
      </c>
      <c r="L274" s="30" t="s">
        <v>78</v>
      </c>
      <c r="M274" s="31" t="n">
        <f aca="false">AVERAGEIF($E$2:$E$1197,E274,$G$2:$G$1197)</f>
        <v>4981.14563106796</v>
      </c>
      <c r="N274" s="19" t="str">
        <f aca="false">IF(G274&gt;M274*3,"نعم","لا")</f>
        <v>لا</v>
      </c>
      <c r="O274" s="19" t="str">
        <f aca="false">IF(OR(C274="",ISNUMBER(C274)),"لا","نعم")</f>
        <v>لا</v>
      </c>
      <c r="P274" s="19" t="str">
        <f aca="false">IF(COUNTIF($B$2:B274,B274)&gt;1,"مكرر","فريد")</f>
        <v>فريد</v>
      </c>
      <c r="Q274" s="19" t="str">
        <f aca="false">IF(COUNTBLANK(D274:L274)&gt;0,"نعم","لا")</f>
        <v>نعم</v>
      </c>
    </row>
    <row r="275" customFormat="false" ht="15" hidden="false" customHeight="false" outlineLevel="0" collapsed="false">
      <c r="A275" s="19" t="n">
        <v>274</v>
      </c>
      <c r="B275" s="30" t="s">
        <v>638</v>
      </c>
      <c r="C275" s="44" t="n">
        <v>45464</v>
      </c>
      <c r="D275" s="30" t="s">
        <v>50</v>
      </c>
      <c r="E275" s="30" t="s">
        <v>105</v>
      </c>
      <c r="F275" s="30" t="s">
        <v>79</v>
      </c>
      <c r="G275" s="31" t="n">
        <v>2439</v>
      </c>
      <c r="H275" s="19" t="n">
        <v>5</v>
      </c>
      <c r="I275" s="32" t="n">
        <v>0.05</v>
      </c>
      <c r="J275" s="30" t="s">
        <v>58</v>
      </c>
      <c r="K275" s="30" t="s">
        <v>51</v>
      </c>
      <c r="L275" s="30" t="s">
        <v>86</v>
      </c>
      <c r="M275" s="31" t="n">
        <f aca="false">AVERAGEIF($E$2:$E$1197,E275,$G$2:$G$1197)</f>
        <v>2870.26771653543</v>
      </c>
      <c r="N275" s="19" t="str">
        <f aca="false">IF(G275&gt;M275*3,"نعم","لا")</f>
        <v>لا</v>
      </c>
      <c r="O275" s="19" t="str">
        <f aca="false">IF(OR(C275="",ISNUMBER(C275)),"لا","نعم")</f>
        <v>لا</v>
      </c>
      <c r="P275" s="19" t="str">
        <f aca="false">IF(COUNTIF($B$2:B275,B275)&gt;1,"مكرر","فريد")</f>
        <v>فريد</v>
      </c>
      <c r="Q275" s="19" t="str">
        <f aca="false">IF(COUNTBLANK(D275:L275)&gt;0,"نعم","لا")</f>
        <v>لا</v>
      </c>
    </row>
    <row r="276" customFormat="false" ht="15" hidden="false" customHeight="false" outlineLevel="0" collapsed="false">
      <c r="A276" s="19" t="n">
        <v>275</v>
      </c>
      <c r="B276" s="30" t="s">
        <v>213</v>
      </c>
      <c r="C276" s="44" t="n">
        <v>45306</v>
      </c>
      <c r="D276" s="30" t="s">
        <v>50</v>
      </c>
      <c r="E276" s="30" t="s">
        <v>107</v>
      </c>
      <c r="F276" s="30" t="s">
        <v>114</v>
      </c>
      <c r="G276" s="31" t="n">
        <v>6579</v>
      </c>
      <c r="H276" s="19" t="n">
        <v>1</v>
      </c>
      <c r="I276" s="32" t="n">
        <v>0</v>
      </c>
      <c r="J276" s="30" t="s">
        <v>48</v>
      </c>
      <c r="K276" s="30" t="s">
        <v>47</v>
      </c>
      <c r="L276" s="30" t="s">
        <v>86</v>
      </c>
      <c r="M276" s="31" t="n">
        <f aca="false">AVERAGEIF($E$2:$E$1197,E276,$G$2:$G$1197)</f>
        <v>4981.14563106796</v>
      </c>
      <c r="N276" s="19" t="str">
        <f aca="false">IF(G276&gt;M276*3,"نعم","لا")</f>
        <v>لا</v>
      </c>
      <c r="O276" s="19" t="str">
        <f aca="false">IF(OR(C276="",ISNUMBER(C276)),"لا","نعم")</f>
        <v>لا</v>
      </c>
      <c r="P276" s="19" t="str">
        <f aca="false">IF(COUNTIF($B$2:B276,B276)&gt;1,"مكرر","فريد")</f>
        <v>فريد</v>
      </c>
      <c r="Q276" s="19" t="str">
        <f aca="false">IF(COUNTBLANK(D276:L276)&gt;0,"نعم","لا")</f>
        <v>لا</v>
      </c>
    </row>
    <row r="277" customFormat="false" ht="15" hidden="false" customHeight="false" outlineLevel="0" collapsed="false">
      <c r="A277" s="19" t="n">
        <v>276</v>
      </c>
      <c r="B277" s="30" t="s">
        <v>202</v>
      </c>
      <c r="C277" s="44" t="n">
        <v>45302</v>
      </c>
      <c r="D277" s="30" t="s">
        <v>57</v>
      </c>
      <c r="E277" s="30" t="s">
        <v>107</v>
      </c>
      <c r="F277" s="30" t="s">
        <v>115</v>
      </c>
      <c r="G277" s="31" t="n">
        <v>3449</v>
      </c>
      <c r="H277" s="19" t="n">
        <v>1</v>
      </c>
      <c r="I277" s="32" t="n">
        <v>0.2</v>
      </c>
      <c r="J277" s="30" t="s">
        <v>48</v>
      </c>
      <c r="K277" s="30" t="s">
        <v>51</v>
      </c>
      <c r="L277" s="30" t="s">
        <v>76</v>
      </c>
      <c r="M277" s="31" t="n">
        <f aca="false">AVERAGEIF($E$2:$E$1197,E277,$G$2:$G$1197)</f>
        <v>4981.14563106796</v>
      </c>
      <c r="N277" s="19" t="str">
        <f aca="false">IF(G277&gt;M277*3,"نعم","لا")</f>
        <v>لا</v>
      </c>
      <c r="O277" s="19" t="str">
        <f aca="false">IF(OR(C277="",ISNUMBER(C277)),"لا","نعم")</f>
        <v>لا</v>
      </c>
      <c r="P277" s="19" t="str">
        <f aca="false">IF(COUNTIF($B$2:B277,B277)&gt;1,"مكرر","فريد")</f>
        <v>فريد</v>
      </c>
      <c r="Q277" s="19" t="str">
        <f aca="false">IF(COUNTBLANK(D277:L277)&gt;0,"نعم","لا")</f>
        <v>لا</v>
      </c>
    </row>
    <row r="278" customFormat="false" ht="15" hidden="false" customHeight="false" outlineLevel="0" collapsed="false">
      <c r="A278" s="19" t="n">
        <v>277</v>
      </c>
      <c r="B278" s="30" t="s">
        <v>406</v>
      </c>
      <c r="C278" s="44" t="n">
        <v>45378</v>
      </c>
      <c r="D278" s="30" t="s">
        <v>54</v>
      </c>
      <c r="E278" s="30" t="s">
        <v>105</v>
      </c>
      <c r="F278" s="30" t="s">
        <v>82</v>
      </c>
      <c r="G278" s="31" t="n">
        <v>989</v>
      </c>
      <c r="H278" s="19" t="n">
        <v>1</v>
      </c>
      <c r="I278" s="32" t="n">
        <v>0.05</v>
      </c>
      <c r="J278" s="30" t="s">
        <v>55</v>
      </c>
      <c r="K278" s="30" t="s">
        <v>47</v>
      </c>
      <c r="L278" s="30" t="s">
        <v>81</v>
      </c>
      <c r="M278" s="31" t="n">
        <f aca="false">AVERAGEIF($E$2:$E$1197,E278,$G$2:$G$1197)</f>
        <v>2870.26771653543</v>
      </c>
      <c r="N278" s="19" t="str">
        <f aca="false">IF(G278&gt;M278*3,"نعم","لا")</f>
        <v>لا</v>
      </c>
      <c r="O278" s="19" t="str">
        <f aca="false">IF(OR(C278="",ISNUMBER(C278)),"لا","نعم")</f>
        <v>لا</v>
      </c>
      <c r="P278" s="19" t="str">
        <f aca="false">IF(COUNTIF($B$2:B278,B278)&gt;1,"مكرر","فريد")</f>
        <v>فريد</v>
      </c>
      <c r="Q278" s="19" t="str">
        <f aca="false">IF(COUNTBLANK(D278:L278)&gt;0,"نعم","لا")</f>
        <v>لا</v>
      </c>
    </row>
    <row r="279" customFormat="false" ht="15" hidden="false" customHeight="false" outlineLevel="0" collapsed="false">
      <c r="A279" s="19" t="n">
        <v>278</v>
      </c>
      <c r="B279" s="30" t="s">
        <v>1195</v>
      </c>
      <c r="C279" s="44" t="n">
        <v>45631</v>
      </c>
      <c r="D279" s="30" t="s">
        <v>50</v>
      </c>
      <c r="E279" s="30" t="s">
        <v>105</v>
      </c>
      <c r="F279" s="30" t="s">
        <v>85</v>
      </c>
      <c r="G279" s="31" t="n">
        <v>1789</v>
      </c>
      <c r="H279" s="19" t="n">
        <v>1</v>
      </c>
      <c r="I279" s="32" t="n">
        <v>0</v>
      </c>
      <c r="J279" s="30" t="s">
        <v>52</v>
      </c>
      <c r="K279" s="30" t="s">
        <v>47</v>
      </c>
      <c r="L279" s="30" t="s">
        <v>96</v>
      </c>
      <c r="M279" s="31" t="n">
        <f aca="false">AVERAGEIF($E$2:$E$1197,E279,$G$2:$G$1197)</f>
        <v>2870.26771653543</v>
      </c>
      <c r="N279" s="19" t="str">
        <f aca="false">IF(G279&gt;M279*3,"نعم","لا")</f>
        <v>لا</v>
      </c>
      <c r="O279" s="19" t="str">
        <f aca="false">IF(OR(C279="",ISNUMBER(C279)),"لا","نعم")</f>
        <v>لا</v>
      </c>
      <c r="P279" s="19" t="str">
        <f aca="false">IF(COUNTIF($B$2:B279,B279)&gt;1,"مكرر","فريد")</f>
        <v>فريد</v>
      </c>
      <c r="Q279" s="19" t="str">
        <f aca="false">IF(COUNTBLANK(D279:L279)&gt;0,"نعم","لا")</f>
        <v>لا</v>
      </c>
    </row>
    <row r="280" customFormat="false" ht="15" hidden="false" customHeight="false" outlineLevel="0" collapsed="false">
      <c r="A280" s="19" t="n">
        <v>279</v>
      </c>
      <c r="B280" s="30" t="s">
        <v>307</v>
      </c>
      <c r="C280" s="44" t="n">
        <v>45343</v>
      </c>
      <c r="D280" s="30" t="s">
        <v>46</v>
      </c>
      <c r="E280" s="30" t="s">
        <v>107</v>
      </c>
      <c r="F280" s="30" t="s">
        <v>272</v>
      </c>
      <c r="G280" s="31" t="n">
        <v>5779</v>
      </c>
      <c r="H280" s="19" t="n">
        <v>2</v>
      </c>
      <c r="I280" s="32" t="n">
        <v>0</v>
      </c>
      <c r="J280" s="30" t="s">
        <v>52</v>
      </c>
      <c r="K280" s="30" t="s">
        <v>51</v>
      </c>
      <c r="L280" s="30" t="s">
        <v>99</v>
      </c>
      <c r="M280" s="31" t="n">
        <f aca="false">AVERAGEIF($E$2:$E$1197,E280,$G$2:$G$1197)</f>
        <v>4981.14563106796</v>
      </c>
      <c r="N280" s="19" t="str">
        <f aca="false">IF(G280&gt;M280*3,"نعم","لا")</f>
        <v>لا</v>
      </c>
      <c r="O280" s="19" t="str">
        <f aca="false">IF(OR(C280="",ISNUMBER(C280)),"لا","نعم")</f>
        <v>لا</v>
      </c>
      <c r="P280" s="19" t="str">
        <f aca="false">IF(COUNTIF($B$2:B280,B280)&gt;1,"مكرر","فريد")</f>
        <v>فريد</v>
      </c>
      <c r="Q280" s="19" t="str">
        <f aca="false">IF(COUNTBLANK(D280:L280)&gt;0,"نعم","لا")</f>
        <v>لا</v>
      </c>
    </row>
    <row r="281" customFormat="false" ht="15" hidden="false" customHeight="false" outlineLevel="0" collapsed="false">
      <c r="A281" s="19" t="n">
        <v>280</v>
      </c>
      <c r="B281" s="30" t="s">
        <v>1109</v>
      </c>
      <c r="C281" s="44" t="n">
        <v>45609</v>
      </c>
      <c r="D281" s="30" t="s">
        <v>60</v>
      </c>
      <c r="E281" s="30" t="s">
        <v>105</v>
      </c>
      <c r="F281" s="30" t="s">
        <v>85</v>
      </c>
      <c r="G281" s="31" t="n">
        <v>1659</v>
      </c>
      <c r="H281" s="19" t="n">
        <v>8</v>
      </c>
      <c r="I281" s="32" t="n">
        <v>0</v>
      </c>
      <c r="J281" s="30" t="s">
        <v>48</v>
      </c>
      <c r="K281" s="30" t="s">
        <v>51</v>
      </c>
      <c r="L281" s="30" t="s">
        <v>86</v>
      </c>
      <c r="M281" s="31" t="n">
        <f aca="false">AVERAGEIF($E$2:$E$1197,E281,$G$2:$G$1197)</f>
        <v>2870.26771653543</v>
      </c>
      <c r="N281" s="19" t="str">
        <f aca="false">IF(G281&gt;M281*3,"نعم","لا")</f>
        <v>لا</v>
      </c>
      <c r="O281" s="19" t="str">
        <f aca="false">IF(OR(C281="",ISNUMBER(C281)),"لا","نعم")</f>
        <v>لا</v>
      </c>
      <c r="P281" s="19" t="str">
        <f aca="false">IF(COUNTIF($B$2:B281,B281)&gt;1,"مكرر","فريد")</f>
        <v>فريد</v>
      </c>
      <c r="Q281" s="19" t="str">
        <f aca="false">IF(COUNTBLANK(D281:L281)&gt;0,"نعم","لا")</f>
        <v>لا</v>
      </c>
    </row>
    <row r="282" customFormat="false" ht="15" hidden="false" customHeight="false" outlineLevel="0" collapsed="false">
      <c r="A282" s="19" t="n">
        <v>281</v>
      </c>
      <c r="B282" s="30" t="s">
        <v>559</v>
      </c>
      <c r="C282" s="44" t="n">
        <v>45434</v>
      </c>
      <c r="D282" s="30" t="s">
        <v>54</v>
      </c>
      <c r="E282" s="30" t="s">
        <v>105</v>
      </c>
      <c r="F282" s="30" t="s">
        <v>179</v>
      </c>
      <c r="G282" s="31" t="n">
        <v>4399</v>
      </c>
      <c r="H282" s="19" t="n">
        <v>5</v>
      </c>
      <c r="I282" s="32" t="n">
        <v>0.05</v>
      </c>
      <c r="J282" s="30" t="s">
        <v>48</v>
      </c>
      <c r="K282" s="30" t="s">
        <v>51</v>
      </c>
      <c r="L282" s="30" t="s">
        <v>92</v>
      </c>
      <c r="M282" s="31" t="n">
        <f aca="false">AVERAGEIF($E$2:$E$1197,E282,$G$2:$G$1197)</f>
        <v>2870.26771653543</v>
      </c>
      <c r="N282" s="19" t="str">
        <f aca="false">IF(G282&gt;M282*3,"نعم","لا")</f>
        <v>لا</v>
      </c>
      <c r="O282" s="19" t="str">
        <f aca="false">IF(OR(C282="",ISNUMBER(C282)),"لا","نعم")</f>
        <v>لا</v>
      </c>
      <c r="P282" s="19" t="str">
        <f aca="false">IF(COUNTIF($B$2:B282,B282)&gt;1,"مكرر","فريد")</f>
        <v>فريد</v>
      </c>
      <c r="Q282" s="19" t="str">
        <f aca="false">IF(COUNTBLANK(D282:L282)&gt;0,"نعم","لا")</f>
        <v>لا</v>
      </c>
    </row>
    <row r="283" customFormat="false" ht="15" hidden="false" customHeight="false" outlineLevel="0" collapsed="false">
      <c r="A283" s="19" t="n">
        <v>282</v>
      </c>
      <c r="B283" s="30" t="s">
        <v>173</v>
      </c>
      <c r="C283" s="44" t="n">
        <v>45294</v>
      </c>
      <c r="D283" s="30" t="s">
        <v>50</v>
      </c>
      <c r="E283" s="30" t="s">
        <v>105</v>
      </c>
      <c r="F283" s="30" t="s">
        <v>90</v>
      </c>
      <c r="G283" s="31" t="n">
        <v>3829</v>
      </c>
      <c r="H283" s="19" t="n">
        <v>2</v>
      </c>
      <c r="I283" s="32" t="n">
        <v>0</v>
      </c>
      <c r="J283" s="30" t="s">
        <v>48</v>
      </c>
      <c r="K283" s="30" t="s">
        <v>47</v>
      </c>
      <c r="L283" s="30" t="s">
        <v>84</v>
      </c>
      <c r="M283" s="31" t="n">
        <f aca="false">AVERAGEIF($E$2:$E$1197,E283,$G$2:$G$1197)</f>
        <v>2870.26771653543</v>
      </c>
      <c r="N283" s="19" t="str">
        <f aca="false">IF(G283&gt;M283*3,"نعم","لا")</f>
        <v>لا</v>
      </c>
      <c r="O283" s="19" t="str">
        <f aca="false">IF(OR(C283="",ISNUMBER(C283)),"لا","نعم")</f>
        <v>لا</v>
      </c>
      <c r="P283" s="19" t="str">
        <f aca="false">IF(COUNTIF($B$2:B283,B283)&gt;1,"مكرر","فريد")</f>
        <v>فريد</v>
      </c>
      <c r="Q283" s="19" t="str">
        <f aca="false">IF(COUNTBLANK(D283:L283)&gt;0,"نعم","لا")</f>
        <v>لا</v>
      </c>
    </row>
    <row r="284" customFormat="false" ht="15" hidden="false" customHeight="false" outlineLevel="0" collapsed="false">
      <c r="A284" s="19" t="n">
        <v>283</v>
      </c>
      <c r="B284" s="30" t="s">
        <v>804</v>
      </c>
      <c r="C284" s="44" t="n">
        <v>45517</v>
      </c>
      <c r="D284" s="30" t="s">
        <v>50</v>
      </c>
      <c r="E284" s="30" t="s">
        <v>105</v>
      </c>
      <c r="F284" s="30" t="s">
        <v>82</v>
      </c>
      <c r="G284" s="31" t="n">
        <v>2959</v>
      </c>
      <c r="H284" s="19" t="n">
        <v>2</v>
      </c>
      <c r="I284" s="32" t="n">
        <v>0</v>
      </c>
      <c r="J284" s="30" t="s">
        <v>48</v>
      </c>
      <c r="K284" s="30" t="s">
        <v>47</v>
      </c>
      <c r="L284" s="30" t="s">
        <v>96</v>
      </c>
      <c r="M284" s="31" t="n">
        <f aca="false">AVERAGEIF($E$2:$E$1197,E284,$G$2:$G$1197)</f>
        <v>2870.26771653543</v>
      </c>
      <c r="N284" s="19" t="str">
        <f aca="false">IF(G284&gt;M284*3,"نعم","لا")</f>
        <v>لا</v>
      </c>
      <c r="O284" s="19" t="str">
        <f aca="false">IF(OR(C284="",ISNUMBER(C284)),"لا","نعم")</f>
        <v>لا</v>
      </c>
      <c r="P284" s="19" t="str">
        <f aca="false">IF(COUNTIF($B$2:B284,B284)&gt;1,"مكرر","فريد")</f>
        <v>فريد</v>
      </c>
      <c r="Q284" s="19" t="str">
        <f aca="false">IF(COUNTBLANK(D284:L284)&gt;0,"نعم","لا")</f>
        <v>لا</v>
      </c>
    </row>
    <row r="285" customFormat="false" ht="15" hidden="false" customHeight="false" outlineLevel="0" collapsed="false">
      <c r="A285" s="19" t="n">
        <v>284</v>
      </c>
      <c r="B285" s="30" t="s">
        <v>754</v>
      </c>
      <c r="C285" s="30" t="s">
        <v>1389</v>
      </c>
      <c r="D285" s="30" t="s">
        <v>54</v>
      </c>
      <c r="E285" s="30" t="s">
        <v>109</v>
      </c>
      <c r="F285" s="30" t="s">
        <v>110</v>
      </c>
      <c r="G285" s="31" t="n">
        <v>229</v>
      </c>
      <c r="H285" s="19" t="n">
        <v>1</v>
      </c>
      <c r="I285" s="32" t="n">
        <v>0</v>
      </c>
      <c r="J285" s="30" t="s">
        <v>55</v>
      </c>
      <c r="K285" s="30" t="s">
        <v>47</v>
      </c>
      <c r="L285" s="30" t="s">
        <v>78</v>
      </c>
      <c r="M285" s="31" t="n">
        <f aca="false">AVERAGEIF($E$2:$E$1197,E285,$G$2:$G$1197)</f>
        <v>186.056291390729</v>
      </c>
      <c r="N285" s="19" t="str">
        <f aca="false">IF(G285&gt;M285*3,"نعم","لا")</f>
        <v>لا</v>
      </c>
      <c r="O285" s="19" t="str">
        <f aca="false">IF(OR(C285="",ISNUMBER(C285)),"لا","نعم")</f>
        <v>نعم</v>
      </c>
      <c r="P285" s="19" t="str">
        <f aca="false">IF(COUNTIF($B$2:B285,B285)&gt;1,"مكرر","فريد")</f>
        <v>فريد</v>
      </c>
      <c r="Q285" s="19" t="str">
        <f aca="false">IF(COUNTBLANK(D285:L285)&gt;0,"نعم","لا")</f>
        <v>لا</v>
      </c>
    </row>
    <row r="286" customFormat="false" ht="15" hidden="false" customHeight="false" outlineLevel="0" collapsed="false">
      <c r="A286" s="19" t="n">
        <v>285</v>
      </c>
      <c r="B286" s="30" t="s">
        <v>1175</v>
      </c>
      <c r="C286" s="44" t="n">
        <v>45624</v>
      </c>
      <c r="D286" s="30" t="s">
        <v>50</v>
      </c>
      <c r="E286" s="30" t="s">
        <v>111</v>
      </c>
      <c r="F286" s="30" t="s">
        <v>118</v>
      </c>
      <c r="G286" s="31" t="n">
        <v>289</v>
      </c>
      <c r="H286" s="19" t="n">
        <v>1</v>
      </c>
      <c r="I286" s="32" t="n">
        <v>0</v>
      </c>
      <c r="J286" s="30" t="s">
        <v>48</v>
      </c>
      <c r="K286" s="30" t="s">
        <v>47</v>
      </c>
      <c r="L286" s="30" t="s">
        <v>94</v>
      </c>
      <c r="M286" s="31" t="n">
        <f aca="false">AVERAGEIF($E$2:$E$1197,E286,$G$2:$G$1197)</f>
        <v>366.306569343066</v>
      </c>
      <c r="N286" s="19" t="str">
        <f aca="false">IF(G286&gt;M286*3,"نعم","لا")</f>
        <v>لا</v>
      </c>
      <c r="O286" s="19" t="str">
        <f aca="false">IF(OR(C286="",ISNUMBER(C286)),"لا","نعم")</f>
        <v>لا</v>
      </c>
      <c r="P286" s="19" t="str">
        <f aca="false">IF(COUNTIF($B$2:B286,B286)&gt;1,"مكرر","فريد")</f>
        <v>فريد</v>
      </c>
      <c r="Q286" s="19" t="str">
        <f aca="false">IF(COUNTBLANK(D286:L286)&gt;0,"نعم","لا")</f>
        <v>لا</v>
      </c>
    </row>
    <row r="287" customFormat="false" ht="15" hidden="false" customHeight="false" outlineLevel="0" collapsed="false">
      <c r="A287" s="19" t="n">
        <v>286</v>
      </c>
      <c r="B287" s="30" t="s">
        <v>543</v>
      </c>
      <c r="C287" s="44" t="n">
        <v>45428</v>
      </c>
      <c r="D287" s="30" t="s">
        <v>50</v>
      </c>
      <c r="E287" s="30" t="s">
        <v>109</v>
      </c>
      <c r="F287" s="30" t="s">
        <v>110</v>
      </c>
      <c r="G287" s="31" t="n">
        <v>179</v>
      </c>
      <c r="H287" s="19" t="n">
        <v>1</v>
      </c>
      <c r="I287" s="32" t="n">
        <v>0.05</v>
      </c>
      <c r="J287" s="30" t="s">
        <v>48</v>
      </c>
      <c r="K287" s="30" t="s">
        <v>47</v>
      </c>
      <c r="L287" s="30" t="s">
        <v>94</v>
      </c>
      <c r="M287" s="31" t="n">
        <f aca="false">AVERAGEIF($E$2:$E$1197,E287,$G$2:$G$1197)</f>
        <v>186.056291390729</v>
      </c>
      <c r="N287" s="19" t="str">
        <f aca="false">IF(G287&gt;M287*3,"نعم","لا")</f>
        <v>لا</v>
      </c>
      <c r="O287" s="19" t="str">
        <f aca="false">IF(OR(C287="",ISNUMBER(C287)),"لا","نعم")</f>
        <v>لا</v>
      </c>
      <c r="P287" s="19" t="str">
        <f aca="false">IF(COUNTIF($B$2:B287,B287)&gt;1,"مكرر","فريد")</f>
        <v>فريد</v>
      </c>
      <c r="Q287" s="19" t="str">
        <f aca="false">IF(COUNTBLANK(D287:L287)&gt;0,"نعم","لا")</f>
        <v>لا</v>
      </c>
    </row>
    <row r="288" customFormat="false" ht="15" hidden="false" customHeight="false" outlineLevel="0" collapsed="false">
      <c r="A288" s="19" t="n">
        <v>287</v>
      </c>
      <c r="B288" s="30" t="s">
        <v>989</v>
      </c>
      <c r="C288" s="44" t="n">
        <v>45577</v>
      </c>
      <c r="D288" s="30" t="s">
        <v>60</v>
      </c>
      <c r="E288" s="30" t="s">
        <v>113</v>
      </c>
      <c r="F288" s="30" t="s">
        <v>100</v>
      </c>
      <c r="G288" s="31" t="n">
        <v>599</v>
      </c>
      <c r="H288" s="19" t="n">
        <v>1</v>
      </c>
      <c r="I288" s="32" t="n">
        <v>1.5</v>
      </c>
      <c r="J288" s="30" t="s">
        <v>48</v>
      </c>
      <c r="K288" s="30" t="s">
        <v>47</v>
      </c>
      <c r="L288" s="30" t="s">
        <v>99</v>
      </c>
      <c r="M288" s="31" t="n">
        <f aca="false">AVERAGEIF($E$2:$E$1197,E288,$G$2:$G$1197)</f>
        <v>545.358823529412</v>
      </c>
      <c r="N288" s="19" t="str">
        <f aca="false">IF(G288&gt;M288*3,"نعم","لا")</f>
        <v>لا</v>
      </c>
      <c r="O288" s="19" t="str">
        <f aca="false">IF(OR(C288="",ISNUMBER(C288)),"لا","نعم")</f>
        <v>لا</v>
      </c>
      <c r="P288" s="19" t="str">
        <f aca="false">IF(COUNTIF($B$2:B288,B288)&gt;1,"مكرر","فريد")</f>
        <v>فريد</v>
      </c>
      <c r="Q288" s="19" t="str">
        <f aca="false">IF(COUNTBLANK(D288:L288)&gt;0,"نعم","لا")</f>
        <v>لا</v>
      </c>
    </row>
    <row r="289" customFormat="false" ht="15" hidden="false" customHeight="false" outlineLevel="0" collapsed="false">
      <c r="A289" s="19" t="n">
        <v>288</v>
      </c>
      <c r="B289" s="30" t="s">
        <v>688</v>
      </c>
      <c r="C289" s="44" t="n">
        <v>45481</v>
      </c>
      <c r="D289" s="30" t="s">
        <v>54</v>
      </c>
      <c r="E289" s="30" t="s">
        <v>113</v>
      </c>
      <c r="F289" s="30" t="s">
        <v>121</v>
      </c>
      <c r="G289" s="31" t="n">
        <v>689</v>
      </c>
      <c r="H289" s="19" t="n">
        <v>1</v>
      </c>
      <c r="I289" s="32" t="n">
        <v>0</v>
      </c>
      <c r="J289" s="30" t="s">
        <v>52</v>
      </c>
      <c r="K289" s="30" t="s">
        <v>51</v>
      </c>
      <c r="L289" s="30" t="s">
        <v>94</v>
      </c>
      <c r="M289" s="31" t="n">
        <f aca="false">AVERAGEIF($E$2:$E$1197,E289,$G$2:$G$1197)</f>
        <v>545.358823529412</v>
      </c>
      <c r="N289" s="19" t="str">
        <f aca="false">IF(G289&gt;M289*3,"نعم","لا")</f>
        <v>لا</v>
      </c>
      <c r="O289" s="19" t="str">
        <f aca="false">IF(OR(C289="",ISNUMBER(C289)),"لا","نعم")</f>
        <v>لا</v>
      </c>
      <c r="P289" s="19" t="str">
        <f aca="false">IF(COUNTIF($B$2:B289,B289)&gt;1,"مكرر","فريد")</f>
        <v>فريد</v>
      </c>
      <c r="Q289" s="19" t="str">
        <f aca="false">IF(COUNTBLANK(D289:L289)&gt;0,"نعم","لا")</f>
        <v>لا</v>
      </c>
    </row>
    <row r="290" customFormat="false" ht="15" hidden="false" customHeight="false" outlineLevel="0" collapsed="false">
      <c r="A290" s="19" t="n">
        <v>289</v>
      </c>
      <c r="B290" s="30" t="s">
        <v>603</v>
      </c>
      <c r="C290" s="44" t="n">
        <v>45452</v>
      </c>
      <c r="D290" s="30" t="s">
        <v>60</v>
      </c>
      <c r="E290" s="30" t="s">
        <v>109</v>
      </c>
      <c r="F290" s="30" t="s">
        <v>175</v>
      </c>
      <c r="G290" s="31" t="n">
        <v>119</v>
      </c>
      <c r="H290" s="19" t="n">
        <v>1</v>
      </c>
      <c r="I290" s="32" t="n">
        <v>0.15</v>
      </c>
      <c r="J290" s="30"/>
      <c r="K290" s="30" t="s">
        <v>47</v>
      </c>
      <c r="L290" s="30" t="s">
        <v>78</v>
      </c>
      <c r="M290" s="31" t="n">
        <f aca="false">AVERAGEIF($E$2:$E$1197,E290,$G$2:$G$1197)</f>
        <v>186.056291390729</v>
      </c>
      <c r="N290" s="19" t="str">
        <f aca="false">IF(G290&gt;M290*3,"نعم","لا")</f>
        <v>لا</v>
      </c>
      <c r="O290" s="19" t="str">
        <f aca="false">IF(OR(C290="",ISNUMBER(C290)),"لا","نعم")</f>
        <v>لا</v>
      </c>
      <c r="P290" s="19" t="str">
        <f aca="false">IF(COUNTIF($B$2:B290,B290)&gt;1,"مكرر","فريد")</f>
        <v>فريد</v>
      </c>
      <c r="Q290" s="19" t="str">
        <f aca="false">IF(COUNTBLANK(D290:L290)&gt;0,"نعم","لا")</f>
        <v>نعم</v>
      </c>
    </row>
    <row r="291" customFormat="false" ht="15" hidden="false" customHeight="false" outlineLevel="0" collapsed="false">
      <c r="A291" s="19" t="n">
        <v>290</v>
      </c>
      <c r="B291" s="30" t="s">
        <v>526</v>
      </c>
      <c r="C291" s="44" t="n">
        <v>45423</v>
      </c>
      <c r="D291" s="30" t="s">
        <v>1390</v>
      </c>
      <c r="E291" s="30" t="s">
        <v>109</v>
      </c>
      <c r="F291" s="30" t="s">
        <v>171</v>
      </c>
      <c r="G291" s="31" t="n">
        <v>39</v>
      </c>
      <c r="H291" s="19" t="n">
        <v>1</v>
      </c>
      <c r="I291" s="32" t="n">
        <v>0.15</v>
      </c>
      <c r="J291" s="30" t="s">
        <v>48</v>
      </c>
      <c r="K291" s="30" t="s">
        <v>47</v>
      </c>
      <c r="L291" s="30" t="s">
        <v>92</v>
      </c>
      <c r="M291" s="31" t="n">
        <f aca="false">AVERAGEIF($E$2:$E$1197,E291,$G$2:$G$1197)</f>
        <v>186.056291390729</v>
      </c>
      <c r="N291" s="19" t="str">
        <f aca="false">IF(G291&gt;M291*3,"نعم","لا")</f>
        <v>لا</v>
      </c>
      <c r="O291" s="19" t="str">
        <f aca="false">IF(OR(C291="",ISNUMBER(C291)),"لا","نعم")</f>
        <v>لا</v>
      </c>
      <c r="P291" s="19" t="str">
        <f aca="false">IF(COUNTIF($B$2:B291,B291)&gt;1,"مكرر","فريد")</f>
        <v>فريد</v>
      </c>
      <c r="Q291" s="19" t="str">
        <f aca="false">IF(COUNTBLANK(D291:L291)&gt;0,"نعم","لا")</f>
        <v>لا</v>
      </c>
    </row>
    <row r="292" customFormat="false" ht="15" hidden="false" customHeight="false" outlineLevel="0" collapsed="false">
      <c r="A292" s="19" t="n">
        <v>291</v>
      </c>
      <c r="B292" s="30" t="s">
        <v>508</v>
      </c>
      <c r="C292" s="44" t="n">
        <v>45417</v>
      </c>
      <c r="D292" s="30" t="s">
        <v>57</v>
      </c>
      <c r="E292" s="30" t="s">
        <v>113</v>
      </c>
      <c r="F292" s="30" t="s">
        <v>95</v>
      </c>
      <c r="G292" s="31" t="n">
        <v>419</v>
      </c>
      <c r="H292" s="19" t="n">
        <v>3</v>
      </c>
      <c r="I292" s="32" t="n">
        <v>0.2</v>
      </c>
      <c r="J292" s="30" t="s">
        <v>48</v>
      </c>
      <c r="K292" s="30" t="s">
        <v>51</v>
      </c>
      <c r="L292" s="30" t="s">
        <v>89</v>
      </c>
      <c r="M292" s="31" t="n">
        <f aca="false">AVERAGEIF($E$2:$E$1197,E292,$G$2:$G$1197)</f>
        <v>545.358823529412</v>
      </c>
      <c r="N292" s="19" t="str">
        <f aca="false">IF(G292&gt;M292*3,"نعم","لا")</f>
        <v>لا</v>
      </c>
      <c r="O292" s="19" t="str">
        <f aca="false">IF(OR(C292="",ISNUMBER(C292)),"لا","نعم")</f>
        <v>لا</v>
      </c>
      <c r="P292" s="19" t="str">
        <f aca="false">IF(COUNTIF($B$2:B292,B292)&gt;1,"مكرر","فريد")</f>
        <v>فريد</v>
      </c>
      <c r="Q292" s="19" t="str">
        <f aca="false">IF(COUNTBLANK(D292:L292)&gt;0,"نعم","لا")</f>
        <v>لا</v>
      </c>
    </row>
    <row r="293" customFormat="false" ht="15" hidden="false" customHeight="false" outlineLevel="0" collapsed="false">
      <c r="A293" s="19" t="n">
        <v>292</v>
      </c>
      <c r="B293" s="30" t="s">
        <v>663</v>
      </c>
      <c r="C293" s="44" t="n">
        <v>45473</v>
      </c>
      <c r="D293" s="30" t="s">
        <v>50</v>
      </c>
      <c r="E293" s="30" t="s">
        <v>109</v>
      </c>
      <c r="F293" s="30" t="s">
        <v>192</v>
      </c>
      <c r="G293" s="31" t="n">
        <v>109</v>
      </c>
      <c r="H293" s="19" t="n">
        <v>2</v>
      </c>
      <c r="I293" s="32" t="n">
        <v>0</v>
      </c>
      <c r="J293" s="30" t="s">
        <v>58</v>
      </c>
      <c r="K293" s="30" t="s">
        <v>47</v>
      </c>
      <c r="L293" s="30" t="s">
        <v>81</v>
      </c>
      <c r="M293" s="31" t="n">
        <f aca="false">AVERAGEIF($E$2:$E$1197,E293,$G$2:$G$1197)</f>
        <v>186.056291390729</v>
      </c>
      <c r="N293" s="19" t="str">
        <f aca="false">IF(G293&gt;M293*3,"نعم","لا")</f>
        <v>لا</v>
      </c>
      <c r="O293" s="19" t="str">
        <f aca="false">IF(OR(C293="",ISNUMBER(C293)),"لا","نعم")</f>
        <v>لا</v>
      </c>
      <c r="P293" s="19" t="str">
        <f aca="false">IF(COUNTIF($B$2:B293,B293)&gt;1,"مكرر","فريد")</f>
        <v>فريد</v>
      </c>
      <c r="Q293" s="19" t="str">
        <f aca="false">IF(COUNTBLANK(D293:L293)&gt;0,"نعم","لا")</f>
        <v>لا</v>
      </c>
    </row>
    <row r="294" customFormat="false" ht="15" hidden="false" customHeight="false" outlineLevel="0" collapsed="false">
      <c r="A294" s="19" t="n">
        <v>293</v>
      </c>
      <c r="B294" s="30" t="s">
        <v>270</v>
      </c>
      <c r="C294" s="44" t="n">
        <v>45329</v>
      </c>
      <c r="D294" s="30" t="s">
        <v>60</v>
      </c>
      <c r="E294" s="30" t="s">
        <v>111</v>
      </c>
      <c r="F294" s="30" t="s">
        <v>108</v>
      </c>
      <c r="G294" s="31" t="n">
        <v>489</v>
      </c>
      <c r="H294" s="19" t="n">
        <v>2</v>
      </c>
      <c r="I294" s="32" t="n">
        <v>0.15</v>
      </c>
      <c r="J294" s="30" t="s">
        <v>48</v>
      </c>
      <c r="K294" s="30" t="s">
        <v>47</v>
      </c>
      <c r="L294" s="30" t="s">
        <v>81</v>
      </c>
      <c r="M294" s="31" t="n">
        <f aca="false">AVERAGEIF($E$2:$E$1197,E294,$G$2:$G$1197)</f>
        <v>366.306569343066</v>
      </c>
      <c r="N294" s="19" t="str">
        <f aca="false">IF(G294&gt;M294*3,"نعم","لا")</f>
        <v>لا</v>
      </c>
      <c r="O294" s="19" t="str">
        <f aca="false">IF(OR(C294="",ISNUMBER(C294)),"لا","نعم")</f>
        <v>لا</v>
      </c>
      <c r="P294" s="19" t="str">
        <f aca="false">IF(COUNTIF($B$2:B294,B294)&gt;1,"مكرر","فريد")</f>
        <v>فريد</v>
      </c>
      <c r="Q294" s="19" t="str">
        <f aca="false">IF(COUNTBLANK(D294:L294)&gt;0,"نعم","لا")</f>
        <v>لا</v>
      </c>
    </row>
    <row r="295" customFormat="false" ht="15" hidden="false" customHeight="false" outlineLevel="0" collapsed="false">
      <c r="A295" s="19" t="n">
        <v>294</v>
      </c>
      <c r="B295" s="30" t="s">
        <v>1204</v>
      </c>
      <c r="C295" s="44" t="n">
        <v>45632</v>
      </c>
      <c r="D295" s="30" t="s">
        <v>46</v>
      </c>
      <c r="E295" s="30" t="s">
        <v>111</v>
      </c>
      <c r="F295" s="30" t="s">
        <v>118</v>
      </c>
      <c r="G295" s="31" t="n">
        <v>319</v>
      </c>
      <c r="H295" s="19" t="n">
        <v>5</v>
      </c>
      <c r="I295" s="32" t="n">
        <v>0.1</v>
      </c>
      <c r="J295" s="30" t="s">
        <v>52</v>
      </c>
      <c r="K295" s="30" t="s">
        <v>51</v>
      </c>
      <c r="L295" s="30" t="s">
        <v>84</v>
      </c>
      <c r="M295" s="31" t="n">
        <f aca="false">AVERAGEIF($E$2:$E$1197,E295,$G$2:$G$1197)</f>
        <v>366.306569343066</v>
      </c>
      <c r="N295" s="19" t="str">
        <f aca="false">IF(G295&gt;M295*3,"نعم","لا")</f>
        <v>لا</v>
      </c>
      <c r="O295" s="19" t="str">
        <f aca="false">IF(OR(C295="",ISNUMBER(C295)),"لا","نعم")</f>
        <v>لا</v>
      </c>
      <c r="P295" s="19" t="str">
        <f aca="false">IF(COUNTIF($B$2:B295,B295)&gt;1,"مكرر","فريد")</f>
        <v>فريد</v>
      </c>
      <c r="Q295" s="19" t="str">
        <f aca="false">IF(COUNTBLANK(D295:L295)&gt;0,"نعم","لا")</f>
        <v>لا</v>
      </c>
    </row>
    <row r="296" customFormat="false" ht="15" hidden="false" customHeight="false" outlineLevel="0" collapsed="false">
      <c r="A296" s="19" t="n">
        <v>295</v>
      </c>
      <c r="B296" s="30" t="s">
        <v>780</v>
      </c>
      <c r="C296" s="44" t="n">
        <v>45510</v>
      </c>
      <c r="D296" s="30" t="s">
        <v>54</v>
      </c>
      <c r="E296" s="30" t="s">
        <v>107</v>
      </c>
      <c r="F296" s="30" t="s">
        <v>184</v>
      </c>
      <c r="G296" s="31" t="n">
        <v>4539</v>
      </c>
      <c r="H296" s="19" t="n">
        <v>1</v>
      </c>
      <c r="I296" s="32" t="n">
        <v>0</v>
      </c>
      <c r="J296" s="30" t="s">
        <v>58</v>
      </c>
      <c r="K296" s="30" t="s">
        <v>47</v>
      </c>
      <c r="L296" s="30" t="s">
        <v>78</v>
      </c>
      <c r="M296" s="31" t="n">
        <f aca="false">AVERAGEIF($E$2:$E$1197,E296,$G$2:$G$1197)</f>
        <v>4981.14563106796</v>
      </c>
      <c r="N296" s="19" t="str">
        <f aca="false">IF(G296&gt;M296*3,"نعم","لا")</f>
        <v>لا</v>
      </c>
      <c r="O296" s="19" t="str">
        <f aca="false">IF(OR(C296="",ISNUMBER(C296)),"لا","نعم")</f>
        <v>لا</v>
      </c>
      <c r="P296" s="19" t="str">
        <f aca="false">IF(COUNTIF($B$2:B296,B296)&gt;1,"مكرر","فريد")</f>
        <v>فريد</v>
      </c>
      <c r="Q296" s="19" t="str">
        <f aca="false">IF(COUNTBLANK(D296:L296)&gt;0,"نعم","لا")</f>
        <v>لا</v>
      </c>
    </row>
    <row r="297" customFormat="false" ht="15" hidden="false" customHeight="false" outlineLevel="0" collapsed="false">
      <c r="A297" s="19" t="n">
        <v>296</v>
      </c>
      <c r="B297" s="30" t="s">
        <v>674</v>
      </c>
      <c r="C297" s="44" t="n">
        <v>45476</v>
      </c>
      <c r="D297" s="30" t="s">
        <v>54</v>
      </c>
      <c r="E297" s="30" t="s">
        <v>109</v>
      </c>
      <c r="F297" s="30" t="s">
        <v>192</v>
      </c>
      <c r="G297" s="31" t="n">
        <v>239</v>
      </c>
      <c r="H297" s="19" t="n">
        <v>3</v>
      </c>
      <c r="I297" s="32" t="n">
        <v>0.1</v>
      </c>
      <c r="J297" s="30" t="s">
        <v>55</v>
      </c>
      <c r="K297" s="30" t="s">
        <v>47</v>
      </c>
      <c r="L297" s="30" t="s">
        <v>92</v>
      </c>
      <c r="M297" s="31" t="n">
        <f aca="false">AVERAGEIF($E$2:$E$1197,E297,$G$2:$G$1197)</f>
        <v>186.056291390729</v>
      </c>
      <c r="N297" s="19" t="str">
        <f aca="false">IF(G297&gt;M297*3,"نعم","لا")</f>
        <v>لا</v>
      </c>
      <c r="O297" s="19" t="str">
        <f aca="false">IF(OR(C297="",ISNUMBER(C297)),"لا","نعم")</f>
        <v>لا</v>
      </c>
      <c r="P297" s="19" t="str">
        <f aca="false">IF(COUNTIF($B$2:B297,B297)&gt;1,"مكرر","فريد")</f>
        <v>فريد</v>
      </c>
      <c r="Q297" s="19" t="str">
        <f aca="false">IF(COUNTBLANK(D297:L297)&gt;0,"نعم","لا")</f>
        <v>لا</v>
      </c>
    </row>
    <row r="298" customFormat="false" ht="15" hidden="false" customHeight="false" outlineLevel="0" collapsed="false">
      <c r="A298" s="19" t="n">
        <v>297</v>
      </c>
      <c r="B298" s="30" t="s">
        <v>967</v>
      </c>
      <c r="C298" s="30" t="s">
        <v>1391</v>
      </c>
      <c r="D298" s="30" t="s">
        <v>54</v>
      </c>
      <c r="E298" s="30" t="s">
        <v>105</v>
      </c>
      <c r="F298" s="30" t="s">
        <v>82</v>
      </c>
      <c r="G298" s="31" t="n">
        <v>2479</v>
      </c>
      <c r="H298" s="19" t="n">
        <v>1</v>
      </c>
      <c r="I298" s="32" t="n">
        <v>0</v>
      </c>
      <c r="J298" s="30" t="s">
        <v>58</v>
      </c>
      <c r="K298" s="30" t="s">
        <v>47</v>
      </c>
      <c r="L298" s="30" t="s">
        <v>84</v>
      </c>
      <c r="M298" s="31" t="n">
        <f aca="false">AVERAGEIF($E$2:$E$1197,E298,$G$2:$G$1197)</f>
        <v>2870.26771653543</v>
      </c>
      <c r="N298" s="19" t="str">
        <f aca="false">IF(G298&gt;M298*3,"نعم","لا")</f>
        <v>لا</v>
      </c>
      <c r="O298" s="19" t="str">
        <f aca="false">IF(OR(C298="",ISNUMBER(C298)),"لا","نعم")</f>
        <v>نعم</v>
      </c>
      <c r="P298" s="19" t="str">
        <f aca="false">IF(COUNTIF($B$2:B298,B298)&gt;1,"مكرر","فريد")</f>
        <v>فريد</v>
      </c>
      <c r="Q298" s="19" t="str">
        <f aca="false">IF(COUNTBLANK(D298:L298)&gt;0,"نعم","لا")</f>
        <v>لا</v>
      </c>
    </row>
    <row r="299" customFormat="false" ht="15" hidden="false" customHeight="false" outlineLevel="0" collapsed="false">
      <c r="A299" s="19" t="n">
        <v>298</v>
      </c>
      <c r="B299" s="30" t="s">
        <v>912</v>
      </c>
      <c r="C299" s="44" t="n">
        <v>45551</v>
      </c>
      <c r="D299" s="30" t="s">
        <v>46</v>
      </c>
      <c r="E299" s="30" t="s">
        <v>109</v>
      </c>
      <c r="F299" s="30" t="s">
        <v>93</v>
      </c>
      <c r="G299" s="31" t="n">
        <v>139</v>
      </c>
      <c r="H299" s="19" t="n">
        <v>1</v>
      </c>
      <c r="I299" s="32" t="n">
        <v>0</v>
      </c>
      <c r="J299" s="30" t="s">
        <v>58</v>
      </c>
      <c r="K299" s="30" t="s">
        <v>47</v>
      </c>
      <c r="L299" s="30" t="s">
        <v>99</v>
      </c>
      <c r="M299" s="31" t="n">
        <f aca="false">AVERAGEIF($E$2:$E$1197,E299,$G$2:$G$1197)</f>
        <v>186.056291390729</v>
      </c>
      <c r="N299" s="19" t="str">
        <f aca="false">IF(G299&gt;M299*3,"نعم","لا")</f>
        <v>لا</v>
      </c>
      <c r="O299" s="19" t="str">
        <f aca="false">IF(OR(C299="",ISNUMBER(C299)),"لا","نعم")</f>
        <v>لا</v>
      </c>
      <c r="P299" s="19" t="str">
        <f aca="false">IF(COUNTIF($B$2:B299,B299)&gt;1,"مكرر","فريد")</f>
        <v>فريد</v>
      </c>
      <c r="Q299" s="19" t="str">
        <f aca="false">IF(COUNTBLANK(D299:L299)&gt;0,"نعم","لا")</f>
        <v>لا</v>
      </c>
    </row>
    <row r="300" customFormat="false" ht="15" hidden="false" customHeight="false" outlineLevel="0" collapsed="false">
      <c r="A300" s="19" t="n">
        <v>299</v>
      </c>
      <c r="B300" s="30" t="s">
        <v>640</v>
      </c>
      <c r="C300" s="44" t="n">
        <v>45465</v>
      </c>
      <c r="D300" s="30" t="s">
        <v>46</v>
      </c>
      <c r="E300" s="30" t="s">
        <v>113</v>
      </c>
      <c r="F300" s="30" t="s">
        <v>95</v>
      </c>
      <c r="G300" s="31" t="n">
        <v>529</v>
      </c>
      <c r="H300" s="19" t="n">
        <v>1</v>
      </c>
      <c r="I300" s="32" t="n">
        <v>0</v>
      </c>
      <c r="J300" s="30" t="s">
        <v>58</v>
      </c>
      <c r="K300" s="30" t="s">
        <v>47</v>
      </c>
      <c r="L300" s="30" t="s">
        <v>94</v>
      </c>
      <c r="M300" s="31" t="n">
        <f aca="false">AVERAGEIF($E$2:$E$1197,E300,$G$2:$G$1197)</f>
        <v>545.358823529412</v>
      </c>
      <c r="N300" s="19" t="str">
        <f aca="false">IF(G300&gt;M300*3,"نعم","لا")</f>
        <v>لا</v>
      </c>
      <c r="O300" s="19" t="str">
        <f aca="false">IF(OR(C300="",ISNUMBER(C300)),"لا","نعم")</f>
        <v>لا</v>
      </c>
      <c r="P300" s="19" t="str">
        <f aca="false">IF(COUNTIF($B$2:B300,B300)&gt;1,"مكرر","فريد")</f>
        <v>فريد</v>
      </c>
      <c r="Q300" s="19" t="str">
        <f aca="false">IF(COUNTBLANK(D300:L300)&gt;0,"نعم","لا")</f>
        <v>لا</v>
      </c>
    </row>
    <row r="301" customFormat="false" ht="15" hidden="false" customHeight="false" outlineLevel="0" collapsed="false">
      <c r="A301" s="19" t="n">
        <v>300</v>
      </c>
      <c r="B301" s="30" t="s">
        <v>962</v>
      </c>
      <c r="C301" s="44" t="n">
        <v>45568</v>
      </c>
      <c r="D301" s="30" t="s">
        <v>57</v>
      </c>
      <c r="E301" s="30" t="s">
        <v>105</v>
      </c>
      <c r="F301" s="30" t="s">
        <v>82</v>
      </c>
      <c r="G301" s="31" t="n">
        <v>2699</v>
      </c>
      <c r="H301" s="19" t="n">
        <v>1</v>
      </c>
      <c r="I301" s="32" t="n">
        <v>0.15</v>
      </c>
      <c r="J301" s="30" t="s">
        <v>55</v>
      </c>
      <c r="K301" s="30" t="s">
        <v>47</v>
      </c>
      <c r="L301" s="30" t="s">
        <v>89</v>
      </c>
      <c r="M301" s="31" t="n">
        <f aca="false">AVERAGEIF($E$2:$E$1197,E301,$G$2:$G$1197)</f>
        <v>2870.26771653543</v>
      </c>
      <c r="N301" s="19" t="str">
        <f aca="false">IF(G301&gt;M301*3,"نعم","لا")</f>
        <v>لا</v>
      </c>
      <c r="O301" s="19" t="str">
        <f aca="false">IF(OR(C301="",ISNUMBER(C301)),"لا","نعم")</f>
        <v>لا</v>
      </c>
      <c r="P301" s="19" t="str">
        <f aca="false">IF(COUNTIF($B$2:B301,B301)&gt;1,"مكرر","فريد")</f>
        <v>فريد</v>
      </c>
      <c r="Q301" s="19" t="str">
        <f aca="false">IF(COUNTBLANK(D301:L301)&gt;0,"نعم","لا")</f>
        <v>لا</v>
      </c>
    </row>
    <row r="302" customFormat="false" ht="15" hidden="false" customHeight="false" outlineLevel="0" collapsed="false">
      <c r="A302" s="19" t="n">
        <v>301</v>
      </c>
      <c r="B302" s="30" t="s">
        <v>394</v>
      </c>
      <c r="C302" s="44" t="n">
        <v>45374</v>
      </c>
      <c r="D302" s="30" t="s">
        <v>50</v>
      </c>
      <c r="E302" s="30" t="s">
        <v>107</v>
      </c>
      <c r="F302" s="30" t="s">
        <v>115</v>
      </c>
      <c r="G302" s="31" t="n">
        <v>3489</v>
      </c>
      <c r="H302" s="19" t="n">
        <v>1</v>
      </c>
      <c r="I302" s="32" t="n">
        <v>0.2</v>
      </c>
      <c r="J302" s="30" t="s">
        <v>48</v>
      </c>
      <c r="K302" s="30" t="s">
        <v>47</v>
      </c>
      <c r="L302" s="30" t="s">
        <v>81</v>
      </c>
      <c r="M302" s="31" t="n">
        <f aca="false">AVERAGEIF($E$2:$E$1197,E302,$G$2:$G$1197)</f>
        <v>4981.14563106796</v>
      </c>
      <c r="N302" s="19" t="str">
        <f aca="false">IF(G302&gt;M302*3,"نعم","لا")</f>
        <v>لا</v>
      </c>
      <c r="O302" s="19" t="str">
        <f aca="false">IF(OR(C302="",ISNUMBER(C302)),"لا","نعم")</f>
        <v>لا</v>
      </c>
      <c r="P302" s="19" t="str">
        <f aca="false">IF(COUNTIF($B$2:B302,B302)&gt;1,"مكرر","فريد")</f>
        <v>فريد</v>
      </c>
      <c r="Q302" s="19" t="str">
        <f aca="false">IF(COUNTBLANK(D302:L302)&gt;0,"نعم","لا")</f>
        <v>لا</v>
      </c>
    </row>
    <row r="303" customFormat="false" ht="15" hidden="false" customHeight="false" outlineLevel="0" collapsed="false">
      <c r="A303" s="19" t="n">
        <v>302</v>
      </c>
      <c r="B303" s="30" t="s">
        <v>493</v>
      </c>
      <c r="C303" s="44" t="n">
        <v>45412</v>
      </c>
      <c r="D303" s="30" t="s">
        <v>54</v>
      </c>
      <c r="E303" s="30" t="s">
        <v>105</v>
      </c>
      <c r="F303" s="30" t="s">
        <v>82</v>
      </c>
      <c r="G303" s="31" t="n">
        <v>2949</v>
      </c>
      <c r="H303" s="19" t="n">
        <v>1</v>
      </c>
      <c r="I303" s="32" t="n">
        <v>0</v>
      </c>
      <c r="J303" s="30" t="s">
        <v>55</v>
      </c>
      <c r="K303" s="30" t="s">
        <v>47</v>
      </c>
      <c r="L303" s="30" t="s">
        <v>81</v>
      </c>
      <c r="M303" s="31" t="n">
        <f aca="false">AVERAGEIF($E$2:$E$1197,E303,$G$2:$G$1197)</f>
        <v>2870.26771653543</v>
      </c>
      <c r="N303" s="19" t="str">
        <f aca="false">IF(G303&gt;M303*3,"نعم","لا")</f>
        <v>لا</v>
      </c>
      <c r="O303" s="19" t="str">
        <f aca="false">IF(OR(C303="",ISNUMBER(C303)),"لا","نعم")</f>
        <v>لا</v>
      </c>
      <c r="P303" s="19" t="str">
        <f aca="false">IF(COUNTIF($B$2:B303,B303)&gt;1,"مكرر","فريد")</f>
        <v>فريد</v>
      </c>
      <c r="Q303" s="19" t="str">
        <f aca="false">IF(COUNTBLANK(D303:L303)&gt;0,"نعم","لا")</f>
        <v>لا</v>
      </c>
    </row>
    <row r="304" customFormat="false" ht="15" hidden="false" customHeight="false" outlineLevel="0" collapsed="false">
      <c r="A304" s="19" t="n">
        <v>303</v>
      </c>
      <c r="B304" s="30" t="s">
        <v>881</v>
      </c>
      <c r="C304" s="44" t="n">
        <v>45538</v>
      </c>
      <c r="D304" s="30" t="s">
        <v>46</v>
      </c>
      <c r="E304" s="30" t="s">
        <v>107</v>
      </c>
      <c r="F304" s="30" t="s">
        <v>272</v>
      </c>
      <c r="G304" s="31" t="n">
        <v>3359</v>
      </c>
      <c r="H304" s="19" t="n">
        <v>1</v>
      </c>
      <c r="I304" s="32" t="n">
        <v>0.15</v>
      </c>
      <c r="J304" s="30" t="s">
        <v>55</v>
      </c>
      <c r="K304" s="30" t="s">
        <v>51</v>
      </c>
      <c r="L304" s="30" t="s">
        <v>94</v>
      </c>
      <c r="M304" s="31" t="n">
        <f aca="false">AVERAGEIF($E$2:$E$1197,E304,$G$2:$G$1197)</f>
        <v>4981.14563106796</v>
      </c>
      <c r="N304" s="19" t="str">
        <f aca="false">IF(G304&gt;M304*3,"نعم","لا")</f>
        <v>لا</v>
      </c>
      <c r="O304" s="19" t="str">
        <f aca="false">IF(OR(C304="",ISNUMBER(C304)),"لا","نعم")</f>
        <v>لا</v>
      </c>
      <c r="P304" s="19" t="str">
        <f aca="false">IF(COUNTIF($B$2:B304,B304)&gt;1,"مكرر","فريد")</f>
        <v>فريد</v>
      </c>
      <c r="Q304" s="19" t="str">
        <f aca="false">IF(COUNTBLANK(D304:L304)&gt;0,"نعم","لا")</f>
        <v>لا</v>
      </c>
    </row>
    <row r="305" customFormat="false" ht="15" hidden="false" customHeight="false" outlineLevel="0" collapsed="false">
      <c r="A305" s="19" t="n">
        <v>304</v>
      </c>
      <c r="B305" s="30" t="s">
        <v>1217</v>
      </c>
      <c r="C305" s="44" t="n">
        <v>45636</v>
      </c>
      <c r="D305" s="30" t="s">
        <v>50</v>
      </c>
      <c r="E305" s="30" t="s">
        <v>105</v>
      </c>
      <c r="F305" s="30" t="s">
        <v>179</v>
      </c>
      <c r="G305" s="31" t="n">
        <v>3079</v>
      </c>
      <c r="H305" s="19" t="n">
        <v>1</v>
      </c>
      <c r="I305" s="32" t="n">
        <v>0.05</v>
      </c>
      <c r="J305" s="30" t="s">
        <v>55</v>
      </c>
      <c r="K305" s="30" t="s">
        <v>47</v>
      </c>
      <c r="L305" s="30" t="s">
        <v>78</v>
      </c>
      <c r="M305" s="31" t="n">
        <f aca="false">AVERAGEIF($E$2:$E$1197,E305,$G$2:$G$1197)</f>
        <v>2870.26771653543</v>
      </c>
      <c r="N305" s="19" t="str">
        <f aca="false">IF(G305&gt;M305*3,"نعم","لا")</f>
        <v>لا</v>
      </c>
      <c r="O305" s="19" t="str">
        <f aca="false">IF(OR(C305="",ISNUMBER(C305)),"لا","نعم")</f>
        <v>لا</v>
      </c>
      <c r="P305" s="19" t="str">
        <f aca="false">IF(COUNTIF($B$2:B305,B305)&gt;1,"مكرر","فريد")</f>
        <v>فريد</v>
      </c>
      <c r="Q305" s="19" t="str">
        <f aca="false">IF(COUNTBLANK(D305:L305)&gt;0,"نعم","لا")</f>
        <v>لا</v>
      </c>
    </row>
    <row r="306" customFormat="false" ht="15" hidden="false" customHeight="false" outlineLevel="0" collapsed="false">
      <c r="A306" s="19" t="n">
        <v>305</v>
      </c>
      <c r="B306" s="30" t="s">
        <v>866</v>
      </c>
      <c r="C306" s="44" t="n">
        <v>45533</v>
      </c>
      <c r="D306" s="30" t="s">
        <v>50</v>
      </c>
      <c r="E306" s="30" t="s">
        <v>107</v>
      </c>
      <c r="F306" s="30" t="s">
        <v>272</v>
      </c>
      <c r="G306" s="31" t="n">
        <v>7459</v>
      </c>
      <c r="H306" s="19" t="n">
        <v>4</v>
      </c>
      <c r="I306" s="32" t="n">
        <v>0.05</v>
      </c>
      <c r="J306" s="30" t="s">
        <v>52</v>
      </c>
      <c r="K306" s="30" t="s">
        <v>51</v>
      </c>
      <c r="L306" s="30" t="s">
        <v>84</v>
      </c>
      <c r="M306" s="31" t="n">
        <f aca="false">AVERAGEIF($E$2:$E$1197,E306,$G$2:$G$1197)</f>
        <v>4981.14563106796</v>
      </c>
      <c r="N306" s="19" t="str">
        <f aca="false">IF(G306&gt;M306*3,"نعم","لا")</f>
        <v>لا</v>
      </c>
      <c r="O306" s="19" t="str">
        <f aca="false">IF(OR(C306="",ISNUMBER(C306)),"لا","نعم")</f>
        <v>لا</v>
      </c>
      <c r="P306" s="19" t="str">
        <f aca="false">IF(COUNTIF($B$2:B306,B306)&gt;1,"مكرر","فريد")</f>
        <v>فريد</v>
      </c>
      <c r="Q306" s="19" t="str">
        <f aca="false">IF(COUNTBLANK(D306:L306)&gt;0,"نعم","لا")</f>
        <v>لا</v>
      </c>
    </row>
    <row r="307" customFormat="false" ht="15" hidden="false" customHeight="false" outlineLevel="0" collapsed="false">
      <c r="A307" s="19" t="n">
        <v>306</v>
      </c>
      <c r="B307" s="30" t="s">
        <v>238</v>
      </c>
      <c r="C307" s="44" t="n">
        <v>45316</v>
      </c>
      <c r="D307" s="30" t="s">
        <v>50</v>
      </c>
      <c r="E307" s="30" t="s">
        <v>105</v>
      </c>
      <c r="F307" s="30" t="s">
        <v>90</v>
      </c>
      <c r="G307" s="31" t="n">
        <v>4369</v>
      </c>
      <c r="H307" s="19" t="n">
        <v>1</v>
      </c>
      <c r="I307" s="32" t="n">
        <v>0.05</v>
      </c>
      <c r="J307" s="30" t="s">
        <v>48</v>
      </c>
      <c r="K307" s="30" t="s">
        <v>47</v>
      </c>
      <c r="L307" s="30" t="s">
        <v>99</v>
      </c>
      <c r="M307" s="31" t="n">
        <f aca="false">AVERAGEIF($E$2:$E$1197,E307,$G$2:$G$1197)</f>
        <v>2870.26771653543</v>
      </c>
      <c r="N307" s="19" t="str">
        <f aca="false">IF(G307&gt;M307*3,"نعم","لا")</f>
        <v>لا</v>
      </c>
      <c r="O307" s="19" t="str">
        <f aca="false">IF(OR(C307="",ISNUMBER(C307)),"لا","نعم")</f>
        <v>لا</v>
      </c>
      <c r="P307" s="19" t="str">
        <f aca="false">IF(COUNTIF($B$2:B307,B307)&gt;1,"مكرر","فريد")</f>
        <v>فريد</v>
      </c>
      <c r="Q307" s="19" t="str">
        <f aca="false">IF(COUNTBLANK(D307:L307)&gt;0,"نعم","لا")</f>
        <v>لا</v>
      </c>
    </row>
    <row r="308" customFormat="false" ht="15" hidden="false" customHeight="false" outlineLevel="0" collapsed="false">
      <c r="A308" s="19" t="n">
        <v>307</v>
      </c>
      <c r="B308" s="30" t="s">
        <v>239</v>
      </c>
      <c r="C308" s="44" t="n">
        <v>45316</v>
      </c>
      <c r="D308" s="30" t="s">
        <v>50</v>
      </c>
      <c r="E308" s="30" t="s">
        <v>113</v>
      </c>
      <c r="F308" s="30" t="s">
        <v>97</v>
      </c>
      <c r="G308" s="31" t="n">
        <v>89</v>
      </c>
      <c r="H308" s="19" t="n">
        <v>1</v>
      </c>
      <c r="I308" s="32" t="n">
        <v>0.15</v>
      </c>
      <c r="J308" s="30" t="s">
        <v>48</v>
      </c>
      <c r="K308" s="30" t="s">
        <v>47</v>
      </c>
      <c r="L308" s="30" t="s">
        <v>78</v>
      </c>
      <c r="M308" s="31" t="n">
        <f aca="false">AVERAGEIF($E$2:$E$1197,E308,$G$2:$G$1197)</f>
        <v>545.358823529412</v>
      </c>
      <c r="N308" s="19" t="str">
        <f aca="false">IF(G308&gt;M308*3,"نعم","لا")</f>
        <v>لا</v>
      </c>
      <c r="O308" s="19" t="str">
        <f aca="false">IF(OR(C308="",ISNUMBER(C308)),"لا","نعم")</f>
        <v>لا</v>
      </c>
      <c r="P308" s="19" t="str">
        <f aca="false">IF(COUNTIF($B$2:B308,B308)&gt;1,"مكرر","فريد")</f>
        <v>فريد</v>
      </c>
      <c r="Q308" s="19" t="str">
        <f aca="false">IF(COUNTBLANK(D308:L308)&gt;0,"نعم","لا")</f>
        <v>لا</v>
      </c>
    </row>
    <row r="309" customFormat="false" ht="15" hidden="false" customHeight="false" outlineLevel="0" collapsed="false">
      <c r="A309" s="19" t="n">
        <v>308</v>
      </c>
      <c r="B309" s="30" t="s">
        <v>495</v>
      </c>
      <c r="C309" s="44" t="n">
        <v>45413</v>
      </c>
      <c r="D309" s="30" t="s">
        <v>57</v>
      </c>
      <c r="E309" s="30" t="s">
        <v>111</v>
      </c>
      <c r="F309" s="30" t="s">
        <v>108</v>
      </c>
      <c r="G309" s="31" t="n">
        <v>439</v>
      </c>
      <c r="H309" s="19" t="n">
        <v>3</v>
      </c>
      <c r="I309" s="32" t="n">
        <v>0</v>
      </c>
      <c r="J309" s="30" t="s">
        <v>52</v>
      </c>
      <c r="K309" s="30" t="s">
        <v>51</v>
      </c>
      <c r="L309" s="30" t="s">
        <v>89</v>
      </c>
      <c r="M309" s="31" t="n">
        <f aca="false">AVERAGEIF($E$2:$E$1197,E309,$G$2:$G$1197)</f>
        <v>366.306569343066</v>
      </c>
      <c r="N309" s="19" t="str">
        <f aca="false">IF(G309&gt;M309*3,"نعم","لا")</f>
        <v>لا</v>
      </c>
      <c r="O309" s="19" t="str">
        <f aca="false">IF(OR(C309="",ISNUMBER(C309)),"لا","نعم")</f>
        <v>لا</v>
      </c>
      <c r="P309" s="19" t="str">
        <f aca="false">IF(COUNTIF($B$2:B309,B309)&gt;1,"مكرر","فريد")</f>
        <v>فريد</v>
      </c>
      <c r="Q309" s="19" t="str">
        <f aca="false">IF(COUNTBLANK(D309:L309)&gt;0,"نعم","لا")</f>
        <v>لا</v>
      </c>
    </row>
    <row r="310" customFormat="false" ht="15" hidden="false" customHeight="false" outlineLevel="0" collapsed="false">
      <c r="A310" s="19" t="n">
        <v>309</v>
      </c>
      <c r="B310" s="30" t="s">
        <v>379</v>
      </c>
      <c r="C310" s="44" t="n">
        <v>45370</v>
      </c>
      <c r="D310" s="30" t="s">
        <v>57</v>
      </c>
      <c r="E310" s="30" t="s">
        <v>107</v>
      </c>
      <c r="F310" s="30" t="s">
        <v>115</v>
      </c>
      <c r="G310" s="31" t="n">
        <v>3519</v>
      </c>
      <c r="H310" s="19" t="n">
        <v>2</v>
      </c>
      <c r="I310" s="32" t="n">
        <v>0.1</v>
      </c>
      <c r="J310" s="30" t="s">
        <v>1335</v>
      </c>
      <c r="K310" s="30" t="s">
        <v>47</v>
      </c>
      <c r="L310" s="30" t="s">
        <v>86</v>
      </c>
      <c r="M310" s="31" t="n">
        <f aca="false">AVERAGEIF($E$2:$E$1197,E310,$G$2:$G$1197)</f>
        <v>4981.14563106796</v>
      </c>
      <c r="N310" s="19" t="str">
        <f aca="false">IF(G310&gt;M310*3,"نعم","لا")</f>
        <v>لا</v>
      </c>
      <c r="O310" s="19" t="str">
        <f aca="false">IF(OR(C310="",ISNUMBER(C310)),"لا","نعم")</f>
        <v>لا</v>
      </c>
      <c r="P310" s="19" t="str">
        <f aca="false">IF(COUNTIF($B$2:B310,B310)&gt;1,"مكرر","فريد")</f>
        <v>فريد</v>
      </c>
      <c r="Q310" s="19" t="str">
        <f aca="false">IF(COUNTBLANK(D310:L310)&gt;0,"نعم","لا")</f>
        <v>لا</v>
      </c>
    </row>
    <row r="311" customFormat="false" ht="15" hidden="false" customHeight="false" outlineLevel="0" collapsed="false">
      <c r="A311" s="19" t="n">
        <v>310</v>
      </c>
      <c r="B311" s="30" t="s">
        <v>181</v>
      </c>
      <c r="C311" s="44" t="n">
        <v>45296</v>
      </c>
      <c r="D311" s="30" t="s">
        <v>57</v>
      </c>
      <c r="E311" s="30" t="s">
        <v>113</v>
      </c>
      <c r="F311" s="30" t="s">
        <v>97</v>
      </c>
      <c r="G311" s="31" t="n">
        <v>419</v>
      </c>
      <c r="H311" s="19" t="n">
        <v>1</v>
      </c>
      <c r="I311" s="32" t="n">
        <v>0</v>
      </c>
      <c r="J311" s="30" t="s">
        <v>55</v>
      </c>
      <c r="K311" s="30" t="s">
        <v>47</v>
      </c>
      <c r="L311" s="30" t="s">
        <v>76</v>
      </c>
      <c r="M311" s="31" t="n">
        <f aca="false">AVERAGEIF($E$2:$E$1197,E311,$G$2:$G$1197)</f>
        <v>545.358823529412</v>
      </c>
      <c r="N311" s="19" t="str">
        <f aca="false">IF(G311&gt;M311*3,"نعم","لا")</f>
        <v>لا</v>
      </c>
      <c r="O311" s="19" t="str">
        <f aca="false">IF(OR(C311="",ISNUMBER(C311)),"لا","نعم")</f>
        <v>لا</v>
      </c>
      <c r="P311" s="19" t="str">
        <f aca="false">IF(COUNTIF($B$2:B311,B311)&gt;1,"مكرر","فريد")</f>
        <v>فريد</v>
      </c>
      <c r="Q311" s="19" t="str">
        <f aca="false">IF(COUNTBLANK(D311:L311)&gt;0,"نعم","لا")</f>
        <v>لا</v>
      </c>
    </row>
    <row r="312" customFormat="false" ht="15" hidden="false" customHeight="false" outlineLevel="0" collapsed="false">
      <c r="A312" s="19" t="n">
        <v>311</v>
      </c>
      <c r="B312" s="30" t="s">
        <v>650</v>
      </c>
      <c r="C312" s="44" t="n">
        <v>45468</v>
      </c>
      <c r="D312" s="30" t="s">
        <v>50</v>
      </c>
      <c r="E312" s="30" t="s">
        <v>107</v>
      </c>
      <c r="F312" s="30" t="s">
        <v>114</v>
      </c>
      <c r="G312" s="31" t="n">
        <v>3519</v>
      </c>
      <c r="H312" s="19" t="n">
        <v>1</v>
      </c>
      <c r="I312" s="32" t="n">
        <v>0</v>
      </c>
      <c r="J312" s="30" t="s">
        <v>55</v>
      </c>
      <c r="K312" s="30" t="s">
        <v>47</v>
      </c>
      <c r="L312" s="30" t="s">
        <v>99</v>
      </c>
      <c r="M312" s="31" t="n">
        <f aca="false">AVERAGEIF($E$2:$E$1197,E312,$G$2:$G$1197)</f>
        <v>4981.14563106796</v>
      </c>
      <c r="N312" s="19" t="str">
        <f aca="false">IF(G312&gt;M312*3,"نعم","لا")</f>
        <v>لا</v>
      </c>
      <c r="O312" s="19" t="str">
        <f aca="false">IF(OR(C312="",ISNUMBER(C312)),"لا","نعم")</f>
        <v>لا</v>
      </c>
      <c r="P312" s="19" t="str">
        <f aca="false">IF(COUNTIF($B$2:B312,B312)&gt;1,"مكرر","فريد")</f>
        <v>فريد</v>
      </c>
      <c r="Q312" s="19" t="str">
        <f aca="false">IF(COUNTBLANK(D312:L312)&gt;0,"نعم","لا")</f>
        <v>لا</v>
      </c>
    </row>
    <row r="313" customFormat="false" ht="15" hidden="false" customHeight="false" outlineLevel="0" collapsed="false">
      <c r="A313" s="19" t="n">
        <v>312</v>
      </c>
      <c r="B313" s="30" t="s">
        <v>1187</v>
      </c>
      <c r="C313" s="44" t="n">
        <v>45628</v>
      </c>
      <c r="D313" s="30" t="s">
        <v>57</v>
      </c>
      <c r="E313" s="30" t="s">
        <v>109</v>
      </c>
      <c r="F313" s="30" t="s">
        <v>192</v>
      </c>
      <c r="G313" s="31" t="n">
        <v>219</v>
      </c>
      <c r="H313" s="19" t="n">
        <v>2</v>
      </c>
      <c r="I313" s="32" t="n">
        <v>0</v>
      </c>
      <c r="J313" s="30" t="s">
        <v>48</v>
      </c>
      <c r="K313" s="30" t="s">
        <v>51</v>
      </c>
      <c r="L313" s="30" t="s">
        <v>92</v>
      </c>
      <c r="M313" s="31" t="n">
        <f aca="false">AVERAGEIF($E$2:$E$1197,E313,$G$2:$G$1197)</f>
        <v>186.056291390729</v>
      </c>
      <c r="N313" s="19" t="str">
        <f aca="false">IF(G313&gt;M313*3,"نعم","لا")</f>
        <v>لا</v>
      </c>
      <c r="O313" s="19" t="str">
        <f aca="false">IF(OR(C313="",ISNUMBER(C313)),"لا","نعم")</f>
        <v>لا</v>
      </c>
      <c r="P313" s="19" t="str">
        <f aca="false">IF(COUNTIF($B$2:B313,B313)&gt;1,"مكرر","فريد")</f>
        <v>فريد</v>
      </c>
      <c r="Q313" s="19" t="str">
        <f aca="false">IF(COUNTBLANK(D313:L313)&gt;0,"نعم","لا")</f>
        <v>لا</v>
      </c>
    </row>
    <row r="314" customFormat="false" ht="15" hidden="false" customHeight="false" outlineLevel="0" collapsed="false">
      <c r="A314" s="19" t="n">
        <v>313</v>
      </c>
      <c r="B314" s="30" t="s">
        <v>466</v>
      </c>
      <c r="C314" s="44" t="n">
        <v>45397</v>
      </c>
      <c r="D314" s="30" t="s">
        <v>50</v>
      </c>
      <c r="E314" s="30" t="s">
        <v>109</v>
      </c>
      <c r="F314" s="30" t="s">
        <v>175</v>
      </c>
      <c r="G314" s="31" t="n">
        <v>139</v>
      </c>
      <c r="H314" s="19" t="n">
        <v>1</v>
      </c>
      <c r="I314" s="32" t="n">
        <v>0</v>
      </c>
      <c r="J314" s="30" t="s">
        <v>55</v>
      </c>
      <c r="K314" s="30" t="s">
        <v>47</v>
      </c>
      <c r="L314" s="30" t="s">
        <v>84</v>
      </c>
      <c r="M314" s="31" t="n">
        <f aca="false">AVERAGEIF($E$2:$E$1197,E314,$G$2:$G$1197)</f>
        <v>186.056291390729</v>
      </c>
      <c r="N314" s="19" t="str">
        <f aca="false">IF(G314&gt;M314*3,"نعم","لا")</f>
        <v>لا</v>
      </c>
      <c r="O314" s="19" t="str">
        <f aca="false">IF(OR(C314="",ISNUMBER(C314)),"لا","نعم")</f>
        <v>لا</v>
      </c>
      <c r="P314" s="19" t="str">
        <f aca="false">IF(COUNTIF($B$2:B314,B314)&gt;1,"مكرر","فريد")</f>
        <v>فريد</v>
      </c>
      <c r="Q314" s="19" t="str">
        <f aca="false">IF(COUNTBLANK(D314:L314)&gt;0,"نعم","لا")</f>
        <v>لا</v>
      </c>
    </row>
    <row r="315" customFormat="false" ht="15" hidden="false" customHeight="false" outlineLevel="0" collapsed="false">
      <c r="A315" s="19" t="n">
        <v>314</v>
      </c>
      <c r="B315" s="30" t="s">
        <v>1392</v>
      </c>
      <c r="C315" s="44" t="n">
        <v>45496</v>
      </c>
      <c r="D315" s="30"/>
      <c r="E315" s="30" t="s">
        <v>105</v>
      </c>
      <c r="F315" s="30" t="s">
        <v>90</v>
      </c>
      <c r="G315" s="31" t="n">
        <v>3049</v>
      </c>
      <c r="H315" s="19" t="n">
        <v>1</v>
      </c>
      <c r="I315" s="32" t="n">
        <v>0.15</v>
      </c>
      <c r="J315" s="30" t="s">
        <v>58</v>
      </c>
      <c r="K315" s="30" t="s">
        <v>47</v>
      </c>
      <c r="L315" s="30" t="s">
        <v>92</v>
      </c>
      <c r="M315" s="31" t="n">
        <f aca="false">AVERAGEIF($E$2:$E$1197,E315,$G$2:$G$1197)</f>
        <v>2870.26771653543</v>
      </c>
      <c r="N315" s="19" t="str">
        <f aca="false">IF(G315&gt;M315*3,"نعم","لا")</f>
        <v>لا</v>
      </c>
      <c r="O315" s="19" t="str">
        <f aca="false">IF(OR(C315="",ISNUMBER(C315)),"لا","نعم")</f>
        <v>لا</v>
      </c>
      <c r="P315" s="19" t="str">
        <f aca="false">IF(COUNTIF($B$2:B315,B315)&gt;1,"مكرر","فريد")</f>
        <v>فريد</v>
      </c>
      <c r="Q315" s="19" t="str">
        <f aca="false">IF(COUNTBLANK(D315:L315)&gt;0,"نعم","لا")</f>
        <v>نعم</v>
      </c>
    </row>
    <row r="316" customFormat="false" ht="15" hidden="false" customHeight="false" outlineLevel="0" collapsed="false">
      <c r="A316" s="19" t="n">
        <v>315</v>
      </c>
      <c r="B316" s="30" t="s">
        <v>917</v>
      </c>
      <c r="C316" s="44" t="n">
        <v>45553</v>
      </c>
      <c r="D316" s="30" t="s">
        <v>57</v>
      </c>
      <c r="E316" s="30" t="s">
        <v>113</v>
      </c>
      <c r="F316" s="30" t="s">
        <v>95</v>
      </c>
      <c r="G316" s="31" t="n">
        <v>689</v>
      </c>
      <c r="H316" s="19" t="n">
        <v>1</v>
      </c>
      <c r="I316" s="32" t="n">
        <v>0</v>
      </c>
      <c r="J316" s="30" t="s">
        <v>52</v>
      </c>
      <c r="K316" s="30" t="s">
        <v>47</v>
      </c>
      <c r="L316" s="30" t="s">
        <v>84</v>
      </c>
      <c r="M316" s="31" t="n">
        <f aca="false">AVERAGEIF($E$2:$E$1197,E316,$G$2:$G$1197)</f>
        <v>545.358823529412</v>
      </c>
      <c r="N316" s="19" t="str">
        <f aca="false">IF(G316&gt;M316*3,"نعم","لا")</f>
        <v>لا</v>
      </c>
      <c r="O316" s="19" t="str">
        <f aca="false">IF(OR(C316="",ISNUMBER(C316)),"لا","نعم")</f>
        <v>لا</v>
      </c>
      <c r="P316" s="19" t="str">
        <f aca="false">IF(COUNTIF($B$2:B316,B316)&gt;1,"مكرر","فريد")</f>
        <v>فريد</v>
      </c>
      <c r="Q316" s="19" t="str">
        <f aca="false">IF(COUNTBLANK(D316:L316)&gt;0,"نعم","لا")</f>
        <v>لا</v>
      </c>
    </row>
    <row r="317" customFormat="false" ht="15" hidden="false" customHeight="false" outlineLevel="0" collapsed="false">
      <c r="A317" s="19" t="n">
        <v>316</v>
      </c>
      <c r="B317" s="30" t="s">
        <v>1215</v>
      </c>
      <c r="C317" s="44" t="n">
        <v>45635</v>
      </c>
      <c r="D317" s="30" t="s">
        <v>60</v>
      </c>
      <c r="E317" s="30" t="s">
        <v>107</v>
      </c>
      <c r="F317" s="30" t="s">
        <v>115</v>
      </c>
      <c r="G317" s="31" t="n">
        <v>4809</v>
      </c>
      <c r="H317" s="19" t="n">
        <v>3</v>
      </c>
      <c r="I317" s="32" t="n">
        <v>0.2</v>
      </c>
      <c r="J317" s="30" t="s">
        <v>52</v>
      </c>
      <c r="K317" s="30" t="s">
        <v>47</v>
      </c>
      <c r="L317" s="30" t="s">
        <v>92</v>
      </c>
      <c r="M317" s="31" t="n">
        <f aca="false">AVERAGEIF($E$2:$E$1197,E317,$G$2:$G$1197)</f>
        <v>4981.14563106796</v>
      </c>
      <c r="N317" s="19" t="str">
        <f aca="false">IF(G317&gt;M317*3,"نعم","لا")</f>
        <v>لا</v>
      </c>
      <c r="O317" s="19" t="str">
        <f aca="false">IF(OR(C317="",ISNUMBER(C317)),"لا","نعم")</f>
        <v>لا</v>
      </c>
      <c r="P317" s="19" t="str">
        <f aca="false">IF(COUNTIF($B$2:B317,B317)&gt;1,"مكرر","فريد")</f>
        <v>فريد</v>
      </c>
      <c r="Q317" s="19" t="str">
        <f aca="false">IF(COUNTBLANK(D317:L317)&gt;0,"نعم","لا")</f>
        <v>لا</v>
      </c>
    </row>
    <row r="318" customFormat="false" ht="15" hidden="false" customHeight="false" outlineLevel="0" collapsed="false">
      <c r="A318" s="19" t="n">
        <v>317</v>
      </c>
      <c r="B318" s="30" t="s">
        <v>576</v>
      </c>
      <c r="C318" s="44" t="n">
        <v>45441</v>
      </c>
      <c r="D318" s="30" t="s">
        <v>46</v>
      </c>
      <c r="E318" s="30" t="s">
        <v>109</v>
      </c>
      <c r="F318" s="30" t="s">
        <v>192</v>
      </c>
      <c r="G318" s="31" t="n">
        <v>69</v>
      </c>
      <c r="H318" s="19" t="n">
        <v>2</v>
      </c>
      <c r="I318" s="32" t="n">
        <v>0</v>
      </c>
      <c r="J318" s="30" t="s">
        <v>48</v>
      </c>
      <c r="K318" s="30" t="s">
        <v>51</v>
      </c>
      <c r="L318" s="30" t="s">
        <v>99</v>
      </c>
      <c r="M318" s="31" t="n">
        <f aca="false">AVERAGEIF($E$2:$E$1197,E318,$G$2:$G$1197)</f>
        <v>186.056291390729</v>
      </c>
      <c r="N318" s="19" t="str">
        <f aca="false">IF(G318&gt;M318*3,"نعم","لا")</f>
        <v>لا</v>
      </c>
      <c r="O318" s="19" t="str">
        <f aca="false">IF(OR(C318="",ISNUMBER(C318)),"لا","نعم")</f>
        <v>لا</v>
      </c>
      <c r="P318" s="19" t="str">
        <f aca="false">IF(COUNTIF($B$2:B318,B318)&gt;1,"مكرر","فريد")</f>
        <v>فريد</v>
      </c>
      <c r="Q318" s="19" t="str">
        <f aca="false">IF(COUNTBLANK(D318:L318)&gt;0,"نعم","لا")</f>
        <v>لا</v>
      </c>
    </row>
    <row r="319" customFormat="false" ht="15" hidden="false" customHeight="false" outlineLevel="0" collapsed="false">
      <c r="A319" s="19" t="n">
        <v>318</v>
      </c>
      <c r="B319" s="30" t="s">
        <v>1098</v>
      </c>
      <c r="C319" s="44" t="n">
        <v>45606</v>
      </c>
      <c r="D319" s="30" t="s">
        <v>50</v>
      </c>
      <c r="E319" s="30" t="s">
        <v>111</v>
      </c>
      <c r="F319" s="30" t="s">
        <v>122</v>
      </c>
      <c r="G319" s="31" t="n">
        <v>579</v>
      </c>
      <c r="H319" s="19" t="n">
        <v>1</v>
      </c>
      <c r="I319" s="32" t="n">
        <v>0</v>
      </c>
      <c r="J319" s="30" t="s">
        <v>55</v>
      </c>
      <c r="K319" s="30"/>
      <c r="L319" s="30" t="s">
        <v>96</v>
      </c>
      <c r="M319" s="31" t="n">
        <f aca="false">AVERAGEIF($E$2:$E$1197,E319,$G$2:$G$1197)</f>
        <v>366.306569343066</v>
      </c>
      <c r="N319" s="19" t="str">
        <f aca="false">IF(G319&gt;M319*3,"نعم","لا")</f>
        <v>لا</v>
      </c>
      <c r="O319" s="19" t="str">
        <f aca="false">IF(OR(C319="",ISNUMBER(C319)),"لا","نعم")</f>
        <v>لا</v>
      </c>
      <c r="P319" s="19" t="str">
        <f aca="false">IF(COUNTIF($B$2:B319,B319)&gt;1,"مكرر","فريد")</f>
        <v>فريد</v>
      </c>
      <c r="Q319" s="19" t="str">
        <f aca="false">IF(COUNTBLANK(D319:L319)&gt;0,"نعم","لا")</f>
        <v>نعم</v>
      </c>
    </row>
    <row r="320" customFormat="false" ht="15" hidden="false" customHeight="false" outlineLevel="0" collapsed="false">
      <c r="A320" s="19" t="n">
        <v>319</v>
      </c>
      <c r="B320" s="30" t="s">
        <v>654</v>
      </c>
      <c r="C320" s="44" t="n">
        <v>45470</v>
      </c>
      <c r="D320" s="30" t="s">
        <v>54</v>
      </c>
      <c r="E320" s="30" t="s">
        <v>113</v>
      </c>
      <c r="F320" s="30" t="s">
        <v>97</v>
      </c>
      <c r="G320" s="31" t="n">
        <v>5090</v>
      </c>
      <c r="H320" s="19" t="n">
        <v>1</v>
      </c>
      <c r="I320" s="32" t="n">
        <v>0</v>
      </c>
      <c r="J320" s="30" t="s">
        <v>52</v>
      </c>
      <c r="K320" s="30" t="s">
        <v>51</v>
      </c>
      <c r="L320" s="30" t="s">
        <v>96</v>
      </c>
      <c r="M320" s="31" t="n">
        <f aca="false">AVERAGEIF($E$2:$E$1197,E320,$G$2:$G$1197)</f>
        <v>545.358823529412</v>
      </c>
      <c r="N320" s="19" t="str">
        <f aca="false">IF(G320&gt;M320*3,"نعم","لا")</f>
        <v>نعم</v>
      </c>
      <c r="O320" s="19" t="str">
        <f aca="false">IF(OR(C320="",ISNUMBER(C320)),"لا","نعم")</f>
        <v>لا</v>
      </c>
      <c r="P320" s="19" t="str">
        <f aca="false">IF(COUNTIF($B$2:B320,B320)&gt;1,"مكرر","فريد")</f>
        <v>فريد</v>
      </c>
      <c r="Q320" s="19" t="str">
        <f aca="false">IF(COUNTBLANK(D320:L320)&gt;0,"نعم","لا")</f>
        <v>لا</v>
      </c>
    </row>
    <row r="321" customFormat="false" ht="15" hidden="false" customHeight="false" outlineLevel="0" collapsed="false">
      <c r="A321" s="19" t="n">
        <v>320</v>
      </c>
      <c r="B321" s="30" t="s">
        <v>599</v>
      </c>
      <c r="C321" s="44" t="n">
        <v>45451</v>
      </c>
      <c r="D321" s="30" t="s">
        <v>46</v>
      </c>
      <c r="E321" s="30" t="s">
        <v>107</v>
      </c>
      <c r="F321" s="30" t="s">
        <v>115</v>
      </c>
      <c r="G321" s="31" t="n">
        <v>5639</v>
      </c>
      <c r="H321" s="19" t="n">
        <v>2</v>
      </c>
      <c r="I321" s="32" t="n">
        <v>0</v>
      </c>
      <c r="J321" s="30" t="s">
        <v>52</v>
      </c>
      <c r="K321" s="30" t="s">
        <v>47</v>
      </c>
      <c r="L321" s="30" t="s">
        <v>84</v>
      </c>
      <c r="M321" s="31" t="n">
        <f aca="false">AVERAGEIF($E$2:$E$1197,E321,$G$2:$G$1197)</f>
        <v>4981.14563106796</v>
      </c>
      <c r="N321" s="19" t="str">
        <f aca="false">IF(G321&gt;M321*3,"نعم","لا")</f>
        <v>لا</v>
      </c>
      <c r="O321" s="19" t="str">
        <f aca="false">IF(OR(C321="",ISNUMBER(C321)),"لا","نعم")</f>
        <v>لا</v>
      </c>
      <c r="P321" s="19" t="str">
        <f aca="false">IF(COUNTIF($B$2:B321,B321)&gt;1,"مكرر","فريد")</f>
        <v>فريد</v>
      </c>
      <c r="Q321" s="19" t="str">
        <f aca="false">IF(COUNTBLANK(D321:L321)&gt;0,"نعم","لا")</f>
        <v>لا</v>
      </c>
    </row>
    <row r="322" customFormat="false" ht="15" hidden="false" customHeight="false" outlineLevel="0" collapsed="false">
      <c r="A322" s="19" t="n">
        <v>321</v>
      </c>
      <c r="B322" s="30" t="s">
        <v>820</v>
      </c>
      <c r="C322" s="44" t="n">
        <v>45521</v>
      </c>
      <c r="D322" s="30" t="s">
        <v>54</v>
      </c>
      <c r="E322" s="30" t="s">
        <v>113</v>
      </c>
      <c r="F322" s="30" t="s">
        <v>97</v>
      </c>
      <c r="G322" s="31" t="n">
        <v>689</v>
      </c>
      <c r="H322" s="19" t="n">
        <v>2</v>
      </c>
      <c r="I322" s="32" t="n">
        <v>0</v>
      </c>
      <c r="J322" s="30" t="s">
        <v>48</v>
      </c>
      <c r="K322" s="30" t="s">
        <v>47</v>
      </c>
      <c r="L322" s="30" t="s">
        <v>96</v>
      </c>
      <c r="M322" s="31" t="n">
        <f aca="false">AVERAGEIF($E$2:$E$1197,E322,$G$2:$G$1197)</f>
        <v>545.358823529412</v>
      </c>
      <c r="N322" s="19" t="str">
        <f aca="false">IF(G322&gt;M322*3,"نعم","لا")</f>
        <v>لا</v>
      </c>
      <c r="O322" s="19" t="str">
        <f aca="false">IF(OR(C322="",ISNUMBER(C322)),"لا","نعم")</f>
        <v>لا</v>
      </c>
      <c r="P322" s="19" t="str">
        <f aca="false">IF(COUNTIF($B$2:B322,B322)&gt;1,"مكرر","فريد")</f>
        <v>فريد</v>
      </c>
      <c r="Q322" s="19" t="str">
        <f aca="false">IF(COUNTBLANK(D322:L322)&gt;0,"نعم","لا")</f>
        <v>لا</v>
      </c>
    </row>
    <row r="323" customFormat="false" ht="15" hidden="false" customHeight="false" outlineLevel="0" collapsed="false">
      <c r="A323" s="19" t="n">
        <v>322</v>
      </c>
      <c r="B323" s="30" t="s">
        <v>1232</v>
      </c>
      <c r="C323" s="44" t="n">
        <v>45639</v>
      </c>
      <c r="D323" s="30" t="s">
        <v>54</v>
      </c>
      <c r="E323" s="30" t="s">
        <v>105</v>
      </c>
      <c r="F323" s="30" t="s">
        <v>79</v>
      </c>
      <c r="G323" s="31" t="n">
        <v>2499</v>
      </c>
      <c r="H323" s="19" t="n">
        <v>1</v>
      </c>
      <c r="I323" s="32" t="n">
        <v>0.2</v>
      </c>
      <c r="J323" s="30" t="s">
        <v>58</v>
      </c>
      <c r="K323" s="30" t="s">
        <v>51</v>
      </c>
      <c r="L323" s="30" t="s">
        <v>86</v>
      </c>
      <c r="M323" s="31" t="n">
        <f aca="false">AVERAGEIF($E$2:$E$1197,E323,$G$2:$G$1197)</f>
        <v>2870.26771653543</v>
      </c>
      <c r="N323" s="19" t="str">
        <f aca="false">IF(G323&gt;M323*3,"نعم","لا")</f>
        <v>لا</v>
      </c>
      <c r="O323" s="19" t="str">
        <f aca="false">IF(OR(C323="",ISNUMBER(C323)),"لا","نعم")</f>
        <v>لا</v>
      </c>
      <c r="P323" s="19" t="str">
        <f aca="false">IF(COUNTIF($B$2:B323,B323)&gt;1,"مكرر","فريد")</f>
        <v>فريد</v>
      </c>
      <c r="Q323" s="19" t="str">
        <f aca="false">IF(COUNTBLANK(D323:L323)&gt;0,"نعم","لا")</f>
        <v>لا</v>
      </c>
    </row>
    <row r="324" customFormat="false" ht="15" hidden="false" customHeight="false" outlineLevel="0" collapsed="false">
      <c r="A324" s="19" t="n">
        <v>323</v>
      </c>
      <c r="B324" s="30" t="s">
        <v>1258</v>
      </c>
      <c r="C324" s="44" t="n">
        <v>45648</v>
      </c>
      <c r="D324" s="30" t="s">
        <v>57</v>
      </c>
      <c r="E324" s="30" t="s">
        <v>105</v>
      </c>
      <c r="F324" s="30" t="s">
        <v>79</v>
      </c>
      <c r="G324" s="31" t="n">
        <v>4419</v>
      </c>
      <c r="H324" s="19" t="n">
        <v>1</v>
      </c>
      <c r="I324" s="32" t="n">
        <v>0.1</v>
      </c>
      <c r="J324" s="30" t="s">
        <v>55</v>
      </c>
      <c r="K324" s="30" t="s">
        <v>47</v>
      </c>
      <c r="L324" s="30" t="s">
        <v>96</v>
      </c>
      <c r="M324" s="31" t="n">
        <f aca="false">AVERAGEIF($E$2:$E$1197,E324,$G$2:$G$1197)</f>
        <v>2870.26771653543</v>
      </c>
      <c r="N324" s="19" t="str">
        <f aca="false">IF(G324&gt;M324*3,"نعم","لا")</f>
        <v>لا</v>
      </c>
      <c r="O324" s="19" t="str">
        <f aca="false">IF(OR(C324="",ISNUMBER(C324)),"لا","نعم")</f>
        <v>لا</v>
      </c>
      <c r="P324" s="19" t="str">
        <f aca="false">IF(COUNTIF($B$2:B324,B324)&gt;1,"مكرر","فريد")</f>
        <v>فريد</v>
      </c>
      <c r="Q324" s="19" t="str">
        <f aca="false">IF(COUNTBLANK(D324:L324)&gt;0,"نعم","لا")</f>
        <v>لا</v>
      </c>
    </row>
    <row r="325" customFormat="false" ht="15" hidden="false" customHeight="false" outlineLevel="0" collapsed="false">
      <c r="A325" s="19" t="n">
        <v>324</v>
      </c>
      <c r="B325" s="30" t="s">
        <v>1061</v>
      </c>
      <c r="C325" s="44" t="n">
        <v>45599</v>
      </c>
      <c r="D325" s="30" t="s">
        <v>46</v>
      </c>
      <c r="E325" s="30" t="s">
        <v>105</v>
      </c>
      <c r="F325" s="30" t="s">
        <v>90</v>
      </c>
      <c r="G325" s="31" t="n">
        <v>3469</v>
      </c>
      <c r="H325" s="19" t="n">
        <v>1</v>
      </c>
      <c r="I325" s="32" t="n">
        <v>0.05</v>
      </c>
      <c r="J325" s="30" t="s">
        <v>52</v>
      </c>
      <c r="K325" s="30" t="s">
        <v>47</v>
      </c>
      <c r="L325" s="30" t="s">
        <v>84</v>
      </c>
      <c r="M325" s="31" t="n">
        <f aca="false">AVERAGEIF($E$2:$E$1197,E325,$G$2:$G$1197)</f>
        <v>2870.26771653543</v>
      </c>
      <c r="N325" s="19" t="str">
        <f aca="false">IF(G325&gt;M325*3,"نعم","لا")</f>
        <v>لا</v>
      </c>
      <c r="O325" s="19" t="str">
        <f aca="false">IF(OR(C325="",ISNUMBER(C325)),"لا","نعم")</f>
        <v>لا</v>
      </c>
      <c r="P325" s="19" t="str">
        <f aca="false">IF(COUNTIF($B$2:B325,B325)&gt;1,"مكرر","فريد")</f>
        <v>فريد</v>
      </c>
      <c r="Q325" s="19" t="str">
        <f aca="false">IF(COUNTBLANK(D325:L325)&gt;0,"نعم","لا")</f>
        <v>لا</v>
      </c>
    </row>
    <row r="326" customFormat="false" ht="15" hidden="false" customHeight="false" outlineLevel="0" collapsed="false">
      <c r="A326" s="19" t="n">
        <v>325</v>
      </c>
      <c r="B326" s="30" t="s">
        <v>598</v>
      </c>
      <c r="C326" s="44" t="n">
        <v>45451</v>
      </c>
      <c r="D326" s="30" t="s">
        <v>50</v>
      </c>
      <c r="E326" s="30" t="s">
        <v>107</v>
      </c>
      <c r="F326" s="30" t="s">
        <v>115</v>
      </c>
      <c r="G326" s="31" t="n">
        <v>3239</v>
      </c>
      <c r="H326" s="19" t="n">
        <v>1</v>
      </c>
      <c r="I326" s="32" t="n">
        <v>0</v>
      </c>
      <c r="J326" s="30" t="s">
        <v>55</v>
      </c>
      <c r="K326" s="30" t="s">
        <v>47</v>
      </c>
      <c r="L326" s="30" t="s">
        <v>92</v>
      </c>
      <c r="M326" s="31" t="n">
        <f aca="false">AVERAGEIF($E$2:$E$1197,E326,$G$2:$G$1197)</f>
        <v>4981.14563106796</v>
      </c>
      <c r="N326" s="19" t="str">
        <f aca="false">IF(G326&gt;M326*3,"نعم","لا")</f>
        <v>لا</v>
      </c>
      <c r="O326" s="19" t="str">
        <f aca="false">IF(OR(C326="",ISNUMBER(C326)),"لا","نعم")</f>
        <v>لا</v>
      </c>
      <c r="P326" s="19" t="str">
        <f aca="false">IF(COUNTIF($B$2:B326,B326)&gt;1,"مكرر","فريد")</f>
        <v>فريد</v>
      </c>
      <c r="Q326" s="19" t="str">
        <f aca="false">IF(COUNTBLANK(D326:L326)&gt;0,"نعم","لا")</f>
        <v>لا</v>
      </c>
    </row>
    <row r="327" customFormat="false" ht="15" hidden="false" customHeight="false" outlineLevel="0" collapsed="false">
      <c r="A327" s="19" t="n">
        <v>326</v>
      </c>
      <c r="B327" s="30" t="s">
        <v>440</v>
      </c>
      <c r="C327" s="44" t="n">
        <v>45387</v>
      </c>
      <c r="D327" s="30" t="s">
        <v>1338</v>
      </c>
      <c r="E327" s="30" t="s">
        <v>105</v>
      </c>
      <c r="F327" s="30" t="s">
        <v>90</v>
      </c>
      <c r="G327" s="31" t="n">
        <v>1269</v>
      </c>
      <c r="H327" s="19" t="n">
        <v>1</v>
      </c>
      <c r="I327" s="32" t="n">
        <v>0.05</v>
      </c>
      <c r="J327" s="30" t="s">
        <v>48</v>
      </c>
      <c r="K327" s="30" t="s">
        <v>47</v>
      </c>
      <c r="L327" s="30" t="s">
        <v>94</v>
      </c>
      <c r="M327" s="31" t="n">
        <f aca="false">AVERAGEIF($E$2:$E$1197,E327,$G$2:$G$1197)</f>
        <v>2870.26771653543</v>
      </c>
      <c r="N327" s="19" t="str">
        <f aca="false">IF(G327&gt;M327*3,"نعم","لا")</f>
        <v>لا</v>
      </c>
      <c r="O327" s="19" t="str">
        <f aca="false">IF(OR(C327="",ISNUMBER(C327)),"لا","نعم")</f>
        <v>لا</v>
      </c>
      <c r="P327" s="19" t="str">
        <f aca="false">IF(COUNTIF($B$2:B327,B327)&gt;1,"مكرر","فريد")</f>
        <v>فريد</v>
      </c>
      <c r="Q327" s="19" t="str">
        <f aca="false">IF(COUNTBLANK(D327:L327)&gt;0,"نعم","لا")</f>
        <v>لا</v>
      </c>
    </row>
    <row r="328" customFormat="false" ht="15" hidden="false" customHeight="false" outlineLevel="0" collapsed="false">
      <c r="A328" s="19" t="n">
        <v>327</v>
      </c>
      <c r="B328" s="30" t="s">
        <v>525</v>
      </c>
      <c r="C328" s="44" t="n">
        <v>45422</v>
      </c>
      <c r="D328" s="30" t="s">
        <v>46</v>
      </c>
      <c r="E328" s="30" t="s">
        <v>109</v>
      </c>
      <c r="F328" s="30" t="s">
        <v>93</v>
      </c>
      <c r="G328" s="31" t="n">
        <v>79</v>
      </c>
      <c r="H328" s="19" t="n">
        <v>1</v>
      </c>
      <c r="I328" s="32" t="n">
        <v>0.05</v>
      </c>
      <c r="J328" s="30" t="s">
        <v>48</v>
      </c>
      <c r="K328" s="30" t="s">
        <v>47</v>
      </c>
      <c r="L328" s="30" t="s">
        <v>99</v>
      </c>
      <c r="M328" s="31" t="n">
        <f aca="false">AVERAGEIF($E$2:$E$1197,E328,$G$2:$G$1197)</f>
        <v>186.056291390729</v>
      </c>
      <c r="N328" s="19" t="str">
        <f aca="false">IF(G328&gt;M328*3,"نعم","لا")</f>
        <v>لا</v>
      </c>
      <c r="O328" s="19" t="str">
        <f aca="false">IF(OR(C328="",ISNUMBER(C328)),"لا","نعم")</f>
        <v>لا</v>
      </c>
      <c r="P328" s="19" t="str">
        <f aca="false">IF(COUNTIF($B$2:B328,B328)&gt;1,"مكرر","فريد")</f>
        <v>فريد</v>
      </c>
      <c r="Q328" s="19" t="str">
        <f aca="false">IF(COUNTBLANK(D328:L328)&gt;0,"نعم","لا")</f>
        <v>لا</v>
      </c>
    </row>
    <row r="329" customFormat="false" ht="15" hidden="false" customHeight="false" outlineLevel="0" collapsed="false">
      <c r="A329" s="19" t="n">
        <v>328</v>
      </c>
      <c r="B329" s="30" t="s">
        <v>1393</v>
      </c>
      <c r="C329" s="44" t="n">
        <v>45378</v>
      </c>
      <c r="D329" s="30"/>
      <c r="E329" s="30" t="s">
        <v>109</v>
      </c>
      <c r="F329" s="30" t="s">
        <v>110</v>
      </c>
      <c r="G329" s="31" t="n">
        <v>239</v>
      </c>
      <c r="H329" s="19" t="n">
        <v>5</v>
      </c>
      <c r="I329" s="32"/>
      <c r="J329" s="30" t="s">
        <v>55</v>
      </c>
      <c r="K329" s="30" t="s">
        <v>51</v>
      </c>
      <c r="L329" s="30" t="s">
        <v>76</v>
      </c>
      <c r="M329" s="31" t="n">
        <f aca="false">AVERAGEIF($E$2:$E$1197,E329,$G$2:$G$1197)</f>
        <v>186.056291390729</v>
      </c>
      <c r="N329" s="19" t="str">
        <f aca="false">IF(G329&gt;M329*3,"نعم","لا")</f>
        <v>لا</v>
      </c>
      <c r="O329" s="19" t="str">
        <f aca="false">IF(OR(C329="",ISNUMBER(C329)),"لا","نعم")</f>
        <v>لا</v>
      </c>
      <c r="P329" s="19" t="str">
        <f aca="false">IF(COUNTIF($B$2:B329,B329)&gt;1,"مكرر","فريد")</f>
        <v>فريد</v>
      </c>
      <c r="Q329" s="19" t="str">
        <f aca="false">IF(COUNTBLANK(D329:L329)&gt;0,"نعم","لا")</f>
        <v>نعم</v>
      </c>
    </row>
    <row r="330" customFormat="false" ht="15" hidden="false" customHeight="false" outlineLevel="0" collapsed="false">
      <c r="A330" s="19" t="n">
        <v>329</v>
      </c>
      <c r="B330" s="30" t="s">
        <v>1111</v>
      </c>
      <c r="C330" s="44" t="n">
        <v>45610</v>
      </c>
      <c r="D330" s="30" t="s">
        <v>57</v>
      </c>
      <c r="E330" s="30" t="s">
        <v>113</v>
      </c>
      <c r="F330" s="30" t="s">
        <v>97</v>
      </c>
      <c r="G330" s="31" t="n">
        <v>509</v>
      </c>
      <c r="H330" s="19" t="n">
        <v>1</v>
      </c>
      <c r="I330" s="32" t="n">
        <v>0</v>
      </c>
      <c r="J330" s="30" t="s">
        <v>52</v>
      </c>
      <c r="K330" s="30" t="s">
        <v>47</v>
      </c>
      <c r="L330" s="30" t="s">
        <v>94</v>
      </c>
      <c r="M330" s="31" t="n">
        <f aca="false">AVERAGEIF($E$2:$E$1197,E330,$G$2:$G$1197)</f>
        <v>545.358823529412</v>
      </c>
      <c r="N330" s="19" t="str">
        <f aca="false">IF(G330&gt;M330*3,"نعم","لا")</f>
        <v>لا</v>
      </c>
      <c r="O330" s="19" t="str">
        <f aca="false">IF(OR(C330="",ISNUMBER(C330)),"لا","نعم")</f>
        <v>لا</v>
      </c>
      <c r="P330" s="19" t="str">
        <f aca="false">IF(COUNTIF($B$2:B330,B330)&gt;1,"مكرر","فريد")</f>
        <v>فريد</v>
      </c>
      <c r="Q330" s="19" t="str">
        <f aca="false">IF(COUNTBLANK(D330:L330)&gt;0,"نعم","لا")</f>
        <v>لا</v>
      </c>
    </row>
    <row r="331" customFormat="false" ht="15" hidden="false" customHeight="false" outlineLevel="0" collapsed="false">
      <c r="A331" s="19" t="n">
        <v>330</v>
      </c>
      <c r="B331" s="30" t="s">
        <v>169</v>
      </c>
      <c r="C331" s="44" t="n">
        <v>45293</v>
      </c>
      <c r="D331" s="30" t="s">
        <v>46</v>
      </c>
      <c r="E331" s="30" t="s">
        <v>109</v>
      </c>
      <c r="F331" s="30" t="s">
        <v>93</v>
      </c>
      <c r="G331" s="31" t="n">
        <v>149</v>
      </c>
      <c r="H331" s="19" t="n">
        <v>3</v>
      </c>
      <c r="I331" s="32" t="n">
        <v>0</v>
      </c>
      <c r="J331" s="30" t="s">
        <v>52</v>
      </c>
      <c r="K331" s="30" t="s">
        <v>47</v>
      </c>
      <c r="L331" s="30" t="s">
        <v>86</v>
      </c>
      <c r="M331" s="31" t="n">
        <f aca="false">AVERAGEIF($E$2:$E$1197,E331,$G$2:$G$1197)</f>
        <v>186.056291390729</v>
      </c>
      <c r="N331" s="19" t="str">
        <f aca="false">IF(G331&gt;M331*3,"نعم","لا")</f>
        <v>لا</v>
      </c>
      <c r="O331" s="19" t="str">
        <f aca="false">IF(OR(C331="",ISNUMBER(C331)),"لا","نعم")</f>
        <v>لا</v>
      </c>
      <c r="P331" s="19" t="str">
        <f aca="false">IF(COUNTIF($B$2:B331,B331)&gt;1,"مكرر","فريد")</f>
        <v>فريد</v>
      </c>
      <c r="Q331" s="19" t="str">
        <f aca="false">IF(COUNTBLANK(D331:L331)&gt;0,"نعم","لا")</f>
        <v>لا</v>
      </c>
    </row>
    <row r="332" customFormat="false" ht="15" hidden="false" customHeight="false" outlineLevel="0" collapsed="false">
      <c r="A332" s="19" t="n">
        <v>331</v>
      </c>
      <c r="B332" s="30" t="s">
        <v>176</v>
      </c>
      <c r="C332" s="44" t="n">
        <v>45294</v>
      </c>
      <c r="D332" s="30" t="s">
        <v>46</v>
      </c>
      <c r="E332" s="30" t="s">
        <v>105</v>
      </c>
      <c r="F332" s="30" t="s">
        <v>85</v>
      </c>
      <c r="G332" s="31" t="n">
        <v>2139</v>
      </c>
      <c r="H332" s="19" t="n">
        <v>1</v>
      </c>
      <c r="I332" s="32" t="n">
        <v>0</v>
      </c>
      <c r="J332" s="30" t="s">
        <v>48</v>
      </c>
      <c r="K332" s="30" t="s">
        <v>47</v>
      </c>
      <c r="L332" s="30" t="s">
        <v>96</v>
      </c>
      <c r="M332" s="31" t="n">
        <f aca="false">AVERAGEIF($E$2:$E$1197,E332,$G$2:$G$1197)</f>
        <v>2870.26771653543</v>
      </c>
      <c r="N332" s="19" t="str">
        <f aca="false">IF(G332&gt;M332*3,"نعم","لا")</f>
        <v>لا</v>
      </c>
      <c r="O332" s="19" t="str">
        <f aca="false">IF(OR(C332="",ISNUMBER(C332)),"لا","نعم")</f>
        <v>لا</v>
      </c>
      <c r="P332" s="19" t="str">
        <f aca="false">IF(COUNTIF($B$2:B332,B332)&gt;1,"مكرر","فريد")</f>
        <v>فريد</v>
      </c>
      <c r="Q332" s="19" t="str">
        <f aca="false">IF(COUNTBLANK(D332:L332)&gt;0,"نعم","لا")</f>
        <v>لا</v>
      </c>
    </row>
    <row r="333" customFormat="false" ht="15" hidden="false" customHeight="false" outlineLevel="0" collapsed="false">
      <c r="A333" s="19" t="n">
        <v>332</v>
      </c>
      <c r="B333" s="30" t="s">
        <v>476</v>
      </c>
      <c r="C333" s="44" t="n">
        <v>45402</v>
      </c>
      <c r="D333" s="30" t="s">
        <v>57</v>
      </c>
      <c r="E333" s="30" t="s">
        <v>105</v>
      </c>
      <c r="F333" s="30" t="s">
        <v>90</v>
      </c>
      <c r="G333" s="31" t="n">
        <v>3359</v>
      </c>
      <c r="H333" s="19" t="n">
        <v>1</v>
      </c>
      <c r="I333" s="32" t="n">
        <v>0.1</v>
      </c>
      <c r="J333" s="30" t="s">
        <v>48</v>
      </c>
      <c r="K333" s="30" t="s">
        <v>47</v>
      </c>
      <c r="L333" s="30" t="s">
        <v>86</v>
      </c>
      <c r="M333" s="31" t="n">
        <f aca="false">AVERAGEIF($E$2:$E$1197,E333,$G$2:$G$1197)</f>
        <v>2870.26771653543</v>
      </c>
      <c r="N333" s="19" t="str">
        <f aca="false">IF(G333&gt;M333*3,"نعم","لا")</f>
        <v>لا</v>
      </c>
      <c r="O333" s="19" t="str">
        <f aca="false">IF(OR(C333="",ISNUMBER(C333)),"لا","نعم")</f>
        <v>لا</v>
      </c>
      <c r="P333" s="19" t="str">
        <f aca="false">IF(COUNTIF($B$2:B333,B333)&gt;1,"مكرر","فريد")</f>
        <v>فريد</v>
      </c>
      <c r="Q333" s="19" t="str">
        <f aca="false">IF(COUNTBLANK(D333:L333)&gt;0,"نعم","لا")</f>
        <v>لا</v>
      </c>
    </row>
    <row r="334" customFormat="false" ht="15" hidden="false" customHeight="false" outlineLevel="0" collapsed="false">
      <c r="A334" s="19" t="n">
        <v>333</v>
      </c>
      <c r="B334" s="30" t="s">
        <v>1168</v>
      </c>
      <c r="C334" s="30" t="s">
        <v>1394</v>
      </c>
      <c r="D334" s="30" t="s">
        <v>50</v>
      </c>
      <c r="E334" s="30" t="s">
        <v>109</v>
      </c>
      <c r="F334" s="30" t="s">
        <v>192</v>
      </c>
      <c r="G334" s="31" t="n">
        <v>229</v>
      </c>
      <c r="H334" s="19" t="n">
        <v>1</v>
      </c>
      <c r="I334" s="32" t="n">
        <v>0</v>
      </c>
      <c r="J334" s="30" t="s">
        <v>52</v>
      </c>
      <c r="K334" s="30" t="s">
        <v>51</v>
      </c>
      <c r="L334" s="30" t="s">
        <v>89</v>
      </c>
      <c r="M334" s="31" t="n">
        <f aca="false">AVERAGEIF($E$2:$E$1197,E334,$G$2:$G$1197)</f>
        <v>186.056291390729</v>
      </c>
      <c r="N334" s="19" t="str">
        <f aca="false">IF(G334&gt;M334*3,"نعم","لا")</f>
        <v>لا</v>
      </c>
      <c r="O334" s="19" t="str">
        <f aca="false">IF(OR(C334="",ISNUMBER(C334)),"لا","نعم")</f>
        <v>نعم</v>
      </c>
      <c r="P334" s="19" t="str">
        <f aca="false">IF(COUNTIF($B$2:B334,B334)&gt;1,"مكرر","فريد")</f>
        <v>فريد</v>
      </c>
      <c r="Q334" s="19" t="str">
        <f aca="false">IF(COUNTBLANK(D334:L334)&gt;0,"نعم","لا")</f>
        <v>لا</v>
      </c>
    </row>
    <row r="335" customFormat="false" ht="15" hidden="false" customHeight="false" outlineLevel="0" collapsed="false">
      <c r="A335" s="19" t="n">
        <v>334</v>
      </c>
      <c r="B335" s="30" t="s">
        <v>1050</v>
      </c>
      <c r="C335" s="44" t="n">
        <v>45597</v>
      </c>
      <c r="D335" s="30" t="s">
        <v>46</v>
      </c>
      <c r="E335" s="30" t="s">
        <v>105</v>
      </c>
      <c r="F335" s="30" t="s">
        <v>82</v>
      </c>
      <c r="G335" s="31" t="n">
        <v>2289</v>
      </c>
      <c r="H335" s="19" t="n">
        <v>1</v>
      </c>
      <c r="I335" s="32" t="n">
        <v>0</v>
      </c>
      <c r="J335" s="30" t="s">
        <v>58</v>
      </c>
      <c r="K335" s="30" t="s">
        <v>47</v>
      </c>
      <c r="L335" s="30" t="s">
        <v>96</v>
      </c>
      <c r="M335" s="31" t="n">
        <f aca="false">AVERAGEIF($E$2:$E$1197,E335,$G$2:$G$1197)</f>
        <v>2870.26771653543</v>
      </c>
      <c r="N335" s="19" t="str">
        <f aca="false">IF(G335&gt;M335*3,"نعم","لا")</f>
        <v>لا</v>
      </c>
      <c r="O335" s="19" t="str">
        <f aca="false">IF(OR(C335="",ISNUMBER(C335)),"لا","نعم")</f>
        <v>لا</v>
      </c>
      <c r="P335" s="19" t="str">
        <f aca="false">IF(COUNTIF($B$2:B335,B335)&gt;1,"مكرر","فريد")</f>
        <v>فريد</v>
      </c>
      <c r="Q335" s="19" t="str">
        <f aca="false">IF(COUNTBLANK(D335:L335)&gt;0,"نعم","لا")</f>
        <v>لا</v>
      </c>
    </row>
    <row r="336" customFormat="false" ht="15" hidden="false" customHeight="false" outlineLevel="0" collapsed="false">
      <c r="A336" s="19" t="n">
        <v>335</v>
      </c>
      <c r="B336" s="30" t="s">
        <v>632</v>
      </c>
      <c r="C336" s="44" t="n">
        <v>45462</v>
      </c>
      <c r="D336" s="30" t="s">
        <v>50</v>
      </c>
      <c r="E336" s="30" t="s">
        <v>105</v>
      </c>
      <c r="F336" s="30" t="s">
        <v>79</v>
      </c>
      <c r="G336" s="31" t="n">
        <v>3249</v>
      </c>
      <c r="H336" s="19" t="n">
        <v>2</v>
      </c>
      <c r="I336" s="32" t="n">
        <v>0</v>
      </c>
      <c r="J336" s="30" t="s">
        <v>58</v>
      </c>
      <c r="K336" s="30" t="s">
        <v>51</v>
      </c>
      <c r="L336" s="30" t="s">
        <v>94</v>
      </c>
      <c r="M336" s="31" t="n">
        <f aca="false">AVERAGEIF($E$2:$E$1197,E336,$G$2:$G$1197)</f>
        <v>2870.26771653543</v>
      </c>
      <c r="N336" s="19" t="str">
        <f aca="false">IF(G336&gt;M336*3,"نعم","لا")</f>
        <v>لا</v>
      </c>
      <c r="O336" s="19" t="str">
        <f aca="false">IF(OR(C336="",ISNUMBER(C336)),"لا","نعم")</f>
        <v>لا</v>
      </c>
      <c r="P336" s="19" t="str">
        <f aca="false">IF(COUNTIF($B$2:B336,B336)&gt;1,"مكرر","فريد")</f>
        <v>فريد</v>
      </c>
      <c r="Q336" s="19" t="str">
        <f aca="false">IF(COUNTBLANK(D336:L336)&gt;0,"نعم","لا")</f>
        <v>لا</v>
      </c>
    </row>
    <row r="337" customFormat="false" ht="15" hidden="false" customHeight="false" outlineLevel="0" collapsed="false">
      <c r="A337" s="19" t="n">
        <v>336</v>
      </c>
      <c r="B337" s="30" t="s">
        <v>381</v>
      </c>
      <c r="C337" s="44" t="n">
        <v>45371</v>
      </c>
      <c r="D337" s="30" t="s">
        <v>54</v>
      </c>
      <c r="E337" s="30" t="s">
        <v>105</v>
      </c>
      <c r="F337" s="30" t="s">
        <v>179</v>
      </c>
      <c r="G337" s="31" t="n">
        <v>889</v>
      </c>
      <c r="H337" s="19" t="n">
        <v>1</v>
      </c>
      <c r="I337" s="32" t="n">
        <v>0.15</v>
      </c>
      <c r="J337" s="30" t="s">
        <v>58</v>
      </c>
      <c r="K337" s="30" t="s">
        <v>47</v>
      </c>
      <c r="L337" s="30" t="s">
        <v>76</v>
      </c>
      <c r="M337" s="31" t="n">
        <f aca="false">AVERAGEIF($E$2:$E$1197,E337,$G$2:$G$1197)</f>
        <v>2870.26771653543</v>
      </c>
      <c r="N337" s="19" t="str">
        <f aca="false">IF(G337&gt;M337*3,"نعم","لا")</f>
        <v>لا</v>
      </c>
      <c r="O337" s="19" t="str">
        <f aca="false">IF(OR(C337="",ISNUMBER(C337)),"لا","نعم")</f>
        <v>لا</v>
      </c>
      <c r="P337" s="19" t="str">
        <f aca="false">IF(COUNTIF($B$2:B337,B337)&gt;1,"مكرر","فريد")</f>
        <v>فريد</v>
      </c>
      <c r="Q337" s="19" t="str">
        <f aca="false">IF(COUNTBLANK(D337:L337)&gt;0,"نعم","لا")</f>
        <v>لا</v>
      </c>
    </row>
    <row r="338" customFormat="false" ht="15" hidden="false" customHeight="false" outlineLevel="0" collapsed="false">
      <c r="A338" s="19" t="n">
        <v>337</v>
      </c>
      <c r="B338" s="30" t="s">
        <v>1395</v>
      </c>
      <c r="C338" s="30" t="s">
        <v>1396</v>
      </c>
      <c r="D338" s="30" t="s">
        <v>46</v>
      </c>
      <c r="E338" s="30" t="s">
        <v>113</v>
      </c>
      <c r="F338" s="30" t="s">
        <v>97</v>
      </c>
      <c r="G338" s="31" t="n">
        <v>389</v>
      </c>
      <c r="H338" s="19" t="n">
        <v>1</v>
      </c>
      <c r="I338" s="32" t="n">
        <v>0</v>
      </c>
      <c r="J338" s="30" t="s">
        <v>48</v>
      </c>
      <c r="K338" s="30" t="s">
        <v>47</v>
      </c>
      <c r="L338" s="30" t="s">
        <v>94</v>
      </c>
      <c r="M338" s="31" t="n">
        <f aca="false">AVERAGEIF($E$2:$E$1197,E338,$G$2:$G$1197)</f>
        <v>545.358823529412</v>
      </c>
      <c r="N338" s="19" t="str">
        <f aca="false">IF(G338&gt;M338*3,"نعم","لا")</f>
        <v>لا</v>
      </c>
      <c r="O338" s="19" t="str">
        <f aca="false">IF(OR(C338="",ISNUMBER(C338)),"لا","نعم")</f>
        <v>نعم</v>
      </c>
      <c r="P338" s="19" t="str">
        <f aca="false">IF(COUNTIF($B$2:B338,B338)&gt;1,"مكرر","فريد")</f>
        <v>فريد</v>
      </c>
      <c r="Q338" s="19" t="str">
        <f aca="false">IF(COUNTBLANK(D338:L338)&gt;0,"نعم","لا")</f>
        <v>لا</v>
      </c>
    </row>
    <row r="339" customFormat="false" ht="15" hidden="false" customHeight="false" outlineLevel="0" collapsed="false">
      <c r="A339" s="19" t="n">
        <v>338</v>
      </c>
      <c r="B339" s="30" t="s">
        <v>199</v>
      </c>
      <c r="C339" s="44" t="n">
        <v>45301</v>
      </c>
      <c r="D339" s="30" t="s">
        <v>60</v>
      </c>
      <c r="E339" s="30" t="s">
        <v>105</v>
      </c>
      <c r="F339" s="30" t="s">
        <v>85</v>
      </c>
      <c r="G339" s="31" t="n">
        <v>1639</v>
      </c>
      <c r="H339" s="19" t="n">
        <v>1</v>
      </c>
      <c r="I339" s="32" t="n">
        <v>0.05</v>
      </c>
      <c r="J339" s="30" t="s">
        <v>48</v>
      </c>
      <c r="K339" s="30" t="s">
        <v>47</v>
      </c>
      <c r="L339" s="30" t="s">
        <v>86</v>
      </c>
      <c r="M339" s="31" t="n">
        <f aca="false">AVERAGEIF($E$2:$E$1197,E339,$G$2:$G$1197)</f>
        <v>2870.26771653543</v>
      </c>
      <c r="N339" s="19" t="str">
        <f aca="false">IF(G339&gt;M339*3,"نعم","لا")</f>
        <v>لا</v>
      </c>
      <c r="O339" s="19" t="str">
        <f aca="false">IF(OR(C339="",ISNUMBER(C339)),"لا","نعم")</f>
        <v>لا</v>
      </c>
      <c r="P339" s="19" t="str">
        <f aca="false">IF(COUNTIF($B$2:B339,B339)&gt;1,"مكرر","فريد")</f>
        <v>فريد</v>
      </c>
      <c r="Q339" s="19" t="str">
        <f aca="false">IF(COUNTBLANK(D339:L339)&gt;0,"نعم","لا")</f>
        <v>لا</v>
      </c>
    </row>
    <row r="340" customFormat="false" ht="15" hidden="false" customHeight="false" outlineLevel="0" collapsed="false">
      <c r="A340" s="19" t="n">
        <v>339</v>
      </c>
      <c r="B340" s="30" t="s">
        <v>909</v>
      </c>
      <c r="C340" s="44" t="n">
        <v>45550</v>
      </c>
      <c r="D340" s="30" t="s">
        <v>57</v>
      </c>
      <c r="E340" s="30" t="s">
        <v>105</v>
      </c>
      <c r="F340" s="30" t="s">
        <v>179</v>
      </c>
      <c r="G340" s="31" t="n">
        <v>939</v>
      </c>
      <c r="H340" s="19" t="n">
        <v>2</v>
      </c>
      <c r="I340" s="32" t="n">
        <v>0</v>
      </c>
      <c r="J340" s="30" t="s">
        <v>52</v>
      </c>
      <c r="K340" s="30" t="s">
        <v>51</v>
      </c>
      <c r="L340" s="30" t="s">
        <v>96</v>
      </c>
      <c r="M340" s="31" t="n">
        <f aca="false">AVERAGEIF($E$2:$E$1197,E340,$G$2:$G$1197)</f>
        <v>2870.26771653543</v>
      </c>
      <c r="N340" s="19" t="str">
        <f aca="false">IF(G340&gt;M340*3,"نعم","لا")</f>
        <v>لا</v>
      </c>
      <c r="O340" s="19" t="str">
        <f aca="false">IF(OR(C340="",ISNUMBER(C340)),"لا","نعم")</f>
        <v>لا</v>
      </c>
      <c r="P340" s="19" t="str">
        <f aca="false">IF(COUNTIF($B$2:B340,B340)&gt;1,"مكرر","فريد")</f>
        <v>مكرر</v>
      </c>
      <c r="Q340" s="19" t="str">
        <f aca="false">IF(COUNTBLANK(D340:L340)&gt;0,"نعم","لا")</f>
        <v>لا</v>
      </c>
    </row>
    <row r="341" customFormat="false" ht="15" hidden="false" customHeight="false" outlineLevel="0" collapsed="false">
      <c r="A341" s="19" t="n">
        <v>340</v>
      </c>
      <c r="B341" s="30" t="s">
        <v>556</v>
      </c>
      <c r="C341" s="44" t="n">
        <v>45433</v>
      </c>
      <c r="D341" s="30" t="s">
        <v>1397</v>
      </c>
      <c r="E341" s="30" t="s">
        <v>105</v>
      </c>
      <c r="F341" s="30" t="s">
        <v>179</v>
      </c>
      <c r="G341" s="31" t="n">
        <v>899</v>
      </c>
      <c r="H341" s="19" t="n">
        <v>1</v>
      </c>
      <c r="I341" s="32" t="n">
        <v>0.05</v>
      </c>
      <c r="J341" s="30" t="s">
        <v>55</v>
      </c>
      <c r="K341" s="30" t="s">
        <v>47</v>
      </c>
      <c r="L341" s="30" t="s">
        <v>89</v>
      </c>
      <c r="M341" s="31" t="n">
        <f aca="false">AVERAGEIF($E$2:$E$1197,E341,$G$2:$G$1197)</f>
        <v>2870.26771653543</v>
      </c>
      <c r="N341" s="19" t="str">
        <f aca="false">IF(G341&gt;M341*3,"نعم","لا")</f>
        <v>لا</v>
      </c>
      <c r="O341" s="19" t="str">
        <f aca="false">IF(OR(C341="",ISNUMBER(C341)),"لا","نعم")</f>
        <v>لا</v>
      </c>
      <c r="P341" s="19" t="str">
        <f aca="false">IF(COUNTIF($B$2:B341,B341)&gt;1,"مكرر","فريد")</f>
        <v>فريد</v>
      </c>
      <c r="Q341" s="19" t="str">
        <f aca="false">IF(COUNTBLANK(D341:L341)&gt;0,"نعم","لا")</f>
        <v>لا</v>
      </c>
    </row>
    <row r="342" customFormat="false" ht="15" hidden="false" customHeight="false" outlineLevel="0" collapsed="false">
      <c r="A342" s="19" t="n">
        <v>341</v>
      </c>
      <c r="B342" s="30" t="s">
        <v>195</v>
      </c>
      <c r="C342" s="44" t="n">
        <v>45300</v>
      </c>
      <c r="D342" s="30" t="s">
        <v>46</v>
      </c>
      <c r="E342" s="30" t="s">
        <v>111</v>
      </c>
      <c r="F342" s="30" t="s">
        <v>122</v>
      </c>
      <c r="G342" s="31" t="n">
        <v>179</v>
      </c>
      <c r="H342" s="19"/>
      <c r="I342" s="32" t="n">
        <v>0</v>
      </c>
      <c r="J342" s="30" t="s">
        <v>48</v>
      </c>
      <c r="K342" s="30" t="s">
        <v>47</v>
      </c>
      <c r="L342" s="30" t="s">
        <v>89</v>
      </c>
      <c r="M342" s="31" t="n">
        <f aca="false">AVERAGEIF($E$2:$E$1197,E342,$G$2:$G$1197)</f>
        <v>366.306569343066</v>
      </c>
      <c r="N342" s="19" t="str">
        <f aca="false">IF(G342&gt;M342*3,"نعم","لا")</f>
        <v>لا</v>
      </c>
      <c r="O342" s="19" t="str">
        <f aca="false">IF(OR(C342="",ISNUMBER(C342)),"لا","نعم")</f>
        <v>لا</v>
      </c>
      <c r="P342" s="19" t="str">
        <f aca="false">IF(COUNTIF($B$2:B342,B342)&gt;1,"مكرر","فريد")</f>
        <v>فريد</v>
      </c>
      <c r="Q342" s="19" t="str">
        <f aca="false">IF(COUNTBLANK(D342:L342)&gt;0,"نعم","لا")</f>
        <v>نعم</v>
      </c>
    </row>
    <row r="343" customFormat="false" ht="15" hidden="false" customHeight="false" outlineLevel="0" collapsed="false">
      <c r="A343" s="19" t="n">
        <v>342</v>
      </c>
      <c r="B343" s="30" t="s">
        <v>923</v>
      </c>
      <c r="C343" s="44" t="n">
        <v>45556</v>
      </c>
      <c r="D343" s="30" t="s">
        <v>46</v>
      </c>
      <c r="E343" s="30" t="s">
        <v>109</v>
      </c>
      <c r="F343" s="30" t="s">
        <v>93</v>
      </c>
      <c r="G343" s="31" t="n">
        <v>129</v>
      </c>
      <c r="H343" s="19" t="n">
        <v>1</v>
      </c>
      <c r="I343" s="32" t="n">
        <v>0</v>
      </c>
      <c r="J343" s="30" t="s">
        <v>48</v>
      </c>
      <c r="K343" s="30" t="s">
        <v>47</v>
      </c>
      <c r="L343" s="30" t="s">
        <v>86</v>
      </c>
      <c r="M343" s="31" t="n">
        <f aca="false">AVERAGEIF($E$2:$E$1197,E343,$G$2:$G$1197)</f>
        <v>186.056291390729</v>
      </c>
      <c r="N343" s="19" t="str">
        <f aca="false">IF(G343&gt;M343*3,"نعم","لا")</f>
        <v>لا</v>
      </c>
      <c r="O343" s="19" t="str">
        <f aca="false">IF(OR(C343="",ISNUMBER(C343)),"لا","نعم")</f>
        <v>لا</v>
      </c>
      <c r="P343" s="19" t="str">
        <f aca="false">IF(COUNTIF($B$2:B343,B343)&gt;1,"مكرر","فريد")</f>
        <v>فريد</v>
      </c>
      <c r="Q343" s="19" t="str">
        <f aca="false">IF(COUNTBLANK(D343:L343)&gt;0,"نعم","لا")</f>
        <v>لا</v>
      </c>
    </row>
    <row r="344" customFormat="false" ht="15" hidden="false" customHeight="false" outlineLevel="0" collapsed="false">
      <c r="A344" s="19" t="n">
        <v>343</v>
      </c>
      <c r="B344" s="30" t="s">
        <v>895</v>
      </c>
      <c r="C344" s="44" t="n">
        <v>45543</v>
      </c>
      <c r="D344" s="30" t="s">
        <v>1398</v>
      </c>
      <c r="E344" s="30" t="s">
        <v>107</v>
      </c>
      <c r="F344" s="30" t="s">
        <v>184</v>
      </c>
      <c r="G344" s="31" t="n">
        <v>3699</v>
      </c>
      <c r="H344" s="19" t="n">
        <v>3</v>
      </c>
      <c r="I344" s="32" t="n">
        <v>0.05</v>
      </c>
      <c r="J344" s="30" t="s">
        <v>52</v>
      </c>
      <c r="K344" s="30" t="s">
        <v>47</v>
      </c>
      <c r="L344" s="30" t="s">
        <v>89</v>
      </c>
      <c r="M344" s="31" t="n">
        <f aca="false">AVERAGEIF($E$2:$E$1197,E344,$G$2:$G$1197)</f>
        <v>4981.14563106796</v>
      </c>
      <c r="N344" s="19" t="str">
        <f aca="false">IF(G344&gt;M344*3,"نعم","لا")</f>
        <v>لا</v>
      </c>
      <c r="O344" s="19" t="str">
        <f aca="false">IF(OR(C344="",ISNUMBER(C344)),"لا","نعم")</f>
        <v>لا</v>
      </c>
      <c r="P344" s="19" t="str">
        <f aca="false">IF(COUNTIF($B$2:B344,B344)&gt;1,"مكرر","فريد")</f>
        <v>فريد</v>
      </c>
      <c r="Q344" s="19" t="str">
        <f aca="false">IF(COUNTBLANK(D344:L344)&gt;0,"نعم","لا")</f>
        <v>لا</v>
      </c>
    </row>
    <row r="345" customFormat="false" ht="15" hidden="false" customHeight="false" outlineLevel="0" collapsed="false">
      <c r="A345" s="19" t="n">
        <v>344</v>
      </c>
      <c r="B345" s="30" t="s">
        <v>744</v>
      </c>
      <c r="C345" s="44" t="n">
        <v>45499</v>
      </c>
      <c r="D345" s="30" t="s">
        <v>60</v>
      </c>
      <c r="E345" s="30" t="s">
        <v>105</v>
      </c>
      <c r="F345" s="30" t="s">
        <v>82</v>
      </c>
      <c r="G345" s="31" t="n">
        <v>859</v>
      </c>
      <c r="H345" s="19" t="n">
        <v>2</v>
      </c>
      <c r="I345" s="32" t="n">
        <v>0</v>
      </c>
      <c r="J345" s="30" t="s">
        <v>48</v>
      </c>
      <c r="K345" s="30" t="s">
        <v>47</v>
      </c>
      <c r="L345" s="30" t="s">
        <v>86</v>
      </c>
      <c r="M345" s="31" t="n">
        <f aca="false">AVERAGEIF($E$2:$E$1197,E345,$G$2:$G$1197)</f>
        <v>2870.26771653543</v>
      </c>
      <c r="N345" s="19" t="str">
        <f aca="false">IF(G345&gt;M345*3,"نعم","لا")</f>
        <v>لا</v>
      </c>
      <c r="O345" s="19" t="str">
        <f aca="false">IF(OR(C345="",ISNUMBER(C345)),"لا","نعم")</f>
        <v>لا</v>
      </c>
      <c r="P345" s="19" t="str">
        <f aca="false">IF(COUNTIF($B$2:B345,B345)&gt;1,"مكرر","فريد")</f>
        <v>فريد</v>
      </c>
      <c r="Q345" s="19" t="str">
        <f aca="false">IF(COUNTBLANK(D345:L345)&gt;0,"نعم","لا")</f>
        <v>لا</v>
      </c>
    </row>
    <row r="346" customFormat="false" ht="15" hidden="false" customHeight="false" outlineLevel="0" collapsed="false">
      <c r="A346" s="19" t="n">
        <v>345</v>
      </c>
      <c r="B346" s="30" t="s">
        <v>879</v>
      </c>
      <c r="C346" s="44" t="n">
        <v>45537</v>
      </c>
      <c r="D346" s="30" t="s">
        <v>50</v>
      </c>
      <c r="E346" s="30" t="s">
        <v>105</v>
      </c>
      <c r="F346" s="30" t="s">
        <v>179</v>
      </c>
      <c r="G346" s="31" t="n">
        <v>3379</v>
      </c>
      <c r="H346" s="19" t="n">
        <v>3</v>
      </c>
      <c r="I346" s="32" t="n">
        <v>0.1</v>
      </c>
      <c r="J346" s="30" t="s">
        <v>52</v>
      </c>
      <c r="K346" s="30" t="s">
        <v>47</v>
      </c>
      <c r="L346" s="30" t="s">
        <v>84</v>
      </c>
      <c r="M346" s="31" t="n">
        <f aca="false">AVERAGEIF($E$2:$E$1197,E346,$G$2:$G$1197)</f>
        <v>2870.26771653543</v>
      </c>
      <c r="N346" s="19" t="str">
        <f aca="false">IF(G346&gt;M346*3,"نعم","لا")</f>
        <v>لا</v>
      </c>
      <c r="O346" s="19" t="str">
        <f aca="false">IF(OR(C346="",ISNUMBER(C346)),"لا","نعم")</f>
        <v>لا</v>
      </c>
      <c r="P346" s="19" t="str">
        <f aca="false">IF(COUNTIF($B$2:B346,B346)&gt;1,"مكرر","فريد")</f>
        <v>فريد</v>
      </c>
      <c r="Q346" s="19" t="str">
        <f aca="false">IF(COUNTBLANK(D346:L346)&gt;0,"نعم","لا")</f>
        <v>لا</v>
      </c>
    </row>
    <row r="347" customFormat="false" ht="15" hidden="false" customHeight="false" outlineLevel="0" collapsed="false">
      <c r="A347" s="19" t="n">
        <v>346</v>
      </c>
      <c r="B347" s="30" t="s">
        <v>695</v>
      </c>
      <c r="C347" s="44" t="n">
        <v>45484</v>
      </c>
      <c r="D347" s="30" t="s">
        <v>60</v>
      </c>
      <c r="E347" s="30" t="s">
        <v>109</v>
      </c>
      <c r="F347" s="30" t="s">
        <v>192</v>
      </c>
      <c r="G347" s="31" t="n">
        <v>299</v>
      </c>
      <c r="H347" s="19" t="n">
        <v>2</v>
      </c>
      <c r="I347" s="32" t="n">
        <v>0</v>
      </c>
      <c r="J347" s="30" t="s">
        <v>48</v>
      </c>
      <c r="K347" s="30" t="s">
        <v>47</v>
      </c>
      <c r="L347" s="30" t="s">
        <v>84</v>
      </c>
      <c r="M347" s="31" t="n">
        <f aca="false">AVERAGEIF($E$2:$E$1197,E347,$G$2:$G$1197)</f>
        <v>186.056291390729</v>
      </c>
      <c r="N347" s="19" t="str">
        <f aca="false">IF(G347&gt;M347*3,"نعم","لا")</f>
        <v>لا</v>
      </c>
      <c r="O347" s="19" t="str">
        <f aca="false">IF(OR(C347="",ISNUMBER(C347)),"لا","نعم")</f>
        <v>لا</v>
      </c>
      <c r="P347" s="19" t="str">
        <f aca="false">IF(COUNTIF($B$2:B347,B347)&gt;1,"مكرر","فريد")</f>
        <v>فريد</v>
      </c>
      <c r="Q347" s="19" t="str">
        <f aca="false">IF(COUNTBLANK(D347:L347)&gt;0,"نعم","لا")</f>
        <v>لا</v>
      </c>
    </row>
    <row r="348" customFormat="false" ht="15" hidden="false" customHeight="false" outlineLevel="0" collapsed="false">
      <c r="A348" s="19" t="n">
        <v>347</v>
      </c>
      <c r="B348" s="30" t="s">
        <v>1190</v>
      </c>
      <c r="C348" s="44" t="n">
        <v>45629</v>
      </c>
      <c r="D348" s="30" t="s">
        <v>50</v>
      </c>
      <c r="E348" s="30" t="s">
        <v>105</v>
      </c>
      <c r="F348" s="30" t="s">
        <v>179</v>
      </c>
      <c r="G348" s="31" t="n">
        <v>1329</v>
      </c>
      <c r="H348" s="19" t="n">
        <v>1</v>
      </c>
      <c r="I348" s="32" t="n">
        <v>0.05</v>
      </c>
      <c r="J348" s="30" t="s">
        <v>48</v>
      </c>
      <c r="K348" s="30" t="s">
        <v>47</v>
      </c>
      <c r="L348" s="30" t="s">
        <v>81</v>
      </c>
      <c r="M348" s="31" t="n">
        <f aca="false">AVERAGEIF($E$2:$E$1197,E348,$G$2:$G$1197)</f>
        <v>2870.26771653543</v>
      </c>
      <c r="N348" s="19" t="str">
        <f aca="false">IF(G348&gt;M348*3,"نعم","لا")</f>
        <v>لا</v>
      </c>
      <c r="O348" s="19" t="str">
        <f aca="false">IF(OR(C348="",ISNUMBER(C348)),"لا","نعم")</f>
        <v>لا</v>
      </c>
      <c r="P348" s="19" t="str">
        <f aca="false">IF(COUNTIF($B$2:B348,B348)&gt;1,"مكرر","فريد")</f>
        <v>فريد</v>
      </c>
      <c r="Q348" s="19" t="str">
        <f aca="false">IF(COUNTBLANK(D348:L348)&gt;0,"نعم","لا")</f>
        <v>لا</v>
      </c>
    </row>
    <row r="349" customFormat="false" ht="15" hidden="false" customHeight="false" outlineLevel="0" collapsed="false">
      <c r="A349" s="19" t="n">
        <v>348</v>
      </c>
      <c r="B349" s="30" t="s">
        <v>1163</v>
      </c>
      <c r="C349" s="44" t="n">
        <v>45621</v>
      </c>
      <c r="D349" s="30" t="s">
        <v>54</v>
      </c>
      <c r="E349" s="30" t="s">
        <v>105</v>
      </c>
      <c r="F349" s="30" t="s">
        <v>79</v>
      </c>
      <c r="G349" s="31" t="n">
        <v>2309</v>
      </c>
      <c r="H349" s="19" t="n">
        <v>1</v>
      </c>
      <c r="I349" s="32" t="n">
        <v>0.2</v>
      </c>
      <c r="J349" s="30" t="s">
        <v>52</v>
      </c>
      <c r="K349" s="30" t="s">
        <v>51</v>
      </c>
      <c r="L349" s="30" t="s">
        <v>96</v>
      </c>
      <c r="M349" s="31" t="n">
        <f aca="false">AVERAGEIF($E$2:$E$1197,E349,$G$2:$G$1197)</f>
        <v>2870.26771653543</v>
      </c>
      <c r="N349" s="19" t="str">
        <f aca="false">IF(G349&gt;M349*3,"نعم","لا")</f>
        <v>لا</v>
      </c>
      <c r="O349" s="19" t="str">
        <f aca="false">IF(OR(C349="",ISNUMBER(C349)),"لا","نعم")</f>
        <v>لا</v>
      </c>
      <c r="P349" s="19" t="str">
        <f aca="false">IF(COUNTIF($B$2:B349,B349)&gt;1,"مكرر","فريد")</f>
        <v>فريد</v>
      </c>
      <c r="Q349" s="19" t="str">
        <f aca="false">IF(COUNTBLANK(D349:L349)&gt;0,"نعم","لا")</f>
        <v>لا</v>
      </c>
    </row>
    <row r="350" customFormat="false" ht="15" hidden="false" customHeight="false" outlineLevel="0" collapsed="false">
      <c r="A350" s="19" t="n">
        <v>349</v>
      </c>
      <c r="B350" s="30" t="s">
        <v>422</v>
      </c>
      <c r="C350" s="44" t="n">
        <v>45382</v>
      </c>
      <c r="D350" s="30" t="s">
        <v>50</v>
      </c>
      <c r="E350" s="30" t="s">
        <v>105</v>
      </c>
      <c r="F350" s="30" t="s">
        <v>90</v>
      </c>
      <c r="G350" s="31" t="n">
        <v>2719</v>
      </c>
      <c r="H350" s="19" t="n">
        <v>2</v>
      </c>
      <c r="I350" s="32" t="n">
        <v>0</v>
      </c>
      <c r="J350" s="30" t="s">
        <v>1352</v>
      </c>
      <c r="K350" s="30" t="s">
        <v>47</v>
      </c>
      <c r="L350" s="30" t="s">
        <v>76</v>
      </c>
      <c r="M350" s="31" t="n">
        <f aca="false">AVERAGEIF($E$2:$E$1197,E350,$G$2:$G$1197)</f>
        <v>2870.26771653543</v>
      </c>
      <c r="N350" s="19" t="str">
        <f aca="false">IF(G350&gt;M350*3,"نعم","لا")</f>
        <v>لا</v>
      </c>
      <c r="O350" s="19" t="str">
        <f aca="false">IF(OR(C350="",ISNUMBER(C350)),"لا","نعم")</f>
        <v>لا</v>
      </c>
      <c r="P350" s="19" t="str">
        <f aca="false">IF(COUNTIF($B$2:B350,B350)&gt;1,"مكرر","فريد")</f>
        <v>فريد</v>
      </c>
      <c r="Q350" s="19" t="str">
        <f aca="false">IF(COUNTBLANK(D350:L350)&gt;0,"نعم","لا")</f>
        <v>لا</v>
      </c>
    </row>
    <row r="351" customFormat="false" ht="15" hidden="false" customHeight="false" outlineLevel="0" collapsed="false">
      <c r="A351" s="19" t="n">
        <v>350</v>
      </c>
      <c r="B351" s="30" t="s">
        <v>457</v>
      </c>
      <c r="C351" s="44" t="n">
        <v>45392</v>
      </c>
      <c r="D351" s="30" t="s">
        <v>46</v>
      </c>
      <c r="E351" s="30" t="s">
        <v>107</v>
      </c>
      <c r="F351" s="30" t="s">
        <v>184</v>
      </c>
      <c r="G351" s="31" t="n">
        <v>7129</v>
      </c>
      <c r="H351" s="19" t="n">
        <v>1</v>
      </c>
      <c r="I351" s="32" t="n">
        <v>0.05</v>
      </c>
      <c r="J351" s="30" t="s">
        <v>55</v>
      </c>
      <c r="K351" s="30" t="s">
        <v>47</v>
      </c>
      <c r="L351" s="30" t="s">
        <v>86</v>
      </c>
      <c r="M351" s="31" t="n">
        <f aca="false">AVERAGEIF($E$2:$E$1197,E351,$G$2:$G$1197)</f>
        <v>4981.14563106796</v>
      </c>
      <c r="N351" s="19" t="str">
        <f aca="false">IF(G351&gt;M351*3,"نعم","لا")</f>
        <v>لا</v>
      </c>
      <c r="O351" s="19" t="str">
        <f aca="false">IF(OR(C351="",ISNUMBER(C351)),"لا","نعم")</f>
        <v>لا</v>
      </c>
      <c r="P351" s="19" t="str">
        <f aca="false">IF(COUNTIF($B$2:B351,B351)&gt;1,"مكرر","فريد")</f>
        <v>فريد</v>
      </c>
      <c r="Q351" s="19" t="str">
        <f aca="false">IF(COUNTBLANK(D351:L351)&gt;0,"نعم","لا")</f>
        <v>لا</v>
      </c>
    </row>
    <row r="352" customFormat="false" ht="15" hidden="false" customHeight="false" outlineLevel="0" collapsed="false">
      <c r="A352" s="19" t="n">
        <v>351</v>
      </c>
      <c r="B352" s="30" t="s">
        <v>196</v>
      </c>
      <c r="C352" s="44" t="n">
        <v>45300</v>
      </c>
      <c r="D352" s="30" t="s">
        <v>46</v>
      </c>
      <c r="E352" s="30" t="s">
        <v>109</v>
      </c>
      <c r="F352" s="30" t="s">
        <v>171</v>
      </c>
      <c r="G352" s="31" t="n">
        <v>309</v>
      </c>
      <c r="H352" s="19" t="n">
        <v>3</v>
      </c>
      <c r="I352" s="32" t="n">
        <v>0</v>
      </c>
      <c r="J352" s="30" t="s">
        <v>52</v>
      </c>
      <c r="K352" s="30" t="s">
        <v>47</v>
      </c>
      <c r="L352" s="30" t="s">
        <v>86</v>
      </c>
      <c r="M352" s="31" t="n">
        <f aca="false">AVERAGEIF($E$2:$E$1197,E352,$G$2:$G$1197)</f>
        <v>186.056291390729</v>
      </c>
      <c r="N352" s="19" t="str">
        <f aca="false">IF(G352&gt;M352*3,"نعم","لا")</f>
        <v>لا</v>
      </c>
      <c r="O352" s="19" t="str">
        <f aca="false">IF(OR(C352="",ISNUMBER(C352)),"لا","نعم")</f>
        <v>لا</v>
      </c>
      <c r="P352" s="19" t="str">
        <f aca="false">IF(COUNTIF($B$2:B352,B352)&gt;1,"مكرر","فريد")</f>
        <v>فريد</v>
      </c>
      <c r="Q352" s="19" t="str">
        <f aca="false">IF(COUNTBLANK(D352:L352)&gt;0,"نعم","لا")</f>
        <v>لا</v>
      </c>
    </row>
    <row r="353" customFormat="false" ht="15" hidden="false" customHeight="false" outlineLevel="0" collapsed="false">
      <c r="A353" s="19" t="n">
        <v>352</v>
      </c>
      <c r="B353" s="30" t="s">
        <v>497</v>
      </c>
      <c r="C353" s="44" t="n">
        <v>45414</v>
      </c>
      <c r="D353" s="30" t="s">
        <v>57</v>
      </c>
      <c r="E353" s="30" t="s">
        <v>107</v>
      </c>
      <c r="F353" s="30" t="s">
        <v>184</v>
      </c>
      <c r="G353" s="31" t="n">
        <v>6349</v>
      </c>
      <c r="H353" s="19" t="n">
        <v>6</v>
      </c>
      <c r="I353" s="32" t="n">
        <v>0.15</v>
      </c>
      <c r="J353" s="30" t="s">
        <v>52</v>
      </c>
      <c r="K353" s="30" t="s">
        <v>51</v>
      </c>
      <c r="L353" s="30" t="s">
        <v>94</v>
      </c>
      <c r="M353" s="31" t="n">
        <f aca="false">AVERAGEIF($E$2:$E$1197,E353,$G$2:$G$1197)</f>
        <v>4981.14563106796</v>
      </c>
      <c r="N353" s="19" t="str">
        <f aca="false">IF(G353&gt;M353*3,"نعم","لا")</f>
        <v>لا</v>
      </c>
      <c r="O353" s="19" t="str">
        <f aca="false">IF(OR(C353="",ISNUMBER(C353)),"لا","نعم")</f>
        <v>لا</v>
      </c>
      <c r="P353" s="19" t="str">
        <f aca="false">IF(COUNTIF($B$2:B353,B353)&gt;1,"مكرر","فريد")</f>
        <v>فريد</v>
      </c>
      <c r="Q353" s="19" t="str">
        <f aca="false">IF(COUNTBLANK(D353:L353)&gt;0,"نعم","لا")</f>
        <v>لا</v>
      </c>
    </row>
    <row r="354" customFormat="false" ht="15" hidden="false" customHeight="false" outlineLevel="0" collapsed="false">
      <c r="A354" s="19" t="n">
        <v>353</v>
      </c>
      <c r="B354" s="30" t="s">
        <v>974</v>
      </c>
      <c r="C354" s="44" t="n">
        <v>45572</v>
      </c>
      <c r="D354" s="30" t="s">
        <v>46</v>
      </c>
      <c r="E354" s="30" t="s">
        <v>109</v>
      </c>
      <c r="F354" s="30" t="s">
        <v>192</v>
      </c>
      <c r="G354" s="31" t="n">
        <v>119</v>
      </c>
      <c r="H354" s="19" t="n">
        <v>1</v>
      </c>
      <c r="I354" s="32" t="n">
        <v>0.1</v>
      </c>
      <c r="J354" s="30" t="s">
        <v>48</v>
      </c>
      <c r="K354" s="30" t="s">
        <v>47</v>
      </c>
      <c r="L354" s="30" t="s">
        <v>92</v>
      </c>
      <c r="M354" s="31" t="n">
        <f aca="false">AVERAGEIF($E$2:$E$1197,E354,$G$2:$G$1197)</f>
        <v>186.056291390729</v>
      </c>
      <c r="N354" s="19" t="str">
        <f aca="false">IF(G354&gt;M354*3,"نعم","لا")</f>
        <v>لا</v>
      </c>
      <c r="O354" s="19" t="str">
        <f aca="false">IF(OR(C354="",ISNUMBER(C354)),"لا","نعم")</f>
        <v>لا</v>
      </c>
      <c r="P354" s="19" t="str">
        <f aca="false">IF(COUNTIF($B$2:B354,B354)&gt;1,"مكرر","فريد")</f>
        <v>فريد</v>
      </c>
      <c r="Q354" s="19" t="str">
        <f aca="false">IF(COUNTBLANK(D354:L354)&gt;0,"نعم","لا")</f>
        <v>لا</v>
      </c>
    </row>
    <row r="355" customFormat="false" ht="15" hidden="false" customHeight="false" outlineLevel="0" collapsed="false">
      <c r="A355" s="19" t="n">
        <v>354</v>
      </c>
      <c r="B355" s="30" t="s">
        <v>217</v>
      </c>
      <c r="C355" s="44" t="n">
        <v>45308</v>
      </c>
      <c r="D355" s="30" t="s">
        <v>54</v>
      </c>
      <c r="E355" s="30" t="s">
        <v>105</v>
      </c>
      <c r="F355" s="30" t="s">
        <v>179</v>
      </c>
      <c r="G355" s="31" t="n">
        <v>4019</v>
      </c>
      <c r="H355" s="19" t="n">
        <v>1</v>
      </c>
      <c r="I355" s="32" t="n">
        <v>0.05</v>
      </c>
      <c r="J355" s="30" t="s">
        <v>48</v>
      </c>
      <c r="K355" s="30" t="s">
        <v>47</v>
      </c>
      <c r="L355" s="30" t="s">
        <v>78</v>
      </c>
      <c r="M355" s="31" t="n">
        <f aca="false">AVERAGEIF($E$2:$E$1197,E355,$G$2:$G$1197)</f>
        <v>2870.26771653543</v>
      </c>
      <c r="N355" s="19" t="str">
        <f aca="false">IF(G355&gt;M355*3,"نعم","لا")</f>
        <v>لا</v>
      </c>
      <c r="O355" s="19" t="str">
        <f aca="false">IF(OR(C355="",ISNUMBER(C355)),"لا","نعم")</f>
        <v>لا</v>
      </c>
      <c r="P355" s="19" t="str">
        <f aca="false">IF(COUNTIF($B$2:B355,B355)&gt;1,"مكرر","فريد")</f>
        <v>فريد</v>
      </c>
      <c r="Q355" s="19" t="str">
        <f aca="false">IF(COUNTBLANK(D355:L355)&gt;0,"نعم","لا")</f>
        <v>لا</v>
      </c>
    </row>
    <row r="356" customFormat="false" ht="15" hidden="false" customHeight="false" outlineLevel="0" collapsed="false">
      <c r="A356" s="19" t="n">
        <v>355</v>
      </c>
      <c r="B356" s="30" t="s">
        <v>481</v>
      </c>
      <c r="C356" s="44" t="n">
        <v>45406</v>
      </c>
      <c r="D356" s="30" t="s">
        <v>50</v>
      </c>
      <c r="E356" s="30" t="s">
        <v>107</v>
      </c>
      <c r="F356" s="30" t="s">
        <v>184</v>
      </c>
      <c r="G356" s="31" t="n">
        <v>2289</v>
      </c>
      <c r="H356" s="19" t="n">
        <v>1</v>
      </c>
      <c r="I356" s="32" t="n">
        <v>0.1</v>
      </c>
      <c r="J356" s="30" t="s">
        <v>52</v>
      </c>
      <c r="K356" s="30" t="s">
        <v>47</v>
      </c>
      <c r="L356" s="30" t="s">
        <v>81</v>
      </c>
      <c r="M356" s="31" t="n">
        <f aca="false">AVERAGEIF($E$2:$E$1197,E356,$G$2:$G$1197)</f>
        <v>4981.14563106796</v>
      </c>
      <c r="N356" s="19" t="str">
        <f aca="false">IF(G356&gt;M356*3,"نعم","لا")</f>
        <v>لا</v>
      </c>
      <c r="O356" s="19" t="str">
        <f aca="false">IF(OR(C356="",ISNUMBER(C356)),"لا","نعم")</f>
        <v>لا</v>
      </c>
      <c r="P356" s="19" t="str">
        <f aca="false">IF(COUNTIF($B$2:B356,B356)&gt;1,"مكرر","فريد")</f>
        <v>فريد</v>
      </c>
      <c r="Q356" s="19" t="str">
        <f aca="false">IF(COUNTBLANK(D356:L356)&gt;0,"نعم","لا")</f>
        <v>لا</v>
      </c>
    </row>
    <row r="357" customFormat="false" ht="15" hidden="false" customHeight="false" outlineLevel="0" collapsed="false">
      <c r="A357" s="19" t="n">
        <v>356</v>
      </c>
      <c r="B357" s="30" t="s">
        <v>278</v>
      </c>
      <c r="C357" s="44" t="n">
        <v>45331</v>
      </c>
      <c r="D357" s="30" t="s">
        <v>54</v>
      </c>
      <c r="E357" s="30" t="s">
        <v>107</v>
      </c>
      <c r="F357" s="30" t="s">
        <v>272</v>
      </c>
      <c r="G357" s="31" t="n">
        <v>7029</v>
      </c>
      <c r="H357" s="19" t="n">
        <v>1</v>
      </c>
      <c r="I357" s="32" t="n">
        <v>0.1</v>
      </c>
      <c r="J357" s="30" t="s">
        <v>48</v>
      </c>
      <c r="K357" s="30" t="s">
        <v>47</v>
      </c>
      <c r="L357" s="30" t="s">
        <v>78</v>
      </c>
      <c r="M357" s="31" t="n">
        <f aca="false">AVERAGEIF($E$2:$E$1197,E357,$G$2:$G$1197)</f>
        <v>4981.14563106796</v>
      </c>
      <c r="N357" s="19" t="str">
        <f aca="false">IF(G357&gt;M357*3,"نعم","لا")</f>
        <v>لا</v>
      </c>
      <c r="O357" s="19" t="str">
        <f aca="false">IF(OR(C357="",ISNUMBER(C357)),"لا","نعم")</f>
        <v>لا</v>
      </c>
      <c r="P357" s="19" t="str">
        <f aca="false">IF(COUNTIF($B$2:B357,B357)&gt;1,"مكرر","فريد")</f>
        <v>فريد</v>
      </c>
      <c r="Q357" s="19" t="str">
        <f aca="false">IF(COUNTBLANK(D357:L357)&gt;0,"نعم","لا")</f>
        <v>لا</v>
      </c>
    </row>
    <row r="358" customFormat="false" ht="15" hidden="false" customHeight="false" outlineLevel="0" collapsed="false">
      <c r="A358" s="19" t="n">
        <v>357</v>
      </c>
      <c r="B358" s="30" t="s">
        <v>1154</v>
      </c>
      <c r="C358" s="44" t="n">
        <v>45619</v>
      </c>
      <c r="D358" s="30" t="s">
        <v>46</v>
      </c>
      <c r="E358" s="30" t="s">
        <v>111</v>
      </c>
      <c r="F358" s="30" t="s">
        <v>122</v>
      </c>
      <c r="G358" s="31" t="n">
        <v>519</v>
      </c>
      <c r="H358" s="19" t="n">
        <v>1</v>
      </c>
      <c r="I358" s="32" t="n">
        <v>0</v>
      </c>
      <c r="J358" s="30" t="s">
        <v>55</v>
      </c>
      <c r="K358" s="30" t="s">
        <v>47</v>
      </c>
      <c r="L358" s="30" t="s">
        <v>78</v>
      </c>
      <c r="M358" s="31" t="n">
        <f aca="false">AVERAGEIF($E$2:$E$1197,E358,$G$2:$G$1197)</f>
        <v>366.306569343066</v>
      </c>
      <c r="N358" s="19" t="str">
        <f aca="false">IF(G358&gt;M358*3,"نعم","لا")</f>
        <v>لا</v>
      </c>
      <c r="O358" s="19" t="str">
        <f aca="false">IF(OR(C358="",ISNUMBER(C358)),"لا","نعم")</f>
        <v>لا</v>
      </c>
      <c r="P358" s="19" t="str">
        <f aca="false">IF(COUNTIF($B$2:B358,B358)&gt;1,"مكرر","فريد")</f>
        <v>مكرر</v>
      </c>
      <c r="Q358" s="19" t="str">
        <f aca="false">IF(COUNTBLANK(D358:L358)&gt;0,"نعم","لا")</f>
        <v>لا</v>
      </c>
    </row>
    <row r="359" customFormat="false" ht="15" hidden="false" customHeight="false" outlineLevel="0" collapsed="false">
      <c r="A359" s="19" t="n">
        <v>358</v>
      </c>
      <c r="B359" s="30" t="s">
        <v>225</v>
      </c>
      <c r="C359" s="44" t="n">
        <v>45312</v>
      </c>
      <c r="D359" s="30" t="s">
        <v>46</v>
      </c>
      <c r="E359" s="30" t="s">
        <v>109</v>
      </c>
      <c r="F359" s="30" t="s">
        <v>110</v>
      </c>
      <c r="G359" s="31" t="n">
        <v>229</v>
      </c>
      <c r="H359" s="19" t="n">
        <v>1</v>
      </c>
      <c r="I359" s="32" t="n">
        <v>0.05</v>
      </c>
      <c r="J359" s="30" t="s">
        <v>52</v>
      </c>
      <c r="K359" s="30" t="s">
        <v>47</v>
      </c>
      <c r="L359" s="30" t="s">
        <v>96</v>
      </c>
      <c r="M359" s="31" t="n">
        <f aca="false">AVERAGEIF($E$2:$E$1197,E359,$G$2:$G$1197)</f>
        <v>186.056291390729</v>
      </c>
      <c r="N359" s="19" t="str">
        <f aca="false">IF(G359&gt;M359*3,"نعم","لا")</f>
        <v>لا</v>
      </c>
      <c r="O359" s="19" t="str">
        <f aca="false">IF(OR(C359="",ISNUMBER(C359)),"لا","نعم")</f>
        <v>لا</v>
      </c>
      <c r="P359" s="19" t="str">
        <f aca="false">IF(COUNTIF($B$2:B359,B359)&gt;1,"مكرر","فريد")</f>
        <v>فريد</v>
      </c>
      <c r="Q359" s="19" t="str">
        <f aca="false">IF(COUNTBLANK(D359:L359)&gt;0,"نعم","لا")</f>
        <v>لا</v>
      </c>
    </row>
    <row r="360" customFormat="false" ht="15" hidden="false" customHeight="false" outlineLevel="0" collapsed="false">
      <c r="A360" s="19" t="n">
        <v>359</v>
      </c>
      <c r="B360" s="30" t="s">
        <v>680</v>
      </c>
      <c r="C360" s="44" t="n">
        <v>45478</v>
      </c>
      <c r="D360" s="30" t="s">
        <v>50</v>
      </c>
      <c r="E360" s="30" t="s">
        <v>107</v>
      </c>
      <c r="F360" s="30" t="s">
        <v>114</v>
      </c>
      <c r="G360" s="31" t="n">
        <v>7249</v>
      </c>
      <c r="H360" s="19" t="n">
        <v>1</v>
      </c>
      <c r="I360" s="32" t="n">
        <v>0.1</v>
      </c>
      <c r="J360" s="30" t="s">
        <v>52</v>
      </c>
      <c r="K360" s="30" t="s">
        <v>47</v>
      </c>
      <c r="L360" s="30" t="s">
        <v>81</v>
      </c>
      <c r="M360" s="31" t="n">
        <f aca="false">AVERAGEIF($E$2:$E$1197,E360,$G$2:$G$1197)</f>
        <v>4981.14563106796</v>
      </c>
      <c r="N360" s="19" t="str">
        <f aca="false">IF(G360&gt;M360*3,"نعم","لا")</f>
        <v>لا</v>
      </c>
      <c r="O360" s="19" t="str">
        <f aca="false">IF(OR(C360="",ISNUMBER(C360)),"لا","نعم")</f>
        <v>لا</v>
      </c>
      <c r="P360" s="19" t="str">
        <f aca="false">IF(COUNTIF($B$2:B360,B360)&gt;1,"مكرر","فريد")</f>
        <v>فريد</v>
      </c>
      <c r="Q360" s="19" t="str">
        <f aca="false">IF(COUNTBLANK(D360:L360)&gt;0,"نعم","لا")</f>
        <v>لا</v>
      </c>
    </row>
    <row r="361" customFormat="false" ht="15" hidden="false" customHeight="false" outlineLevel="0" collapsed="false">
      <c r="A361" s="19" t="n">
        <v>360</v>
      </c>
      <c r="B361" s="30" t="s">
        <v>382</v>
      </c>
      <c r="C361" s="44" t="n">
        <v>45371</v>
      </c>
      <c r="D361" s="30" t="s">
        <v>50</v>
      </c>
      <c r="E361" s="30" t="s">
        <v>107</v>
      </c>
      <c r="F361" s="30" t="s">
        <v>115</v>
      </c>
      <c r="G361" s="31" t="n">
        <v>6519</v>
      </c>
      <c r="H361" s="19" t="n">
        <v>2</v>
      </c>
      <c r="I361" s="32" t="n">
        <v>0</v>
      </c>
      <c r="J361" s="30" t="s">
        <v>48</v>
      </c>
      <c r="K361" s="30" t="s">
        <v>47</v>
      </c>
      <c r="L361" s="30" t="s">
        <v>78</v>
      </c>
      <c r="M361" s="31" t="n">
        <f aca="false">AVERAGEIF($E$2:$E$1197,E361,$G$2:$G$1197)</f>
        <v>4981.14563106796</v>
      </c>
      <c r="N361" s="19" t="str">
        <f aca="false">IF(G361&gt;M361*3,"نعم","لا")</f>
        <v>لا</v>
      </c>
      <c r="O361" s="19" t="str">
        <f aca="false">IF(OR(C361="",ISNUMBER(C361)),"لا","نعم")</f>
        <v>لا</v>
      </c>
      <c r="P361" s="19" t="str">
        <f aca="false">IF(COUNTIF($B$2:B361,B361)&gt;1,"مكرر","فريد")</f>
        <v>فريد</v>
      </c>
      <c r="Q361" s="19" t="str">
        <f aca="false">IF(COUNTBLANK(D361:L361)&gt;0,"نعم","لا")</f>
        <v>لا</v>
      </c>
    </row>
    <row r="362" customFormat="false" ht="15" hidden="false" customHeight="false" outlineLevel="0" collapsed="false">
      <c r="A362" s="19" t="n">
        <v>361</v>
      </c>
      <c r="B362" s="30" t="s">
        <v>292</v>
      </c>
      <c r="C362" s="44" t="n">
        <v>45337</v>
      </c>
      <c r="D362" s="30" t="s">
        <v>54</v>
      </c>
      <c r="E362" s="30" t="s">
        <v>109</v>
      </c>
      <c r="F362" s="30" t="s">
        <v>93</v>
      </c>
      <c r="G362" s="31" t="n">
        <v>119</v>
      </c>
      <c r="H362" s="19" t="n">
        <v>1</v>
      </c>
      <c r="I362" s="32" t="n">
        <v>0.15</v>
      </c>
      <c r="J362" s="30" t="s">
        <v>48</v>
      </c>
      <c r="K362" s="30" t="s">
        <v>47</v>
      </c>
      <c r="L362" s="30" t="s">
        <v>94</v>
      </c>
      <c r="M362" s="31" t="n">
        <f aca="false">AVERAGEIF($E$2:$E$1197,E362,$G$2:$G$1197)</f>
        <v>186.056291390729</v>
      </c>
      <c r="N362" s="19" t="str">
        <f aca="false">IF(G362&gt;M362*3,"نعم","لا")</f>
        <v>لا</v>
      </c>
      <c r="O362" s="19" t="str">
        <f aca="false">IF(OR(C362="",ISNUMBER(C362)),"لا","نعم")</f>
        <v>لا</v>
      </c>
      <c r="P362" s="19" t="str">
        <f aca="false">IF(COUNTIF($B$2:B362,B362)&gt;1,"مكرر","فريد")</f>
        <v>فريد</v>
      </c>
      <c r="Q362" s="19" t="str">
        <f aca="false">IF(COUNTBLANK(D362:L362)&gt;0,"نعم","لا")</f>
        <v>لا</v>
      </c>
    </row>
    <row r="363" customFormat="false" ht="15" hidden="false" customHeight="false" outlineLevel="0" collapsed="false">
      <c r="A363" s="19" t="n">
        <v>362</v>
      </c>
      <c r="B363" s="30" t="s">
        <v>717</v>
      </c>
      <c r="C363" s="44" t="n">
        <v>45492</v>
      </c>
      <c r="D363" s="30" t="s">
        <v>57</v>
      </c>
      <c r="E363" s="30" t="s">
        <v>105</v>
      </c>
      <c r="F363" s="30" t="s">
        <v>85</v>
      </c>
      <c r="G363" s="31" t="n">
        <v>3039</v>
      </c>
      <c r="H363" s="19" t="n">
        <v>2</v>
      </c>
      <c r="I363" s="32" t="n">
        <v>0</v>
      </c>
      <c r="J363" s="30" t="s">
        <v>52</v>
      </c>
      <c r="K363" s="30" t="s">
        <v>47</v>
      </c>
      <c r="L363" s="30" t="s">
        <v>89</v>
      </c>
      <c r="M363" s="31" t="n">
        <f aca="false">AVERAGEIF($E$2:$E$1197,E363,$G$2:$G$1197)</f>
        <v>2870.26771653543</v>
      </c>
      <c r="N363" s="19" t="str">
        <f aca="false">IF(G363&gt;M363*3,"نعم","لا")</f>
        <v>لا</v>
      </c>
      <c r="O363" s="19" t="str">
        <f aca="false">IF(OR(C363="",ISNUMBER(C363)),"لا","نعم")</f>
        <v>لا</v>
      </c>
      <c r="P363" s="19" t="str">
        <f aca="false">IF(COUNTIF($B$2:B363,B363)&gt;1,"مكرر","فريد")</f>
        <v>فريد</v>
      </c>
      <c r="Q363" s="19" t="str">
        <f aca="false">IF(COUNTBLANK(D363:L363)&gt;0,"نعم","لا")</f>
        <v>لا</v>
      </c>
    </row>
    <row r="364" customFormat="false" ht="15" hidden="false" customHeight="false" outlineLevel="0" collapsed="false">
      <c r="A364" s="19" t="n">
        <v>363</v>
      </c>
      <c r="B364" s="30" t="s">
        <v>1159</v>
      </c>
      <c r="C364" s="44" t="n">
        <v>45620</v>
      </c>
      <c r="D364" s="30" t="s">
        <v>57</v>
      </c>
      <c r="E364" s="30" t="s">
        <v>109</v>
      </c>
      <c r="F364" s="30" t="s">
        <v>93</v>
      </c>
      <c r="G364" s="31" t="n">
        <v>239</v>
      </c>
      <c r="H364" s="19" t="n">
        <v>1</v>
      </c>
      <c r="I364" s="32" t="n">
        <v>0</v>
      </c>
      <c r="J364" s="30" t="s">
        <v>58</v>
      </c>
      <c r="K364" s="30" t="s">
        <v>51</v>
      </c>
      <c r="L364" s="30" t="s">
        <v>89</v>
      </c>
      <c r="M364" s="31" t="n">
        <f aca="false">AVERAGEIF($E$2:$E$1197,E364,$G$2:$G$1197)</f>
        <v>186.056291390729</v>
      </c>
      <c r="N364" s="19" t="str">
        <f aca="false">IF(G364&gt;M364*3,"نعم","لا")</f>
        <v>لا</v>
      </c>
      <c r="O364" s="19" t="str">
        <f aca="false">IF(OR(C364="",ISNUMBER(C364)),"لا","نعم")</f>
        <v>لا</v>
      </c>
      <c r="P364" s="19" t="str">
        <f aca="false">IF(COUNTIF($B$2:B364,B364)&gt;1,"مكرر","فريد")</f>
        <v>فريد</v>
      </c>
      <c r="Q364" s="19" t="str">
        <f aca="false">IF(COUNTBLANK(D364:L364)&gt;0,"نعم","لا")</f>
        <v>لا</v>
      </c>
    </row>
    <row r="365" customFormat="false" ht="15" hidden="false" customHeight="false" outlineLevel="0" collapsed="false">
      <c r="A365" s="19" t="n">
        <v>364</v>
      </c>
      <c r="B365" s="30" t="s">
        <v>1105</v>
      </c>
      <c r="C365" s="44" t="n">
        <v>45608</v>
      </c>
      <c r="D365" s="30" t="s">
        <v>50</v>
      </c>
      <c r="E365" s="30" t="s">
        <v>105</v>
      </c>
      <c r="F365" s="30" t="s">
        <v>90</v>
      </c>
      <c r="G365" s="31" t="n">
        <v>3079</v>
      </c>
      <c r="H365" s="19" t="n">
        <v>1</v>
      </c>
      <c r="I365" s="32" t="n">
        <v>0</v>
      </c>
      <c r="J365" s="30" t="s">
        <v>48</v>
      </c>
      <c r="K365" s="30" t="s">
        <v>47</v>
      </c>
      <c r="L365" s="30" t="s">
        <v>89</v>
      </c>
      <c r="M365" s="31" t="n">
        <f aca="false">AVERAGEIF($E$2:$E$1197,E365,$G$2:$G$1197)</f>
        <v>2870.26771653543</v>
      </c>
      <c r="N365" s="19" t="str">
        <f aca="false">IF(G365&gt;M365*3,"نعم","لا")</f>
        <v>لا</v>
      </c>
      <c r="O365" s="19" t="str">
        <f aca="false">IF(OR(C365="",ISNUMBER(C365)),"لا","نعم")</f>
        <v>لا</v>
      </c>
      <c r="P365" s="19" t="str">
        <f aca="false">IF(COUNTIF($B$2:B365,B365)&gt;1,"مكرر","فريد")</f>
        <v>فريد</v>
      </c>
      <c r="Q365" s="19" t="str">
        <f aca="false">IF(COUNTBLANK(D365:L365)&gt;0,"نعم","لا")</f>
        <v>لا</v>
      </c>
    </row>
    <row r="366" customFormat="false" ht="15" hidden="false" customHeight="false" outlineLevel="0" collapsed="false">
      <c r="A366" s="19" t="n">
        <v>365</v>
      </c>
      <c r="B366" s="30" t="s">
        <v>242</v>
      </c>
      <c r="C366" s="44" t="n">
        <v>45318</v>
      </c>
      <c r="D366" s="30" t="s">
        <v>54</v>
      </c>
      <c r="E366" s="30" t="s">
        <v>105</v>
      </c>
      <c r="F366" s="30" t="s">
        <v>85</v>
      </c>
      <c r="G366" s="31" t="n">
        <v>2309</v>
      </c>
      <c r="H366" s="19" t="n">
        <v>1</v>
      </c>
      <c r="I366" s="32" t="n">
        <v>0.1</v>
      </c>
      <c r="J366" s="30" t="s">
        <v>48</v>
      </c>
      <c r="K366" s="30" t="s">
        <v>47</v>
      </c>
      <c r="L366" s="30" t="s">
        <v>92</v>
      </c>
      <c r="M366" s="31" t="n">
        <f aca="false">AVERAGEIF($E$2:$E$1197,E366,$G$2:$G$1197)</f>
        <v>2870.26771653543</v>
      </c>
      <c r="N366" s="19" t="str">
        <f aca="false">IF(G366&gt;M366*3,"نعم","لا")</f>
        <v>لا</v>
      </c>
      <c r="O366" s="19" t="str">
        <f aca="false">IF(OR(C366="",ISNUMBER(C366)),"لا","نعم")</f>
        <v>لا</v>
      </c>
      <c r="P366" s="19" t="str">
        <f aca="false">IF(COUNTIF($B$2:B366,B366)&gt;1,"مكرر","فريد")</f>
        <v>فريد</v>
      </c>
      <c r="Q366" s="19" t="str">
        <f aca="false">IF(COUNTBLANK(D366:L366)&gt;0,"نعم","لا")</f>
        <v>لا</v>
      </c>
    </row>
    <row r="367" customFormat="false" ht="15" hidden="false" customHeight="false" outlineLevel="0" collapsed="false">
      <c r="A367" s="19" t="n">
        <v>366</v>
      </c>
      <c r="B367" s="30" t="s">
        <v>1142</v>
      </c>
      <c r="C367" s="44" t="n">
        <v>45616</v>
      </c>
      <c r="D367" s="30" t="s">
        <v>46</v>
      </c>
      <c r="E367" s="30" t="s">
        <v>105</v>
      </c>
      <c r="F367" s="30" t="s">
        <v>82</v>
      </c>
      <c r="G367" s="31" t="n">
        <v>2579</v>
      </c>
      <c r="H367" s="19" t="n">
        <v>1</v>
      </c>
      <c r="I367" s="32" t="n">
        <v>0</v>
      </c>
      <c r="J367" s="30" t="s">
        <v>48</v>
      </c>
      <c r="K367" s="30" t="s">
        <v>47</v>
      </c>
      <c r="L367" s="30" t="s">
        <v>89</v>
      </c>
      <c r="M367" s="31" t="n">
        <f aca="false">AVERAGEIF($E$2:$E$1197,E367,$G$2:$G$1197)</f>
        <v>2870.26771653543</v>
      </c>
      <c r="N367" s="19" t="str">
        <f aca="false">IF(G367&gt;M367*3,"نعم","لا")</f>
        <v>لا</v>
      </c>
      <c r="O367" s="19" t="str">
        <f aca="false">IF(OR(C367="",ISNUMBER(C367)),"لا","نعم")</f>
        <v>لا</v>
      </c>
      <c r="P367" s="19" t="str">
        <f aca="false">IF(COUNTIF($B$2:B367,B367)&gt;1,"مكرر","فريد")</f>
        <v>فريد</v>
      </c>
      <c r="Q367" s="19" t="str">
        <f aca="false">IF(COUNTBLANK(D367:L367)&gt;0,"نعم","لا")</f>
        <v>لا</v>
      </c>
    </row>
    <row r="368" customFormat="false" ht="15" hidden="false" customHeight="false" outlineLevel="0" collapsed="false">
      <c r="A368" s="19" t="n">
        <v>367</v>
      </c>
      <c r="B368" s="30" t="s">
        <v>891</v>
      </c>
      <c r="C368" s="44" t="n">
        <v>45542</v>
      </c>
      <c r="D368" s="30" t="s">
        <v>46</v>
      </c>
      <c r="E368" s="30" t="s">
        <v>109</v>
      </c>
      <c r="F368" s="30" t="s">
        <v>192</v>
      </c>
      <c r="G368" s="31" t="n">
        <v>189</v>
      </c>
      <c r="H368" s="19" t="n">
        <v>1</v>
      </c>
      <c r="I368" s="32" t="n">
        <v>0</v>
      </c>
      <c r="J368" s="30" t="s">
        <v>48</v>
      </c>
      <c r="K368" s="30" t="s">
        <v>47</v>
      </c>
      <c r="L368" s="30" t="s">
        <v>81</v>
      </c>
      <c r="M368" s="31" t="n">
        <f aca="false">AVERAGEIF($E$2:$E$1197,E368,$G$2:$G$1197)</f>
        <v>186.056291390729</v>
      </c>
      <c r="N368" s="19" t="str">
        <f aca="false">IF(G368&gt;M368*3,"نعم","لا")</f>
        <v>لا</v>
      </c>
      <c r="O368" s="19" t="str">
        <f aca="false">IF(OR(C368="",ISNUMBER(C368)),"لا","نعم")</f>
        <v>لا</v>
      </c>
      <c r="P368" s="19" t="str">
        <f aca="false">IF(COUNTIF($B$2:B368,B368)&gt;1,"مكرر","فريد")</f>
        <v>فريد</v>
      </c>
      <c r="Q368" s="19" t="str">
        <f aca="false">IF(COUNTBLANK(D368:L368)&gt;0,"نعم","لا")</f>
        <v>لا</v>
      </c>
    </row>
    <row r="369" customFormat="false" ht="15" hidden="false" customHeight="false" outlineLevel="0" collapsed="false">
      <c r="A369" s="19" t="n">
        <v>368</v>
      </c>
      <c r="B369" s="30" t="s">
        <v>1150</v>
      </c>
      <c r="C369" s="44" t="n">
        <v>45618</v>
      </c>
      <c r="D369" s="30" t="s">
        <v>1337</v>
      </c>
      <c r="E369" s="30" t="s">
        <v>113</v>
      </c>
      <c r="F369" s="30" t="s">
        <v>100</v>
      </c>
      <c r="G369" s="31" t="n">
        <v>469</v>
      </c>
      <c r="H369" s="19"/>
      <c r="I369" s="32" t="n">
        <v>0</v>
      </c>
      <c r="J369" s="30" t="s">
        <v>52</v>
      </c>
      <c r="K369" s="30" t="s">
        <v>47</v>
      </c>
      <c r="L369" s="30" t="s">
        <v>86</v>
      </c>
      <c r="M369" s="31" t="n">
        <f aca="false">AVERAGEIF($E$2:$E$1197,E369,$G$2:$G$1197)</f>
        <v>545.358823529412</v>
      </c>
      <c r="N369" s="19" t="str">
        <f aca="false">IF(G369&gt;M369*3,"نعم","لا")</f>
        <v>لا</v>
      </c>
      <c r="O369" s="19" t="str">
        <f aca="false">IF(OR(C369="",ISNUMBER(C369)),"لا","نعم")</f>
        <v>لا</v>
      </c>
      <c r="P369" s="19" t="str">
        <f aca="false">IF(COUNTIF($B$2:B369,B369)&gt;1,"مكرر","فريد")</f>
        <v>فريد</v>
      </c>
      <c r="Q369" s="19" t="str">
        <f aca="false">IF(COUNTBLANK(D369:L369)&gt;0,"نعم","لا")</f>
        <v>نعم</v>
      </c>
    </row>
    <row r="370" customFormat="false" ht="15" hidden="false" customHeight="false" outlineLevel="0" collapsed="false">
      <c r="A370" s="19" t="n">
        <v>369</v>
      </c>
      <c r="B370" s="30" t="s">
        <v>834</v>
      </c>
      <c r="C370" s="44" t="n">
        <v>45525</v>
      </c>
      <c r="D370" s="30" t="s">
        <v>50</v>
      </c>
      <c r="E370" s="30" t="s">
        <v>105</v>
      </c>
      <c r="F370" s="30" t="s">
        <v>82</v>
      </c>
      <c r="G370" s="31" t="n">
        <v>819</v>
      </c>
      <c r="H370" s="19" t="n">
        <v>1</v>
      </c>
      <c r="I370" s="32" t="n">
        <v>0.1</v>
      </c>
      <c r="J370" s="30" t="s">
        <v>48</v>
      </c>
      <c r="K370" s="30" t="s">
        <v>47</v>
      </c>
      <c r="L370" s="30" t="s">
        <v>96</v>
      </c>
      <c r="M370" s="31" t="n">
        <f aca="false">AVERAGEIF($E$2:$E$1197,E370,$G$2:$G$1197)</f>
        <v>2870.26771653543</v>
      </c>
      <c r="N370" s="19" t="str">
        <f aca="false">IF(G370&gt;M370*3,"نعم","لا")</f>
        <v>لا</v>
      </c>
      <c r="O370" s="19" t="str">
        <f aca="false">IF(OR(C370="",ISNUMBER(C370)),"لا","نعم")</f>
        <v>لا</v>
      </c>
      <c r="P370" s="19" t="str">
        <f aca="false">IF(COUNTIF($B$2:B370,B370)&gt;1,"مكرر","فريد")</f>
        <v>فريد</v>
      </c>
      <c r="Q370" s="19" t="str">
        <f aca="false">IF(COUNTBLANK(D370:L370)&gt;0,"نعم","لا")</f>
        <v>لا</v>
      </c>
    </row>
    <row r="371" customFormat="false" ht="15" hidden="false" customHeight="false" outlineLevel="0" collapsed="false">
      <c r="A371" s="19" t="n">
        <v>370</v>
      </c>
      <c r="B371" s="30" t="s">
        <v>1034</v>
      </c>
      <c r="C371" s="44" t="n">
        <v>45593</v>
      </c>
      <c r="D371" s="30" t="s">
        <v>50</v>
      </c>
      <c r="E371" s="30" t="s">
        <v>107</v>
      </c>
      <c r="F371" s="30" t="s">
        <v>184</v>
      </c>
      <c r="G371" s="31" t="n">
        <v>6969</v>
      </c>
      <c r="H371" s="19" t="n">
        <v>1</v>
      </c>
      <c r="I371" s="32" t="n">
        <v>0</v>
      </c>
      <c r="J371" s="30" t="s">
        <v>52</v>
      </c>
      <c r="K371" s="30" t="s">
        <v>47</v>
      </c>
      <c r="L371" s="30" t="s">
        <v>86</v>
      </c>
      <c r="M371" s="31" t="n">
        <f aca="false">AVERAGEIF($E$2:$E$1197,E371,$G$2:$G$1197)</f>
        <v>4981.14563106796</v>
      </c>
      <c r="N371" s="19" t="str">
        <f aca="false">IF(G371&gt;M371*3,"نعم","لا")</f>
        <v>لا</v>
      </c>
      <c r="O371" s="19" t="str">
        <f aca="false">IF(OR(C371="",ISNUMBER(C371)),"لا","نعم")</f>
        <v>لا</v>
      </c>
      <c r="P371" s="19" t="str">
        <f aca="false">IF(COUNTIF($B$2:B371,B371)&gt;1,"مكرر","فريد")</f>
        <v>فريد</v>
      </c>
      <c r="Q371" s="19" t="str">
        <f aca="false">IF(COUNTBLANK(D371:L371)&gt;0,"نعم","لا")</f>
        <v>لا</v>
      </c>
    </row>
    <row r="372" customFormat="false" ht="15" hidden="false" customHeight="false" outlineLevel="0" collapsed="false">
      <c r="A372" s="19" t="n">
        <v>371</v>
      </c>
      <c r="B372" s="30" t="s">
        <v>1143</v>
      </c>
      <c r="C372" s="44" t="n">
        <v>45616</v>
      </c>
      <c r="D372" s="30" t="s">
        <v>57</v>
      </c>
      <c r="E372" s="30" t="s">
        <v>107</v>
      </c>
      <c r="F372" s="30" t="s">
        <v>115</v>
      </c>
      <c r="G372" s="31" t="n">
        <v>6519</v>
      </c>
      <c r="H372" s="19" t="n">
        <v>1</v>
      </c>
      <c r="I372" s="32" t="n">
        <v>0</v>
      </c>
      <c r="J372" s="30" t="s">
        <v>48</v>
      </c>
      <c r="K372" s="30" t="s">
        <v>47</v>
      </c>
      <c r="L372" s="30" t="s">
        <v>86</v>
      </c>
      <c r="M372" s="31" t="n">
        <f aca="false">AVERAGEIF($E$2:$E$1197,E372,$G$2:$G$1197)</f>
        <v>4981.14563106796</v>
      </c>
      <c r="N372" s="19" t="str">
        <f aca="false">IF(G372&gt;M372*3,"نعم","لا")</f>
        <v>لا</v>
      </c>
      <c r="O372" s="19" t="str">
        <f aca="false">IF(OR(C372="",ISNUMBER(C372)),"لا","نعم")</f>
        <v>لا</v>
      </c>
      <c r="P372" s="19" t="str">
        <f aca="false">IF(COUNTIF($B$2:B372,B372)&gt;1,"مكرر","فريد")</f>
        <v>فريد</v>
      </c>
      <c r="Q372" s="19" t="str">
        <f aca="false">IF(COUNTBLANK(D372:L372)&gt;0,"نعم","لا")</f>
        <v>لا</v>
      </c>
    </row>
    <row r="373" customFormat="false" ht="15" hidden="false" customHeight="false" outlineLevel="0" collapsed="false">
      <c r="A373" s="19" t="n">
        <v>372</v>
      </c>
      <c r="B373" s="30" t="s">
        <v>708</v>
      </c>
      <c r="C373" s="44" t="n">
        <v>45488</v>
      </c>
      <c r="D373" s="30" t="s">
        <v>50</v>
      </c>
      <c r="E373" s="30" t="s">
        <v>105</v>
      </c>
      <c r="F373" s="30" t="s">
        <v>85</v>
      </c>
      <c r="G373" s="31" t="n">
        <v>1939</v>
      </c>
      <c r="H373" s="19" t="n">
        <v>3</v>
      </c>
      <c r="I373" s="32" t="n">
        <v>0</v>
      </c>
      <c r="J373" s="30" t="s">
        <v>52</v>
      </c>
      <c r="K373" s="30" t="s">
        <v>51</v>
      </c>
      <c r="L373" s="30" t="s">
        <v>81</v>
      </c>
      <c r="M373" s="31" t="n">
        <f aca="false">AVERAGEIF($E$2:$E$1197,E373,$G$2:$G$1197)</f>
        <v>2870.26771653543</v>
      </c>
      <c r="N373" s="19" t="str">
        <f aca="false">IF(G373&gt;M373*3,"نعم","لا")</f>
        <v>لا</v>
      </c>
      <c r="O373" s="19" t="str">
        <f aca="false">IF(OR(C373="",ISNUMBER(C373)),"لا","نعم")</f>
        <v>لا</v>
      </c>
      <c r="P373" s="19" t="str">
        <f aca="false">IF(COUNTIF($B$2:B373,B373)&gt;1,"مكرر","فريد")</f>
        <v>فريد</v>
      </c>
      <c r="Q373" s="19" t="str">
        <f aca="false">IF(COUNTBLANK(D373:L373)&gt;0,"نعم","لا")</f>
        <v>لا</v>
      </c>
    </row>
    <row r="374" customFormat="false" ht="15" hidden="false" customHeight="false" outlineLevel="0" collapsed="false">
      <c r="A374" s="19" t="n">
        <v>373</v>
      </c>
      <c r="B374" s="30" t="s">
        <v>718</v>
      </c>
      <c r="C374" s="44" t="n">
        <v>45492</v>
      </c>
      <c r="D374" s="30" t="s">
        <v>46</v>
      </c>
      <c r="E374" s="30" t="s">
        <v>109</v>
      </c>
      <c r="F374" s="30" t="s">
        <v>1399</v>
      </c>
      <c r="G374" s="31" t="n">
        <v>229</v>
      </c>
      <c r="H374" s="19" t="n">
        <v>2</v>
      </c>
      <c r="I374" s="32" t="n">
        <v>0</v>
      </c>
      <c r="J374" s="30" t="s">
        <v>55</v>
      </c>
      <c r="K374" s="30" t="s">
        <v>47</v>
      </c>
      <c r="L374" s="30" t="s">
        <v>99</v>
      </c>
      <c r="M374" s="31" t="n">
        <f aca="false">AVERAGEIF($E$2:$E$1197,E374,$G$2:$G$1197)</f>
        <v>186.056291390729</v>
      </c>
      <c r="N374" s="19" t="str">
        <f aca="false">IF(G374&gt;M374*3,"نعم","لا")</f>
        <v>لا</v>
      </c>
      <c r="O374" s="19" t="str">
        <f aca="false">IF(OR(C374="",ISNUMBER(C374)),"لا","نعم")</f>
        <v>لا</v>
      </c>
      <c r="P374" s="19" t="str">
        <f aca="false">IF(COUNTIF($B$2:B374,B374)&gt;1,"مكرر","فريد")</f>
        <v>فريد</v>
      </c>
      <c r="Q374" s="19" t="str">
        <f aca="false">IF(COUNTBLANK(D374:L374)&gt;0,"نعم","لا")</f>
        <v>لا</v>
      </c>
    </row>
    <row r="375" customFormat="false" ht="15" hidden="false" customHeight="false" outlineLevel="0" collapsed="false">
      <c r="A375" s="19" t="n">
        <v>374</v>
      </c>
      <c r="B375" s="30" t="s">
        <v>585</v>
      </c>
      <c r="C375" s="44" t="n">
        <v>45445</v>
      </c>
      <c r="D375" s="30" t="s">
        <v>46</v>
      </c>
      <c r="E375" s="30" t="s">
        <v>109</v>
      </c>
      <c r="F375" s="30" t="s">
        <v>175</v>
      </c>
      <c r="G375" s="31" t="n">
        <v>189</v>
      </c>
      <c r="H375" s="19" t="n">
        <v>1</v>
      </c>
      <c r="I375" s="32" t="n">
        <v>0</v>
      </c>
      <c r="J375" s="30" t="s">
        <v>48</v>
      </c>
      <c r="K375" s="30" t="s">
        <v>47</v>
      </c>
      <c r="L375" s="30" t="s">
        <v>86</v>
      </c>
      <c r="M375" s="31" t="n">
        <f aca="false">AVERAGEIF($E$2:$E$1197,E375,$G$2:$G$1197)</f>
        <v>186.056291390729</v>
      </c>
      <c r="N375" s="19" t="str">
        <f aca="false">IF(G375&gt;M375*3,"نعم","لا")</f>
        <v>لا</v>
      </c>
      <c r="O375" s="19" t="str">
        <f aca="false">IF(OR(C375="",ISNUMBER(C375)),"لا","نعم")</f>
        <v>لا</v>
      </c>
      <c r="P375" s="19" t="str">
        <f aca="false">IF(COUNTIF($B$2:B375,B375)&gt;1,"مكرر","فريد")</f>
        <v>فريد</v>
      </c>
      <c r="Q375" s="19" t="str">
        <f aca="false">IF(COUNTBLANK(D375:L375)&gt;0,"نعم","لا")</f>
        <v>لا</v>
      </c>
    </row>
    <row r="376" customFormat="false" ht="15" hidden="false" customHeight="false" outlineLevel="0" collapsed="false">
      <c r="A376" s="19" t="n">
        <v>375</v>
      </c>
      <c r="B376" s="30" t="s">
        <v>646</v>
      </c>
      <c r="C376" s="30" t="s">
        <v>1400</v>
      </c>
      <c r="D376" s="30" t="s">
        <v>46</v>
      </c>
      <c r="E376" s="30" t="s">
        <v>109</v>
      </c>
      <c r="F376" s="30" t="s">
        <v>192</v>
      </c>
      <c r="G376" s="31" t="n">
        <v>249</v>
      </c>
      <c r="H376" s="19" t="n">
        <v>2</v>
      </c>
      <c r="I376" s="32" t="n">
        <v>0</v>
      </c>
      <c r="J376" s="30" t="s">
        <v>48</v>
      </c>
      <c r="K376" s="30" t="s">
        <v>47</v>
      </c>
      <c r="L376" s="30" t="s">
        <v>81</v>
      </c>
      <c r="M376" s="31" t="n">
        <f aca="false">AVERAGEIF($E$2:$E$1197,E376,$G$2:$G$1197)</f>
        <v>186.056291390729</v>
      </c>
      <c r="N376" s="19" t="str">
        <f aca="false">IF(G376&gt;M376*3,"نعم","لا")</f>
        <v>لا</v>
      </c>
      <c r="O376" s="19" t="str">
        <f aca="false">IF(OR(C376="",ISNUMBER(C376)),"لا","نعم")</f>
        <v>نعم</v>
      </c>
      <c r="P376" s="19" t="str">
        <f aca="false">IF(COUNTIF($B$2:B376,B376)&gt;1,"مكرر","فريد")</f>
        <v>فريد</v>
      </c>
      <c r="Q376" s="19" t="str">
        <f aca="false">IF(COUNTBLANK(D376:L376)&gt;0,"نعم","لا")</f>
        <v>لا</v>
      </c>
    </row>
    <row r="377" customFormat="false" ht="15" hidden="false" customHeight="false" outlineLevel="0" collapsed="false">
      <c r="A377" s="19" t="n">
        <v>376</v>
      </c>
      <c r="B377" s="30" t="s">
        <v>1169</v>
      </c>
      <c r="C377" s="30" t="s">
        <v>1401</v>
      </c>
      <c r="D377" s="30" t="s">
        <v>46</v>
      </c>
      <c r="E377" s="30" t="s">
        <v>111</v>
      </c>
      <c r="F377" s="30" t="s">
        <v>120</v>
      </c>
      <c r="G377" s="31" t="n">
        <v>329</v>
      </c>
      <c r="H377" s="19" t="n">
        <v>1</v>
      </c>
      <c r="I377" s="32" t="n">
        <v>0.1</v>
      </c>
      <c r="J377" s="30" t="s">
        <v>48</v>
      </c>
      <c r="K377" s="30" t="s">
        <v>47</v>
      </c>
      <c r="L377" s="30" t="s">
        <v>78</v>
      </c>
      <c r="M377" s="31" t="n">
        <f aca="false">AVERAGEIF($E$2:$E$1197,E377,$G$2:$G$1197)</f>
        <v>366.306569343066</v>
      </c>
      <c r="N377" s="19" t="str">
        <f aca="false">IF(G377&gt;M377*3,"نعم","لا")</f>
        <v>لا</v>
      </c>
      <c r="O377" s="19" t="str">
        <f aca="false">IF(OR(C377="",ISNUMBER(C377)),"لا","نعم")</f>
        <v>نعم</v>
      </c>
      <c r="P377" s="19" t="str">
        <f aca="false">IF(COUNTIF($B$2:B377,B377)&gt;1,"مكرر","فريد")</f>
        <v>فريد</v>
      </c>
      <c r="Q377" s="19" t="str">
        <f aca="false">IF(COUNTBLANK(D377:L377)&gt;0,"نعم","لا")</f>
        <v>لا</v>
      </c>
    </row>
    <row r="378" customFormat="false" ht="15" hidden="false" customHeight="false" outlineLevel="0" collapsed="false">
      <c r="A378" s="19" t="n">
        <v>377</v>
      </c>
      <c r="B378" s="30" t="s">
        <v>1065</v>
      </c>
      <c r="C378" s="44" t="n">
        <v>45600</v>
      </c>
      <c r="D378" s="30" t="s">
        <v>60</v>
      </c>
      <c r="E378" s="30" t="s">
        <v>107</v>
      </c>
      <c r="F378" s="30" t="s">
        <v>272</v>
      </c>
      <c r="G378" s="31" t="n">
        <v>6169</v>
      </c>
      <c r="H378" s="19" t="n">
        <v>1</v>
      </c>
      <c r="I378" s="32" t="n">
        <v>0.05</v>
      </c>
      <c r="J378" s="30" t="s">
        <v>55</v>
      </c>
      <c r="K378" s="30" t="s">
        <v>47</v>
      </c>
      <c r="L378" s="30" t="s">
        <v>81</v>
      </c>
      <c r="M378" s="31" t="n">
        <f aca="false">AVERAGEIF($E$2:$E$1197,E378,$G$2:$G$1197)</f>
        <v>4981.14563106796</v>
      </c>
      <c r="N378" s="19" t="str">
        <f aca="false">IF(G378&gt;M378*3,"نعم","لا")</f>
        <v>لا</v>
      </c>
      <c r="O378" s="19" t="str">
        <f aca="false">IF(OR(C378="",ISNUMBER(C378)),"لا","نعم")</f>
        <v>لا</v>
      </c>
      <c r="P378" s="19" t="str">
        <f aca="false">IF(COUNTIF($B$2:B378,B378)&gt;1,"مكرر","فريد")</f>
        <v>فريد</v>
      </c>
      <c r="Q378" s="19" t="str">
        <f aca="false">IF(COUNTBLANK(D378:L378)&gt;0,"نعم","لا")</f>
        <v>لا</v>
      </c>
    </row>
    <row r="379" customFormat="false" ht="15" hidden="false" customHeight="false" outlineLevel="0" collapsed="false">
      <c r="A379" s="19" t="n">
        <v>378</v>
      </c>
      <c r="B379" s="30" t="s">
        <v>483</v>
      </c>
      <c r="C379" s="44" t="n">
        <v>45406</v>
      </c>
      <c r="D379" s="30" t="s">
        <v>54</v>
      </c>
      <c r="E379" s="30" t="s">
        <v>105</v>
      </c>
      <c r="F379" s="30" t="s">
        <v>90</v>
      </c>
      <c r="G379" s="31" t="n">
        <v>939</v>
      </c>
      <c r="H379" s="19" t="n">
        <v>3</v>
      </c>
      <c r="I379" s="32" t="n">
        <v>0</v>
      </c>
      <c r="J379" s="30" t="s">
        <v>52</v>
      </c>
      <c r="K379" s="30" t="s">
        <v>51</v>
      </c>
      <c r="L379" s="30" t="s">
        <v>92</v>
      </c>
      <c r="M379" s="31" t="n">
        <f aca="false">AVERAGEIF($E$2:$E$1197,E379,$G$2:$G$1197)</f>
        <v>2870.26771653543</v>
      </c>
      <c r="N379" s="19" t="str">
        <f aca="false">IF(G379&gt;M379*3,"نعم","لا")</f>
        <v>لا</v>
      </c>
      <c r="O379" s="19" t="str">
        <f aca="false">IF(OR(C379="",ISNUMBER(C379)),"لا","نعم")</f>
        <v>لا</v>
      </c>
      <c r="P379" s="19" t="str">
        <f aca="false">IF(COUNTIF($B$2:B379,B379)&gt;1,"مكرر","فريد")</f>
        <v>فريد</v>
      </c>
      <c r="Q379" s="19" t="str">
        <f aca="false">IF(COUNTBLANK(D379:L379)&gt;0,"نعم","لا")</f>
        <v>لا</v>
      </c>
    </row>
    <row r="380" customFormat="false" ht="15" hidden="false" customHeight="false" outlineLevel="0" collapsed="false">
      <c r="A380" s="19" t="n">
        <v>379</v>
      </c>
      <c r="B380" s="30" t="s">
        <v>771</v>
      </c>
      <c r="C380" s="44" t="n">
        <v>45509</v>
      </c>
      <c r="D380" s="30" t="s">
        <v>50</v>
      </c>
      <c r="E380" s="30" t="s">
        <v>109</v>
      </c>
      <c r="F380" s="30" t="s">
        <v>93</v>
      </c>
      <c r="G380" s="31" t="n">
        <v>259</v>
      </c>
      <c r="H380" s="19" t="n">
        <v>2</v>
      </c>
      <c r="I380" s="32" t="n">
        <v>0</v>
      </c>
      <c r="J380" s="30" t="s">
        <v>48</v>
      </c>
      <c r="K380" s="30" t="s">
        <v>47</v>
      </c>
      <c r="L380" s="30" t="s">
        <v>81</v>
      </c>
      <c r="M380" s="31" t="n">
        <f aca="false">AVERAGEIF($E$2:$E$1197,E380,$G$2:$G$1197)</f>
        <v>186.056291390729</v>
      </c>
      <c r="N380" s="19" t="str">
        <f aca="false">IF(G380&gt;M380*3,"نعم","لا")</f>
        <v>لا</v>
      </c>
      <c r="O380" s="19" t="str">
        <f aca="false">IF(OR(C380="",ISNUMBER(C380)),"لا","نعم")</f>
        <v>لا</v>
      </c>
      <c r="P380" s="19" t="str">
        <f aca="false">IF(COUNTIF($B$2:B380,B380)&gt;1,"مكرر","فريد")</f>
        <v>فريد</v>
      </c>
      <c r="Q380" s="19" t="str">
        <f aca="false">IF(COUNTBLANK(D380:L380)&gt;0,"نعم","لا")</f>
        <v>لا</v>
      </c>
    </row>
    <row r="381" customFormat="false" ht="15" hidden="false" customHeight="false" outlineLevel="0" collapsed="false">
      <c r="A381" s="19" t="n">
        <v>380</v>
      </c>
      <c r="B381" s="30" t="s">
        <v>970</v>
      </c>
      <c r="C381" s="44" t="n">
        <v>45570</v>
      </c>
      <c r="D381" s="30" t="s">
        <v>57</v>
      </c>
      <c r="E381" s="30" t="s">
        <v>105</v>
      </c>
      <c r="F381" s="30" t="s">
        <v>179</v>
      </c>
      <c r="G381" s="31" t="n">
        <v>3759</v>
      </c>
      <c r="H381" s="19" t="n">
        <v>1</v>
      </c>
      <c r="I381" s="32" t="n">
        <v>0</v>
      </c>
      <c r="J381" s="30" t="s">
        <v>55</v>
      </c>
      <c r="K381" s="30" t="s">
        <v>47</v>
      </c>
      <c r="L381" s="30" t="s">
        <v>84</v>
      </c>
      <c r="M381" s="31" t="n">
        <f aca="false">AVERAGEIF($E$2:$E$1197,E381,$G$2:$G$1197)</f>
        <v>2870.26771653543</v>
      </c>
      <c r="N381" s="19" t="str">
        <f aca="false">IF(G381&gt;M381*3,"نعم","لا")</f>
        <v>لا</v>
      </c>
      <c r="O381" s="19" t="str">
        <f aca="false">IF(OR(C381="",ISNUMBER(C381)),"لا","نعم")</f>
        <v>لا</v>
      </c>
      <c r="P381" s="19" t="str">
        <f aca="false">IF(COUNTIF($B$2:B381,B381)&gt;1,"مكرر","فريد")</f>
        <v>فريد</v>
      </c>
      <c r="Q381" s="19" t="str">
        <f aca="false">IF(COUNTBLANK(D381:L381)&gt;0,"نعم","لا")</f>
        <v>لا</v>
      </c>
    </row>
    <row r="382" customFormat="false" ht="15" hidden="false" customHeight="false" outlineLevel="0" collapsed="false">
      <c r="A382" s="19" t="n">
        <v>381</v>
      </c>
      <c r="B382" s="30" t="s">
        <v>957</v>
      </c>
      <c r="C382" s="44" t="n">
        <v>45567</v>
      </c>
      <c r="D382" s="30" t="s">
        <v>46</v>
      </c>
      <c r="E382" s="30" t="s">
        <v>111</v>
      </c>
      <c r="F382" s="30" t="s">
        <v>122</v>
      </c>
      <c r="G382" s="31" t="n">
        <v>389</v>
      </c>
      <c r="H382" s="19" t="n">
        <v>1</v>
      </c>
      <c r="I382" s="32" t="n">
        <v>0</v>
      </c>
      <c r="J382" s="30" t="s">
        <v>52</v>
      </c>
      <c r="K382" s="30" t="s">
        <v>51</v>
      </c>
      <c r="L382" s="30" t="s">
        <v>94</v>
      </c>
      <c r="M382" s="31" t="n">
        <f aca="false">AVERAGEIF($E$2:$E$1197,E382,$G$2:$G$1197)</f>
        <v>366.306569343066</v>
      </c>
      <c r="N382" s="19" t="str">
        <f aca="false">IF(G382&gt;M382*3,"نعم","لا")</f>
        <v>لا</v>
      </c>
      <c r="O382" s="19" t="str">
        <f aca="false">IF(OR(C382="",ISNUMBER(C382)),"لا","نعم")</f>
        <v>لا</v>
      </c>
      <c r="P382" s="19" t="str">
        <f aca="false">IF(COUNTIF($B$2:B382,B382)&gt;1,"مكرر","فريد")</f>
        <v>فريد</v>
      </c>
      <c r="Q382" s="19" t="str">
        <f aca="false">IF(COUNTBLANK(D382:L382)&gt;0,"نعم","لا")</f>
        <v>لا</v>
      </c>
    </row>
    <row r="383" customFormat="false" ht="15" hidden="false" customHeight="false" outlineLevel="0" collapsed="false">
      <c r="A383" s="19" t="n">
        <v>382</v>
      </c>
      <c r="B383" s="30" t="s">
        <v>831</v>
      </c>
      <c r="C383" s="44" t="n">
        <v>45524</v>
      </c>
      <c r="D383" s="30" t="s">
        <v>60</v>
      </c>
      <c r="E383" s="30" t="s">
        <v>105</v>
      </c>
      <c r="F383" s="30" t="s">
        <v>179</v>
      </c>
      <c r="G383" s="31" t="n">
        <v>1519</v>
      </c>
      <c r="H383" s="19" t="n">
        <v>1</v>
      </c>
      <c r="I383" s="32" t="n">
        <v>0</v>
      </c>
      <c r="J383" s="30" t="s">
        <v>1343</v>
      </c>
      <c r="K383" s="30" t="s">
        <v>47</v>
      </c>
      <c r="L383" s="30" t="s">
        <v>92</v>
      </c>
      <c r="M383" s="31" t="n">
        <f aca="false">AVERAGEIF($E$2:$E$1197,E383,$G$2:$G$1197)</f>
        <v>2870.26771653543</v>
      </c>
      <c r="N383" s="19" t="str">
        <f aca="false">IF(G383&gt;M383*3,"نعم","لا")</f>
        <v>لا</v>
      </c>
      <c r="O383" s="19" t="str">
        <f aca="false">IF(OR(C383="",ISNUMBER(C383)),"لا","نعم")</f>
        <v>لا</v>
      </c>
      <c r="P383" s="19" t="str">
        <f aca="false">IF(COUNTIF($B$2:B383,B383)&gt;1,"مكرر","فريد")</f>
        <v>فريد</v>
      </c>
      <c r="Q383" s="19" t="str">
        <f aca="false">IF(COUNTBLANK(D383:L383)&gt;0,"نعم","لا")</f>
        <v>لا</v>
      </c>
    </row>
    <row r="384" customFormat="false" ht="15" hidden="false" customHeight="false" outlineLevel="0" collapsed="false">
      <c r="A384" s="19" t="n">
        <v>383</v>
      </c>
      <c r="B384" s="30" t="s">
        <v>582</v>
      </c>
      <c r="C384" s="44" t="n">
        <v>45445</v>
      </c>
      <c r="D384" s="30" t="s">
        <v>50</v>
      </c>
      <c r="E384" s="30" t="s">
        <v>111</v>
      </c>
      <c r="F384" s="30" t="s">
        <v>120</v>
      </c>
      <c r="G384" s="31" t="n">
        <v>249</v>
      </c>
      <c r="H384" s="19" t="n">
        <v>1</v>
      </c>
      <c r="I384" s="32" t="n">
        <v>0</v>
      </c>
      <c r="J384" s="30" t="s">
        <v>48</v>
      </c>
      <c r="K384" s="30" t="s">
        <v>47</v>
      </c>
      <c r="L384" s="30" t="s">
        <v>92</v>
      </c>
      <c r="M384" s="31" t="n">
        <f aca="false">AVERAGEIF($E$2:$E$1197,E384,$G$2:$G$1197)</f>
        <v>366.306569343066</v>
      </c>
      <c r="N384" s="19" t="str">
        <f aca="false">IF(G384&gt;M384*3,"نعم","لا")</f>
        <v>لا</v>
      </c>
      <c r="O384" s="19" t="str">
        <f aca="false">IF(OR(C384="",ISNUMBER(C384)),"لا","نعم")</f>
        <v>لا</v>
      </c>
      <c r="P384" s="19" t="str">
        <f aca="false">IF(COUNTIF($B$2:B384,B384)&gt;1,"مكرر","فريد")</f>
        <v>مكرر</v>
      </c>
      <c r="Q384" s="19" t="str">
        <f aca="false">IF(COUNTBLANK(D384:L384)&gt;0,"نعم","لا")</f>
        <v>لا</v>
      </c>
    </row>
    <row r="385" customFormat="false" ht="15" hidden="false" customHeight="false" outlineLevel="0" collapsed="false">
      <c r="A385" s="19" t="n">
        <v>384</v>
      </c>
      <c r="B385" s="30" t="s">
        <v>698</v>
      </c>
      <c r="C385" s="44" t="n">
        <v>45486</v>
      </c>
      <c r="D385" s="30" t="s">
        <v>50</v>
      </c>
      <c r="E385" s="30" t="s">
        <v>105</v>
      </c>
      <c r="F385" s="30" t="s">
        <v>85</v>
      </c>
      <c r="G385" s="31" t="n">
        <v>3809</v>
      </c>
      <c r="H385" s="19" t="n">
        <v>1</v>
      </c>
      <c r="I385" s="32" t="n">
        <v>0.1</v>
      </c>
      <c r="J385" s="30" t="s">
        <v>58</v>
      </c>
      <c r="K385" s="30" t="s">
        <v>47</v>
      </c>
      <c r="L385" s="30" t="s">
        <v>81</v>
      </c>
      <c r="M385" s="31" t="n">
        <f aca="false">AVERAGEIF($E$2:$E$1197,E385,$G$2:$G$1197)</f>
        <v>2870.26771653543</v>
      </c>
      <c r="N385" s="19" t="str">
        <f aca="false">IF(G385&gt;M385*3,"نعم","لا")</f>
        <v>لا</v>
      </c>
      <c r="O385" s="19" t="str">
        <f aca="false">IF(OR(C385="",ISNUMBER(C385)),"لا","نعم")</f>
        <v>لا</v>
      </c>
      <c r="P385" s="19" t="str">
        <f aca="false">IF(COUNTIF($B$2:B385,B385)&gt;1,"مكرر","فريد")</f>
        <v>فريد</v>
      </c>
      <c r="Q385" s="19" t="str">
        <f aca="false">IF(COUNTBLANK(D385:L385)&gt;0,"نعم","لا")</f>
        <v>لا</v>
      </c>
    </row>
    <row r="386" customFormat="false" ht="15" hidden="false" customHeight="false" outlineLevel="0" collapsed="false">
      <c r="A386" s="19" t="n">
        <v>385</v>
      </c>
      <c r="B386" s="30" t="s">
        <v>232</v>
      </c>
      <c r="C386" s="44" t="n">
        <v>45313</v>
      </c>
      <c r="D386" s="30" t="s">
        <v>46</v>
      </c>
      <c r="E386" s="30" t="s">
        <v>109</v>
      </c>
      <c r="F386" s="30" t="s">
        <v>175</v>
      </c>
      <c r="G386" s="31" t="n">
        <v>269</v>
      </c>
      <c r="H386" s="19" t="n">
        <v>2</v>
      </c>
      <c r="I386" s="32"/>
      <c r="J386" s="30" t="s">
        <v>48</v>
      </c>
      <c r="K386" s="30" t="s">
        <v>47</v>
      </c>
      <c r="L386" s="30" t="s">
        <v>84</v>
      </c>
      <c r="M386" s="31" t="n">
        <f aca="false">AVERAGEIF($E$2:$E$1197,E386,$G$2:$G$1197)</f>
        <v>186.056291390729</v>
      </c>
      <c r="N386" s="19" t="str">
        <f aca="false">IF(G386&gt;M386*3,"نعم","لا")</f>
        <v>لا</v>
      </c>
      <c r="O386" s="19" t="str">
        <f aca="false">IF(OR(C386="",ISNUMBER(C386)),"لا","نعم")</f>
        <v>لا</v>
      </c>
      <c r="P386" s="19" t="str">
        <f aca="false">IF(COUNTIF($B$2:B386,B386)&gt;1,"مكرر","فريد")</f>
        <v>فريد</v>
      </c>
      <c r="Q386" s="19" t="str">
        <f aca="false">IF(COUNTBLANK(D386:L386)&gt;0,"نعم","لا")</f>
        <v>نعم</v>
      </c>
    </row>
    <row r="387" customFormat="false" ht="15" hidden="false" customHeight="false" outlineLevel="0" collapsed="false">
      <c r="A387" s="19" t="n">
        <v>386</v>
      </c>
      <c r="B387" s="30" t="s">
        <v>868</v>
      </c>
      <c r="C387" s="44" t="n">
        <v>45534</v>
      </c>
      <c r="D387" s="30" t="s">
        <v>46</v>
      </c>
      <c r="E387" s="30" t="s">
        <v>113</v>
      </c>
      <c r="F387" s="30" t="s">
        <v>97</v>
      </c>
      <c r="G387" s="31" t="n">
        <v>829</v>
      </c>
      <c r="H387" s="19" t="n">
        <v>1</v>
      </c>
      <c r="I387" s="32" t="n">
        <v>0.1</v>
      </c>
      <c r="J387" s="30" t="s">
        <v>55</v>
      </c>
      <c r="K387" s="30" t="s">
        <v>47</v>
      </c>
      <c r="L387" s="30" t="s">
        <v>84</v>
      </c>
      <c r="M387" s="31" t="n">
        <f aca="false">AVERAGEIF($E$2:$E$1197,E387,$G$2:$G$1197)</f>
        <v>545.358823529412</v>
      </c>
      <c r="N387" s="19" t="str">
        <f aca="false">IF(G387&gt;M387*3,"نعم","لا")</f>
        <v>لا</v>
      </c>
      <c r="O387" s="19" t="str">
        <f aca="false">IF(OR(C387="",ISNUMBER(C387)),"لا","نعم")</f>
        <v>لا</v>
      </c>
      <c r="P387" s="19" t="str">
        <f aca="false">IF(COUNTIF($B$2:B387,B387)&gt;1,"مكرر","فريد")</f>
        <v>فريد</v>
      </c>
      <c r="Q387" s="19" t="str">
        <f aca="false">IF(COUNTBLANK(D387:L387)&gt;0,"نعم","لا")</f>
        <v>لا</v>
      </c>
    </row>
    <row r="388" customFormat="false" ht="15" hidden="false" customHeight="false" outlineLevel="0" collapsed="false">
      <c r="A388" s="19" t="n">
        <v>387</v>
      </c>
      <c r="B388" s="30" t="s">
        <v>262</v>
      </c>
      <c r="C388" s="44" t="n">
        <v>45327</v>
      </c>
      <c r="D388" s="30" t="s">
        <v>60</v>
      </c>
      <c r="E388" s="30" t="s">
        <v>105</v>
      </c>
      <c r="F388" s="30" t="s">
        <v>79</v>
      </c>
      <c r="G388" s="31" t="n">
        <v>4459</v>
      </c>
      <c r="H388" s="19" t="n">
        <v>6</v>
      </c>
      <c r="I388" s="32" t="n">
        <v>0.05</v>
      </c>
      <c r="J388" s="30" t="s">
        <v>52</v>
      </c>
      <c r="K388" s="30" t="s">
        <v>51</v>
      </c>
      <c r="L388" s="30" t="s">
        <v>76</v>
      </c>
      <c r="M388" s="31" t="n">
        <f aca="false">AVERAGEIF($E$2:$E$1197,E388,$G$2:$G$1197)</f>
        <v>2870.26771653543</v>
      </c>
      <c r="N388" s="19" t="str">
        <f aca="false">IF(G388&gt;M388*3,"نعم","لا")</f>
        <v>لا</v>
      </c>
      <c r="O388" s="19" t="str">
        <f aca="false">IF(OR(C388="",ISNUMBER(C388)),"لا","نعم")</f>
        <v>لا</v>
      </c>
      <c r="P388" s="19" t="str">
        <f aca="false">IF(COUNTIF($B$2:B388,B388)&gt;1,"مكرر","فريد")</f>
        <v>فريد</v>
      </c>
      <c r="Q388" s="19" t="str">
        <f aca="false">IF(COUNTBLANK(D388:L388)&gt;0,"نعم","لا")</f>
        <v>لا</v>
      </c>
    </row>
    <row r="389" customFormat="false" ht="15" hidden="false" customHeight="false" outlineLevel="0" collapsed="false">
      <c r="A389" s="19" t="n">
        <v>388</v>
      </c>
      <c r="B389" s="30" t="s">
        <v>999</v>
      </c>
      <c r="C389" s="44" t="n">
        <v>45583</v>
      </c>
      <c r="D389" s="30" t="s">
        <v>60</v>
      </c>
      <c r="E389" s="30" t="s">
        <v>109</v>
      </c>
      <c r="F389" s="30" t="s">
        <v>192</v>
      </c>
      <c r="G389" s="31" t="n">
        <v>149</v>
      </c>
      <c r="H389" s="19" t="n">
        <v>2</v>
      </c>
      <c r="I389" s="32" t="n">
        <v>0</v>
      </c>
      <c r="J389" s="30" t="s">
        <v>55</v>
      </c>
      <c r="K389" s="30" t="s">
        <v>51</v>
      </c>
      <c r="L389" s="30" t="s">
        <v>92</v>
      </c>
      <c r="M389" s="31" t="n">
        <f aca="false">AVERAGEIF($E$2:$E$1197,E389,$G$2:$G$1197)</f>
        <v>186.056291390729</v>
      </c>
      <c r="N389" s="19" t="str">
        <f aca="false">IF(G389&gt;M389*3,"نعم","لا")</f>
        <v>لا</v>
      </c>
      <c r="O389" s="19" t="str">
        <f aca="false">IF(OR(C389="",ISNUMBER(C389)),"لا","نعم")</f>
        <v>لا</v>
      </c>
      <c r="P389" s="19" t="str">
        <f aca="false">IF(COUNTIF($B$2:B389,B389)&gt;1,"مكرر","فريد")</f>
        <v>فريد</v>
      </c>
      <c r="Q389" s="19" t="str">
        <f aca="false">IF(COUNTBLANK(D389:L389)&gt;0,"نعم","لا")</f>
        <v>لا</v>
      </c>
    </row>
    <row r="390" customFormat="false" ht="15" hidden="false" customHeight="false" outlineLevel="0" collapsed="false">
      <c r="A390" s="19" t="n">
        <v>389</v>
      </c>
      <c r="B390" s="30" t="s">
        <v>554</v>
      </c>
      <c r="C390" s="44" t="n">
        <v>45432</v>
      </c>
      <c r="D390" s="30" t="s">
        <v>57</v>
      </c>
      <c r="E390" s="30" t="s">
        <v>105</v>
      </c>
      <c r="F390" s="30" t="s">
        <v>82</v>
      </c>
      <c r="G390" s="31" t="n">
        <v>1089</v>
      </c>
      <c r="H390" s="19" t="n">
        <v>6</v>
      </c>
      <c r="I390" s="32" t="n">
        <v>0</v>
      </c>
      <c r="J390" s="30" t="s">
        <v>55</v>
      </c>
      <c r="K390" s="30" t="s">
        <v>51</v>
      </c>
      <c r="L390" s="30" t="s">
        <v>89</v>
      </c>
      <c r="M390" s="31" t="n">
        <f aca="false">AVERAGEIF($E$2:$E$1197,E390,$G$2:$G$1197)</f>
        <v>2870.26771653543</v>
      </c>
      <c r="N390" s="19" t="str">
        <f aca="false">IF(G390&gt;M390*3,"نعم","لا")</f>
        <v>لا</v>
      </c>
      <c r="O390" s="19" t="str">
        <f aca="false">IF(OR(C390="",ISNUMBER(C390)),"لا","نعم")</f>
        <v>لا</v>
      </c>
      <c r="P390" s="19" t="str">
        <f aca="false">IF(COUNTIF($B$2:B390,B390)&gt;1,"مكرر","فريد")</f>
        <v>فريد</v>
      </c>
      <c r="Q390" s="19" t="str">
        <f aca="false">IF(COUNTBLANK(D390:L390)&gt;0,"نعم","لا")</f>
        <v>لا</v>
      </c>
    </row>
    <row r="391" customFormat="false" ht="15" hidden="false" customHeight="false" outlineLevel="0" collapsed="false">
      <c r="A391" s="19" t="n">
        <v>390</v>
      </c>
      <c r="B391" s="30" t="s">
        <v>516</v>
      </c>
      <c r="C391" s="44" t="n">
        <v>45420</v>
      </c>
      <c r="D391" s="30" t="s">
        <v>60</v>
      </c>
      <c r="E391" s="30" t="s">
        <v>105</v>
      </c>
      <c r="F391" s="30" t="s">
        <v>82</v>
      </c>
      <c r="G391" s="31" t="n">
        <v>3079</v>
      </c>
      <c r="H391" s="19" t="n">
        <v>1</v>
      </c>
      <c r="I391" s="32" t="n">
        <v>1.5</v>
      </c>
      <c r="J391" s="30" t="s">
        <v>48</v>
      </c>
      <c r="K391" s="30" t="s">
        <v>47</v>
      </c>
      <c r="L391" s="30" t="s">
        <v>89</v>
      </c>
      <c r="M391" s="31" t="n">
        <f aca="false">AVERAGEIF($E$2:$E$1197,E391,$G$2:$G$1197)</f>
        <v>2870.26771653543</v>
      </c>
      <c r="N391" s="19" t="str">
        <f aca="false">IF(G391&gt;M391*3,"نعم","لا")</f>
        <v>لا</v>
      </c>
      <c r="O391" s="19" t="str">
        <f aca="false">IF(OR(C391="",ISNUMBER(C391)),"لا","نعم")</f>
        <v>لا</v>
      </c>
      <c r="P391" s="19" t="str">
        <f aca="false">IF(COUNTIF($B$2:B391,B391)&gt;1,"مكرر","فريد")</f>
        <v>فريد</v>
      </c>
      <c r="Q391" s="19" t="str">
        <f aca="false">IF(COUNTBLANK(D391:L391)&gt;0,"نعم","لا")</f>
        <v>لا</v>
      </c>
    </row>
    <row r="392" customFormat="false" ht="15" hidden="false" customHeight="false" outlineLevel="0" collapsed="false">
      <c r="A392" s="19" t="n">
        <v>391</v>
      </c>
      <c r="B392" s="30" t="s">
        <v>1074</v>
      </c>
      <c r="C392" s="44" t="n">
        <v>45602</v>
      </c>
      <c r="D392" s="30" t="s">
        <v>57</v>
      </c>
      <c r="E392" s="30" t="s">
        <v>111</v>
      </c>
      <c r="F392" s="30" t="s">
        <v>108</v>
      </c>
      <c r="G392" s="31" t="n">
        <v>309</v>
      </c>
      <c r="H392" s="19" t="n">
        <v>1</v>
      </c>
      <c r="I392" s="32" t="n">
        <v>0.05</v>
      </c>
      <c r="J392" s="30" t="s">
        <v>48</v>
      </c>
      <c r="K392" s="30" t="s">
        <v>51</v>
      </c>
      <c r="L392" s="30" t="s">
        <v>94</v>
      </c>
      <c r="M392" s="31" t="n">
        <f aca="false">AVERAGEIF($E$2:$E$1197,E392,$G$2:$G$1197)</f>
        <v>366.306569343066</v>
      </c>
      <c r="N392" s="19" t="str">
        <f aca="false">IF(G392&gt;M392*3,"نعم","لا")</f>
        <v>لا</v>
      </c>
      <c r="O392" s="19" t="str">
        <f aca="false">IF(OR(C392="",ISNUMBER(C392)),"لا","نعم")</f>
        <v>لا</v>
      </c>
      <c r="P392" s="19" t="str">
        <f aca="false">IF(COUNTIF($B$2:B392,B392)&gt;1,"مكرر","فريد")</f>
        <v>فريد</v>
      </c>
      <c r="Q392" s="19" t="str">
        <f aca="false">IF(COUNTBLANK(D392:L392)&gt;0,"نعم","لا")</f>
        <v>لا</v>
      </c>
    </row>
    <row r="393" customFormat="false" ht="15" hidden="false" customHeight="false" outlineLevel="0" collapsed="false">
      <c r="A393" s="19" t="n">
        <v>392</v>
      </c>
      <c r="B393" s="30" t="s">
        <v>445</v>
      </c>
      <c r="C393" s="44" t="n">
        <v>45388</v>
      </c>
      <c r="D393" s="30" t="s">
        <v>46</v>
      </c>
      <c r="E393" s="30" t="s">
        <v>107</v>
      </c>
      <c r="F393" s="30" t="s">
        <v>184</v>
      </c>
      <c r="G393" s="31" t="n">
        <v>3519</v>
      </c>
      <c r="H393" s="19" t="n">
        <v>1</v>
      </c>
      <c r="I393" s="32" t="n">
        <v>0</v>
      </c>
      <c r="J393" s="30" t="s">
        <v>55</v>
      </c>
      <c r="K393" s="30" t="s">
        <v>47</v>
      </c>
      <c r="L393" s="30" t="s">
        <v>86</v>
      </c>
      <c r="M393" s="31" t="n">
        <f aca="false">AVERAGEIF($E$2:$E$1197,E393,$G$2:$G$1197)</f>
        <v>4981.14563106796</v>
      </c>
      <c r="N393" s="19" t="str">
        <f aca="false">IF(G393&gt;M393*3,"نعم","لا")</f>
        <v>لا</v>
      </c>
      <c r="O393" s="19" t="str">
        <f aca="false">IF(OR(C393="",ISNUMBER(C393)),"لا","نعم")</f>
        <v>لا</v>
      </c>
      <c r="P393" s="19" t="str">
        <f aca="false">IF(COUNTIF($B$2:B393,B393)&gt;1,"مكرر","فريد")</f>
        <v>فريد</v>
      </c>
      <c r="Q393" s="19" t="str">
        <f aca="false">IF(COUNTBLANK(D393:L393)&gt;0,"نعم","لا")</f>
        <v>لا</v>
      </c>
    </row>
    <row r="394" customFormat="false" ht="15" hidden="false" customHeight="false" outlineLevel="0" collapsed="false">
      <c r="A394" s="19" t="n">
        <v>393</v>
      </c>
      <c r="B394" s="30" t="s">
        <v>1254</v>
      </c>
      <c r="C394" s="44" t="n">
        <v>45646</v>
      </c>
      <c r="D394" s="30" t="s">
        <v>60</v>
      </c>
      <c r="E394" s="30" t="s">
        <v>105</v>
      </c>
      <c r="F394" s="30" t="s">
        <v>85</v>
      </c>
      <c r="G394" s="31" t="n">
        <v>3769</v>
      </c>
      <c r="H394" s="19" t="n">
        <v>2</v>
      </c>
      <c r="I394" s="32" t="n">
        <v>0</v>
      </c>
      <c r="J394" s="30" t="s">
        <v>52</v>
      </c>
      <c r="K394" s="30" t="s">
        <v>51</v>
      </c>
      <c r="L394" s="30" t="s">
        <v>94</v>
      </c>
      <c r="M394" s="31" t="n">
        <f aca="false">AVERAGEIF($E$2:$E$1197,E394,$G$2:$G$1197)</f>
        <v>2870.26771653543</v>
      </c>
      <c r="N394" s="19" t="str">
        <f aca="false">IF(G394&gt;M394*3,"نعم","لا")</f>
        <v>لا</v>
      </c>
      <c r="O394" s="19" t="str">
        <f aca="false">IF(OR(C394="",ISNUMBER(C394)),"لا","نعم")</f>
        <v>لا</v>
      </c>
      <c r="P394" s="19" t="str">
        <f aca="false">IF(COUNTIF($B$2:B394,B394)&gt;1,"مكرر","فريد")</f>
        <v>فريد</v>
      </c>
      <c r="Q394" s="19" t="str">
        <f aca="false">IF(COUNTBLANK(D394:L394)&gt;0,"نعم","لا")</f>
        <v>لا</v>
      </c>
    </row>
    <row r="395" customFormat="false" ht="15" hidden="false" customHeight="false" outlineLevel="0" collapsed="false">
      <c r="A395" s="19" t="n">
        <v>394</v>
      </c>
      <c r="B395" s="30" t="s">
        <v>1233</v>
      </c>
      <c r="C395" s="44" t="n">
        <v>45639</v>
      </c>
      <c r="D395" s="30" t="s">
        <v>46</v>
      </c>
      <c r="E395" s="30" t="s">
        <v>113</v>
      </c>
      <c r="F395" s="30" t="s">
        <v>97</v>
      </c>
      <c r="G395" s="31" t="n">
        <v>869</v>
      </c>
      <c r="H395" s="19" t="n">
        <v>2</v>
      </c>
      <c r="I395" s="32" t="n">
        <v>0</v>
      </c>
      <c r="J395" s="30" t="s">
        <v>48</v>
      </c>
      <c r="K395" s="30" t="s">
        <v>47</v>
      </c>
      <c r="L395" s="30" t="s">
        <v>78</v>
      </c>
      <c r="M395" s="31" t="n">
        <f aca="false">AVERAGEIF($E$2:$E$1197,E395,$G$2:$G$1197)</f>
        <v>545.358823529412</v>
      </c>
      <c r="N395" s="19" t="str">
        <f aca="false">IF(G395&gt;M395*3,"نعم","لا")</f>
        <v>لا</v>
      </c>
      <c r="O395" s="19" t="str">
        <f aca="false">IF(OR(C395="",ISNUMBER(C395)),"لا","نعم")</f>
        <v>لا</v>
      </c>
      <c r="P395" s="19" t="str">
        <f aca="false">IF(COUNTIF($B$2:B395,B395)&gt;1,"مكرر","فريد")</f>
        <v>فريد</v>
      </c>
      <c r="Q395" s="19" t="str">
        <f aca="false">IF(COUNTBLANK(D395:L395)&gt;0,"نعم","لا")</f>
        <v>لا</v>
      </c>
    </row>
    <row r="396" customFormat="false" ht="15" hidden="false" customHeight="false" outlineLevel="0" collapsed="false">
      <c r="A396" s="19" t="n">
        <v>395</v>
      </c>
      <c r="B396" s="30" t="s">
        <v>523</v>
      </c>
      <c r="C396" s="44" t="n">
        <v>45422</v>
      </c>
      <c r="D396" s="30" t="s">
        <v>54</v>
      </c>
      <c r="E396" s="30" t="s">
        <v>105</v>
      </c>
      <c r="F396" s="30" t="s">
        <v>82</v>
      </c>
      <c r="G396" s="31" t="n">
        <v>1449</v>
      </c>
      <c r="H396" s="19" t="n">
        <v>2</v>
      </c>
      <c r="I396" s="32" t="n">
        <v>0.1</v>
      </c>
      <c r="J396" s="30" t="s">
        <v>48</v>
      </c>
      <c r="K396" s="30" t="s">
        <v>51</v>
      </c>
      <c r="L396" s="30" t="s">
        <v>96</v>
      </c>
      <c r="M396" s="31" t="n">
        <f aca="false">AVERAGEIF($E$2:$E$1197,E396,$G$2:$G$1197)</f>
        <v>2870.26771653543</v>
      </c>
      <c r="N396" s="19" t="str">
        <f aca="false">IF(G396&gt;M396*3,"نعم","لا")</f>
        <v>لا</v>
      </c>
      <c r="O396" s="19" t="str">
        <f aca="false">IF(OR(C396="",ISNUMBER(C396)),"لا","نعم")</f>
        <v>لا</v>
      </c>
      <c r="P396" s="19" t="str">
        <f aca="false">IF(COUNTIF($B$2:B396,B396)&gt;1,"مكرر","فريد")</f>
        <v>فريد</v>
      </c>
      <c r="Q396" s="19" t="str">
        <f aca="false">IF(COUNTBLANK(D396:L396)&gt;0,"نعم","لا")</f>
        <v>لا</v>
      </c>
    </row>
    <row r="397" customFormat="false" ht="15" hidden="false" customHeight="false" outlineLevel="0" collapsed="false">
      <c r="A397" s="19" t="n">
        <v>396</v>
      </c>
      <c r="B397" s="30" t="s">
        <v>583</v>
      </c>
      <c r="C397" s="44" t="n">
        <v>45445</v>
      </c>
      <c r="D397" s="30" t="s">
        <v>54</v>
      </c>
      <c r="E397" s="30" t="s">
        <v>105</v>
      </c>
      <c r="F397" s="30" t="s">
        <v>90</v>
      </c>
      <c r="G397" s="31" t="n">
        <v>3109</v>
      </c>
      <c r="H397" s="19" t="n">
        <v>1</v>
      </c>
      <c r="I397" s="32" t="n">
        <v>0</v>
      </c>
      <c r="J397" s="30" t="s">
        <v>48</v>
      </c>
      <c r="K397" s="30" t="s">
        <v>47</v>
      </c>
      <c r="L397" s="30" t="s">
        <v>81</v>
      </c>
      <c r="M397" s="31" t="n">
        <f aca="false">AVERAGEIF($E$2:$E$1197,E397,$G$2:$G$1197)</f>
        <v>2870.26771653543</v>
      </c>
      <c r="N397" s="19" t="str">
        <f aca="false">IF(G397&gt;M397*3,"نعم","لا")</f>
        <v>لا</v>
      </c>
      <c r="O397" s="19" t="str">
        <f aca="false">IF(OR(C397="",ISNUMBER(C397)),"لا","نعم")</f>
        <v>لا</v>
      </c>
      <c r="P397" s="19" t="str">
        <f aca="false">IF(COUNTIF($B$2:B397,B397)&gt;1,"مكرر","فريد")</f>
        <v>فريد</v>
      </c>
      <c r="Q397" s="19" t="str">
        <f aca="false">IF(COUNTBLANK(D397:L397)&gt;0,"نعم","لا")</f>
        <v>لا</v>
      </c>
    </row>
    <row r="398" customFormat="false" ht="15" hidden="false" customHeight="false" outlineLevel="0" collapsed="false">
      <c r="A398" s="19" t="n">
        <v>397</v>
      </c>
      <c r="B398" s="30" t="s">
        <v>703</v>
      </c>
      <c r="C398" s="44" t="n">
        <v>45487</v>
      </c>
      <c r="D398" s="30" t="s">
        <v>60</v>
      </c>
      <c r="E398" s="30" t="s">
        <v>105</v>
      </c>
      <c r="F398" s="30" t="s">
        <v>85</v>
      </c>
      <c r="G398" s="31" t="n">
        <v>3289</v>
      </c>
      <c r="H398" s="19" t="n">
        <v>1</v>
      </c>
      <c r="I398" s="32" t="n">
        <v>0.1</v>
      </c>
      <c r="J398" s="30" t="s">
        <v>48</v>
      </c>
      <c r="K398" s="30" t="s">
        <v>47</v>
      </c>
      <c r="L398" s="30" t="s">
        <v>96</v>
      </c>
      <c r="M398" s="31" t="n">
        <f aca="false">AVERAGEIF($E$2:$E$1197,E398,$G$2:$G$1197)</f>
        <v>2870.26771653543</v>
      </c>
      <c r="N398" s="19" t="str">
        <f aca="false">IF(G398&gt;M398*3,"نعم","لا")</f>
        <v>لا</v>
      </c>
      <c r="O398" s="19" t="str">
        <f aca="false">IF(OR(C398="",ISNUMBER(C398)),"لا","نعم")</f>
        <v>لا</v>
      </c>
      <c r="P398" s="19" t="str">
        <f aca="false">IF(COUNTIF($B$2:B398,B398)&gt;1,"مكرر","فريد")</f>
        <v>فريد</v>
      </c>
      <c r="Q398" s="19" t="str">
        <f aca="false">IF(COUNTBLANK(D398:L398)&gt;0,"نعم","لا")</f>
        <v>لا</v>
      </c>
    </row>
    <row r="399" customFormat="false" ht="15" hidden="false" customHeight="false" outlineLevel="0" collapsed="false">
      <c r="A399" s="19" t="n">
        <v>398</v>
      </c>
      <c r="B399" s="30" t="s">
        <v>683</v>
      </c>
      <c r="C399" s="44" t="n">
        <v>45479</v>
      </c>
      <c r="D399" s="30" t="s">
        <v>46</v>
      </c>
      <c r="E399" s="30" t="s">
        <v>109</v>
      </c>
      <c r="F399" s="30" t="s">
        <v>192</v>
      </c>
      <c r="G399" s="31" t="n">
        <v>109</v>
      </c>
      <c r="H399" s="19" t="n">
        <v>1</v>
      </c>
      <c r="I399" s="32" t="n">
        <v>0.15</v>
      </c>
      <c r="J399" s="30" t="s">
        <v>52</v>
      </c>
      <c r="K399" s="30" t="s">
        <v>47</v>
      </c>
      <c r="L399" s="30" t="s">
        <v>96</v>
      </c>
      <c r="M399" s="31" t="n">
        <f aca="false">AVERAGEIF($E$2:$E$1197,E399,$G$2:$G$1197)</f>
        <v>186.056291390729</v>
      </c>
      <c r="N399" s="19" t="str">
        <f aca="false">IF(G399&gt;M399*3,"نعم","لا")</f>
        <v>لا</v>
      </c>
      <c r="O399" s="19" t="str">
        <f aca="false">IF(OR(C399="",ISNUMBER(C399)),"لا","نعم")</f>
        <v>لا</v>
      </c>
      <c r="P399" s="19" t="str">
        <f aca="false">IF(COUNTIF($B$2:B399,B399)&gt;1,"مكرر","فريد")</f>
        <v>فريد</v>
      </c>
      <c r="Q399" s="19" t="str">
        <f aca="false">IF(COUNTBLANK(D399:L399)&gt;0,"نعم","لا")</f>
        <v>لا</v>
      </c>
    </row>
    <row r="400" customFormat="false" ht="15" hidden="false" customHeight="false" outlineLevel="0" collapsed="false">
      <c r="A400" s="19" t="n">
        <v>399</v>
      </c>
      <c r="B400" s="30" t="s">
        <v>863</v>
      </c>
      <c r="C400" s="44" t="n">
        <v>45533</v>
      </c>
      <c r="D400" s="30" t="s">
        <v>46</v>
      </c>
      <c r="E400" s="30" t="s">
        <v>109</v>
      </c>
      <c r="F400" s="30" t="s">
        <v>93</v>
      </c>
      <c r="G400" s="31" t="n">
        <v>59</v>
      </c>
      <c r="H400" s="19" t="n">
        <v>1</v>
      </c>
      <c r="I400" s="32" t="n">
        <v>0.1</v>
      </c>
      <c r="J400" s="30" t="s">
        <v>48</v>
      </c>
      <c r="K400" s="30" t="s">
        <v>47</v>
      </c>
      <c r="L400" s="30" t="s">
        <v>99</v>
      </c>
      <c r="M400" s="31" t="n">
        <f aca="false">AVERAGEIF($E$2:$E$1197,E400,$G$2:$G$1197)</f>
        <v>186.056291390729</v>
      </c>
      <c r="N400" s="19" t="str">
        <f aca="false">IF(G400&gt;M400*3,"نعم","لا")</f>
        <v>لا</v>
      </c>
      <c r="O400" s="19" t="str">
        <f aca="false">IF(OR(C400="",ISNUMBER(C400)),"لا","نعم")</f>
        <v>لا</v>
      </c>
      <c r="P400" s="19" t="str">
        <f aca="false">IF(COUNTIF($B$2:B400,B400)&gt;1,"مكرر","فريد")</f>
        <v>فريد</v>
      </c>
      <c r="Q400" s="19" t="str">
        <f aca="false">IF(COUNTBLANK(D400:L400)&gt;0,"نعم","لا")</f>
        <v>لا</v>
      </c>
    </row>
    <row r="401" customFormat="false" ht="15" hidden="false" customHeight="false" outlineLevel="0" collapsed="false">
      <c r="A401" s="19" t="n">
        <v>400</v>
      </c>
      <c r="B401" s="30" t="s">
        <v>870</v>
      </c>
      <c r="C401" s="44" t="n">
        <v>45535</v>
      </c>
      <c r="D401" s="30" t="s">
        <v>46</v>
      </c>
      <c r="E401" s="30" t="s">
        <v>109</v>
      </c>
      <c r="F401" s="30" t="s">
        <v>110</v>
      </c>
      <c r="G401" s="31" t="n">
        <v>169</v>
      </c>
      <c r="H401" s="19" t="n">
        <v>1</v>
      </c>
      <c r="I401" s="32" t="n">
        <v>0.15</v>
      </c>
      <c r="J401" s="30" t="s">
        <v>48</v>
      </c>
      <c r="K401" s="30" t="s">
        <v>47</v>
      </c>
      <c r="L401" s="30" t="s">
        <v>92</v>
      </c>
      <c r="M401" s="31" t="n">
        <f aca="false">AVERAGEIF($E$2:$E$1197,E401,$G$2:$G$1197)</f>
        <v>186.056291390729</v>
      </c>
      <c r="N401" s="19" t="str">
        <f aca="false">IF(G401&gt;M401*3,"نعم","لا")</f>
        <v>لا</v>
      </c>
      <c r="O401" s="19" t="str">
        <f aca="false">IF(OR(C401="",ISNUMBER(C401)),"لا","نعم")</f>
        <v>لا</v>
      </c>
      <c r="P401" s="19" t="str">
        <f aca="false">IF(COUNTIF($B$2:B401,B401)&gt;1,"مكرر","فريد")</f>
        <v>فريد</v>
      </c>
      <c r="Q401" s="19" t="str">
        <f aca="false">IF(COUNTBLANK(D401:L401)&gt;0,"نعم","لا")</f>
        <v>لا</v>
      </c>
    </row>
    <row r="402" customFormat="false" ht="15" hidden="false" customHeight="false" outlineLevel="0" collapsed="false">
      <c r="A402" s="19" t="n">
        <v>401</v>
      </c>
      <c r="B402" s="30" t="s">
        <v>355</v>
      </c>
      <c r="C402" s="44" t="n">
        <v>45362</v>
      </c>
      <c r="D402" s="30" t="s">
        <v>1365</v>
      </c>
      <c r="E402" s="30" t="s">
        <v>107</v>
      </c>
      <c r="F402" s="30" t="s">
        <v>115</v>
      </c>
      <c r="G402" s="31" t="n">
        <v>3919</v>
      </c>
      <c r="H402" s="19" t="n">
        <v>1</v>
      </c>
      <c r="I402" s="32" t="n">
        <v>0.2</v>
      </c>
      <c r="J402" s="30" t="s">
        <v>55</v>
      </c>
      <c r="K402" s="30" t="s">
        <v>47</v>
      </c>
      <c r="L402" s="30" t="s">
        <v>96</v>
      </c>
      <c r="M402" s="31" t="n">
        <f aca="false">AVERAGEIF($E$2:$E$1197,E402,$G$2:$G$1197)</f>
        <v>4981.14563106796</v>
      </c>
      <c r="N402" s="19" t="str">
        <f aca="false">IF(G402&gt;M402*3,"نعم","لا")</f>
        <v>لا</v>
      </c>
      <c r="O402" s="19" t="str">
        <f aca="false">IF(OR(C402="",ISNUMBER(C402)),"لا","نعم")</f>
        <v>لا</v>
      </c>
      <c r="P402" s="19" t="str">
        <f aca="false">IF(COUNTIF($B$2:B402,B402)&gt;1,"مكرر","فريد")</f>
        <v>فريد</v>
      </c>
      <c r="Q402" s="19" t="str">
        <f aca="false">IF(COUNTBLANK(D402:L402)&gt;0,"نعم","لا")</f>
        <v>لا</v>
      </c>
    </row>
    <row r="403" customFormat="false" ht="15" hidden="false" customHeight="false" outlineLevel="0" collapsed="false">
      <c r="A403" s="19" t="n">
        <v>402</v>
      </c>
      <c r="B403" s="30" t="s">
        <v>1174</v>
      </c>
      <c r="C403" s="44" t="n">
        <v>45624</v>
      </c>
      <c r="D403" s="30" t="s">
        <v>50</v>
      </c>
      <c r="E403" s="30" t="s">
        <v>107</v>
      </c>
      <c r="F403" s="30" t="s">
        <v>114</v>
      </c>
      <c r="G403" s="31" t="n">
        <v>2239</v>
      </c>
      <c r="H403" s="19" t="n">
        <v>2</v>
      </c>
      <c r="I403" s="32" t="n">
        <v>0</v>
      </c>
      <c r="J403" s="30" t="s">
        <v>52</v>
      </c>
      <c r="K403" s="30" t="s">
        <v>47</v>
      </c>
      <c r="L403" s="30" t="s">
        <v>92</v>
      </c>
      <c r="M403" s="31" t="n">
        <f aca="false">AVERAGEIF($E$2:$E$1197,E403,$G$2:$G$1197)</f>
        <v>4981.14563106796</v>
      </c>
      <c r="N403" s="19" t="str">
        <f aca="false">IF(G403&gt;M403*3,"نعم","لا")</f>
        <v>لا</v>
      </c>
      <c r="O403" s="19" t="str">
        <f aca="false">IF(OR(C403="",ISNUMBER(C403)),"لا","نعم")</f>
        <v>لا</v>
      </c>
      <c r="P403" s="19" t="str">
        <f aca="false">IF(COUNTIF($B$2:B403,B403)&gt;1,"مكرر","فريد")</f>
        <v>فريد</v>
      </c>
      <c r="Q403" s="19" t="str">
        <f aca="false">IF(COUNTBLANK(D403:L403)&gt;0,"نعم","لا")</f>
        <v>لا</v>
      </c>
    </row>
    <row r="404" customFormat="false" ht="15" hidden="false" customHeight="false" outlineLevel="0" collapsed="false">
      <c r="A404" s="19" t="n">
        <v>403</v>
      </c>
      <c r="B404" s="30" t="s">
        <v>591</v>
      </c>
      <c r="C404" s="44" t="n">
        <v>45448</v>
      </c>
      <c r="D404" s="30" t="s">
        <v>50</v>
      </c>
      <c r="E404" s="30" t="s">
        <v>109</v>
      </c>
      <c r="F404" s="30" t="s">
        <v>93</v>
      </c>
      <c r="G404" s="31" t="n">
        <v>209</v>
      </c>
      <c r="H404" s="19" t="n">
        <v>10</v>
      </c>
      <c r="I404" s="32" t="n">
        <v>0</v>
      </c>
      <c r="J404" s="30" t="s">
        <v>55</v>
      </c>
      <c r="K404" s="30" t="s">
        <v>51</v>
      </c>
      <c r="L404" s="30" t="s">
        <v>92</v>
      </c>
      <c r="M404" s="31" t="n">
        <f aca="false">AVERAGEIF($E$2:$E$1197,E404,$G$2:$G$1197)</f>
        <v>186.056291390729</v>
      </c>
      <c r="N404" s="19" t="str">
        <f aca="false">IF(G404&gt;M404*3,"نعم","لا")</f>
        <v>لا</v>
      </c>
      <c r="O404" s="19" t="str">
        <f aca="false">IF(OR(C404="",ISNUMBER(C404)),"لا","نعم")</f>
        <v>لا</v>
      </c>
      <c r="P404" s="19" t="str">
        <f aca="false">IF(COUNTIF($B$2:B404,B404)&gt;1,"مكرر","فريد")</f>
        <v>فريد</v>
      </c>
      <c r="Q404" s="19" t="str">
        <f aca="false">IF(COUNTBLANK(D404:L404)&gt;0,"نعم","لا")</f>
        <v>لا</v>
      </c>
    </row>
    <row r="405" customFormat="false" ht="15" hidden="false" customHeight="false" outlineLevel="0" collapsed="false">
      <c r="A405" s="19" t="n">
        <v>404</v>
      </c>
      <c r="B405" s="30" t="s">
        <v>280</v>
      </c>
      <c r="C405" s="44" t="n">
        <v>45333</v>
      </c>
      <c r="D405" s="30" t="s">
        <v>46</v>
      </c>
      <c r="E405" s="30" t="s">
        <v>109</v>
      </c>
      <c r="F405" s="30" t="s">
        <v>171</v>
      </c>
      <c r="G405" s="31" t="n">
        <v>219</v>
      </c>
      <c r="H405" s="19" t="n">
        <v>1</v>
      </c>
      <c r="I405" s="32" t="n">
        <v>0</v>
      </c>
      <c r="J405" s="30" t="s">
        <v>52</v>
      </c>
      <c r="K405" s="30" t="s">
        <v>47</v>
      </c>
      <c r="L405" s="30" t="s">
        <v>78</v>
      </c>
      <c r="M405" s="31" t="n">
        <f aca="false">AVERAGEIF($E$2:$E$1197,E405,$G$2:$G$1197)</f>
        <v>186.056291390729</v>
      </c>
      <c r="N405" s="19" t="str">
        <f aca="false">IF(G405&gt;M405*3,"نعم","لا")</f>
        <v>لا</v>
      </c>
      <c r="O405" s="19" t="str">
        <f aca="false">IF(OR(C405="",ISNUMBER(C405)),"لا","نعم")</f>
        <v>لا</v>
      </c>
      <c r="P405" s="19" t="str">
        <f aca="false">IF(COUNTIF($B$2:B405,B405)&gt;1,"مكرر","فريد")</f>
        <v>فريد</v>
      </c>
      <c r="Q405" s="19" t="str">
        <f aca="false">IF(COUNTBLANK(D405:L405)&gt;0,"نعم","لا")</f>
        <v>لا</v>
      </c>
    </row>
    <row r="406" customFormat="false" ht="15" hidden="false" customHeight="false" outlineLevel="0" collapsed="false">
      <c r="A406" s="19" t="n">
        <v>405</v>
      </c>
      <c r="B406" s="30" t="s">
        <v>531</v>
      </c>
      <c r="C406" s="44" t="n">
        <v>45425</v>
      </c>
      <c r="D406" s="30" t="s">
        <v>50</v>
      </c>
      <c r="E406" s="30" t="s">
        <v>109</v>
      </c>
      <c r="F406" s="30" t="s">
        <v>93</v>
      </c>
      <c r="G406" s="31" t="n">
        <v>189</v>
      </c>
      <c r="H406" s="19" t="n">
        <v>1</v>
      </c>
      <c r="I406" s="32" t="n">
        <v>0.1</v>
      </c>
      <c r="J406" s="30" t="s">
        <v>55</v>
      </c>
      <c r="K406" s="30" t="s">
        <v>47</v>
      </c>
      <c r="L406" s="30" t="s">
        <v>86</v>
      </c>
      <c r="M406" s="31" t="n">
        <f aca="false">AVERAGEIF($E$2:$E$1197,E406,$G$2:$G$1197)</f>
        <v>186.056291390729</v>
      </c>
      <c r="N406" s="19" t="str">
        <f aca="false">IF(G406&gt;M406*3,"نعم","لا")</f>
        <v>لا</v>
      </c>
      <c r="O406" s="19" t="str">
        <f aca="false">IF(OR(C406="",ISNUMBER(C406)),"لا","نعم")</f>
        <v>لا</v>
      </c>
      <c r="P406" s="19" t="str">
        <f aca="false">IF(COUNTIF($B$2:B406,B406)&gt;1,"مكرر","فريد")</f>
        <v>فريد</v>
      </c>
      <c r="Q406" s="19" t="str">
        <f aca="false">IF(COUNTBLANK(D406:L406)&gt;0,"نعم","لا")</f>
        <v>لا</v>
      </c>
    </row>
    <row r="407" customFormat="false" ht="15" hidden="false" customHeight="false" outlineLevel="0" collapsed="false">
      <c r="A407" s="19" t="n">
        <v>406</v>
      </c>
      <c r="B407" s="30" t="s">
        <v>408</v>
      </c>
      <c r="C407" s="44" t="n">
        <v>45378</v>
      </c>
      <c r="D407" s="30" t="s">
        <v>54</v>
      </c>
      <c r="E407" s="30" t="s">
        <v>107</v>
      </c>
      <c r="F407" s="30" t="s">
        <v>184</v>
      </c>
      <c r="G407" s="31" t="n">
        <v>5509</v>
      </c>
      <c r="H407" s="19" t="n">
        <v>1</v>
      </c>
      <c r="I407" s="32" t="n">
        <v>0.2</v>
      </c>
      <c r="J407" s="30" t="s">
        <v>48</v>
      </c>
      <c r="K407" s="30" t="s">
        <v>47</v>
      </c>
      <c r="L407" s="30" t="s">
        <v>81</v>
      </c>
      <c r="M407" s="31" t="n">
        <f aca="false">AVERAGEIF($E$2:$E$1197,E407,$G$2:$G$1197)</f>
        <v>4981.14563106796</v>
      </c>
      <c r="N407" s="19" t="str">
        <f aca="false">IF(G407&gt;M407*3,"نعم","لا")</f>
        <v>لا</v>
      </c>
      <c r="O407" s="19" t="str">
        <f aca="false">IF(OR(C407="",ISNUMBER(C407)),"لا","نعم")</f>
        <v>لا</v>
      </c>
      <c r="P407" s="19" t="str">
        <f aca="false">IF(COUNTIF($B$2:B407,B407)&gt;1,"مكرر","فريد")</f>
        <v>فريد</v>
      </c>
      <c r="Q407" s="19" t="str">
        <f aca="false">IF(COUNTBLANK(D407:L407)&gt;0,"نعم","لا")</f>
        <v>لا</v>
      </c>
    </row>
    <row r="408" customFormat="false" ht="15" hidden="false" customHeight="false" outlineLevel="0" collapsed="false">
      <c r="A408" s="19" t="n">
        <v>407</v>
      </c>
      <c r="B408" s="30" t="s">
        <v>988</v>
      </c>
      <c r="C408" s="44" t="n">
        <v>45576</v>
      </c>
      <c r="D408" s="30" t="s">
        <v>46</v>
      </c>
      <c r="E408" s="30" t="s">
        <v>109</v>
      </c>
      <c r="F408" s="30" t="s">
        <v>110</v>
      </c>
      <c r="G408" s="31" t="n">
        <v>319</v>
      </c>
      <c r="H408" s="19" t="n">
        <v>1</v>
      </c>
      <c r="I408" s="32" t="n">
        <v>0.05</v>
      </c>
      <c r="J408" s="30" t="s">
        <v>55</v>
      </c>
      <c r="K408" s="30" t="s">
        <v>47</v>
      </c>
      <c r="L408" s="30" t="s">
        <v>89</v>
      </c>
      <c r="M408" s="31" t="n">
        <f aca="false">AVERAGEIF($E$2:$E$1197,E408,$G$2:$G$1197)</f>
        <v>186.056291390729</v>
      </c>
      <c r="N408" s="19" t="str">
        <f aca="false">IF(G408&gt;M408*3,"نعم","لا")</f>
        <v>لا</v>
      </c>
      <c r="O408" s="19" t="str">
        <f aca="false">IF(OR(C408="",ISNUMBER(C408)),"لا","نعم")</f>
        <v>لا</v>
      </c>
      <c r="P408" s="19" t="str">
        <f aca="false">IF(COUNTIF($B$2:B408,B408)&gt;1,"مكرر","فريد")</f>
        <v>فريد</v>
      </c>
      <c r="Q408" s="19" t="str">
        <f aca="false">IF(COUNTBLANK(D408:L408)&gt;0,"نعم","لا")</f>
        <v>لا</v>
      </c>
    </row>
    <row r="409" customFormat="false" ht="15" hidden="false" customHeight="false" outlineLevel="0" collapsed="false">
      <c r="A409" s="19" t="n">
        <v>408</v>
      </c>
      <c r="B409" s="30" t="s">
        <v>1006</v>
      </c>
      <c r="C409" s="44" t="n">
        <v>45585</v>
      </c>
      <c r="D409" s="30" t="s">
        <v>54</v>
      </c>
      <c r="E409" s="30" t="s">
        <v>105</v>
      </c>
      <c r="F409" s="30" t="s">
        <v>82</v>
      </c>
      <c r="G409" s="31" t="n">
        <v>3819</v>
      </c>
      <c r="H409" s="19" t="n">
        <v>1</v>
      </c>
      <c r="I409" s="32" t="n">
        <v>0.05</v>
      </c>
      <c r="J409" s="30" t="s">
        <v>52</v>
      </c>
      <c r="K409" s="30" t="s">
        <v>47</v>
      </c>
      <c r="L409" s="30" t="s">
        <v>96</v>
      </c>
      <c r="M409" s="31" t="n">
        <f aca="false">AVERAGEIF($E$2:$E$1197,E409,$G$2:$G$1197)</f>
        <v>2870.26771653543</v>
      </c>
      <c r="N409" s="19" t="str">
        <f aca="false">IF(G409&gt;M409*3,"نعم","لا")</f>
        <v>لا</v>
      </c>
      <c r="O409" s="19" t="str">
        <f aca="false">IF(OR(C409="",ISNUMBER(C409)),"لا","نعم")</f>
        <v>لا</v>
      </c>
      <c r="P409" s="19" t="str">
        <f aca="false">IF(COUNTIF($B$2:B409,B409)&gt;1,"مكرر","فريد")</f>
        <v>فريد</v>
      </c>
      <c r="Q409" s="19" t="str">
        <f aca="false">IF(COUNTBLANK(D409:L409)&gt;0,"نعم","لا")</f>
        <v>لا</v>
      </c>
    </row>
    <row r="410" customFormat="false" ht="15" hidden="false" customHeight="false" outlineLevel="0" collapsed="false">
      <c r="A410" s="19" t="n">
        <v>409</v>
      </c>
      <c r="B410" s="30" t="s">
        <v>747</v>
      </c>
      <c r="C410" s="44" t="n">
        <v>45500</v>
      </c>
      <c r="D410" s="30" t="s">
        <v>54</v>
      </c>
      <c r="E410" s="30" t="s">
        <v>105</v>
      </c>
      <c r="F410" s="30" t="s">
        <v>90</v>
      </c>
      <c r="G410" s="31" t="n">
        <v>2899</v>
      </c>
      <c r="H410" s="19" t="n">
        <v>3</v>
      </c>
      <c r="I410" s="32" t="n">
        <v>0</v>
      </c>
      <c r="J410" s="30" t="s">
        <v>55</v>
      </c>
      <c r="K410" s="30" t="s">
        <v>47</v>
      </c>
      <c r="L410" s="30" t="s">
        <v>78</v>
      </c>
      <c r="M410" s="31" t="n">
        <f aca="false">AVERAGEIF($E$2:$E$1197,E410,$G$2:$G$1197)</f>
        <v>2870.26771653543</v>
      </c>
      <c r="N410" s="19" t="str">
        <f aca="false">IF(G410&gt;M410*3,"نعم","لا")</f>
        <v>لا</v>
      </c>
      <c r="O410" s="19" t="str">
        <f aca="false">IF(OR(C410="",ISNUMBER(C410)),"لا","نعم")</f>
        <v>لا</v>
      </c>
      <c r="P410" s="19" t="str">
        <f aca="false">IF(COUNTIF($B$2:B410,B410)&gt;1,"مكرر","فريد")</f>
        <v>فريد</v>
      </c>
      <c r="Q410" s="19" t="str">
        <f aca="false">IF(COUNTBLANK(D410:L410)&gt;0,"نعم","لا")</f>
        <v>لا</v>
      </c>
    </row>
    <row r="411" customFormat="false" ht="15" hidden="false" customHeight="false" outlineLevel="0" collapsed="false">
      <c r="A411" s="19" t="n">
        <v>410</v>
      </c>
      <c r="B411" s="30" t="s">
        <v>642</v>
      </c>
      <c r="C411" s="44" t="n">
        <v>45466</v>
      </c>
      <c r="D411" s="30" t="s">
        <v>57</v>
      </c>
      <c r="E411" s="30" t="s">
        <v>111</v>
      </c>
      <c r="F411" s="30" t="s">
        <v>122</v>
      </c>
      <c r="G411" s="31" t="n">
        <v>309</v>
      </c>
      <c r="H411" s="19" t="n">
        <v>1</v>
      </c>
      <c r="I411" s="32" t="n">
        <v>0.1</v>
      </c>
      <c r="J411" s="30" t="s">
        <v>48</v>
      </c>
      <c r="K411" s="30" t="s">
        <v>47</v>
      </c>
      <c r="L411" s="30" t="s">
        <v>86</v>
      </c>
      <c r="M411" s="31" t="n">
        <f aca="false">AVERAGEIF($E$2:$E$1197,E411,$G$2:$G$1197)</f>
        <v>366.306569343066</v>
      </c>
      <c r="N411" s="19" t="str">
        <f aca="false">IF(G411&gt;M411*3,"نعم","لا")</f>
        <v>لا</v>
      </c>
      <c r="O411" s="19" t="str">
        <f aca="false">IF(OR(C411="",ISNUMBER(C411)),"لا","نعم")</f>
        <v>لا</v>
      </c>
      <c r="P411" s="19" t="str">
        <f aca="false">IF(COUNTIF($B$2:B411,B411)&gt;1,"مكرر","فريد")</f>
        <v>فريد</v>
      </c>
      <c r="Q411" s="19" t="str">
        <f aca="false">IF(COUNTBLANK(D411:L411)&gt;0,"نعم","لا")</f>
        <v>لا</v>
      </c>
    </row>
    <row r="412" customFormat="false" ht="15" hidden="false" customHeight="false" outlineLevel="0" collapsed="false">
      <c r="A412" s="19" t="n">
        <v>411</v>
      </c>
      <c r="B412" s="30" t="s">
        <v>1290</v>
      </c>
      <c r="C412" s="44" t="n">
        <v>45657</v>
      </c>
      <c r="D412" s="30" t="s">
        <v>46</v>
      </c>
      <c r="E412" s="30" t="s">
        <v>111</v>
      </c>
      <c r="F412" s="30" t="s">
        <v>120</v>
      </c>
      <c r="G412" s="31" t="n">
        <v>279</v>
      </c>
      <c r="H412" s="19" t="n">
        <v>4</v>
      </c>
      <c r="I412" s="32" t="n">
        <v>0.15</v>
      </c>
      <c r="J412" s="30" t="s">
        <v>58</v>
      </c>
      <c r="K412" s="30" t="s">
        <v>51</v>
      </c>
      <c r="L412" s="30" t="s">
        <v>86</v>
      </c>
      <c r="M412" s="31" t="n">
        <f aca="false">AVERAGEIF($E$2:$E$1197,E412,$G$2:$G$1197)</f>
        <v>366.306569343066</v>
      </c>
      <c r="N412" s="19" t="str">
        <f aca="false">IF(G412&gt;M412*3,"نعم","لا")</f>
        <v>لا</v>
      </c>
      <c r="O412" s="19" t="str">
        <f aca="false">IF(OR(C412="",ISNUMBER(C412)),"لا","نعم")</f>
        <v>لا</v>
      </c>
      <c r="P412" s="19" t="str">
        <f aca="false">IF(COUNTIF($B$2:B412,B412)&gt;1,"مكرر","فريد")</f>
        <v>فريد</v>
      </c>
      <c r="Q412" s="19" t="str">
        <f aca="false">IF(COUNTBLANK(D412:L412)&gt;0,"نعم","لا")</f>
        <v>لا</v>
      </c>
    </row>
    <row r="413" customFormat="false" ht="15" hidden="false" customHeight="false" outlineLevel="0" collapsed="false">
      <c r="A413" s="19" t="n">
        <v>412</v>
      </c>
      <c r="B413" s="30" t="s">
        <v>428</v>
      </c>
      <c r="C413" s="44" t="n">
        <v>45383</v>
      </c>
      <c r="D413" s="30" t="s">
        <v>46</v>
      </c>
      <c r="E413" s="30" t="s">
        <v>105</v>
      </c>
      <c r="F413" s="30" t="s">
        <v>179</v>
      </c>
      <c r="G413" s="31" t="n">
        <v>1399</v>
      </c>
      <c r="H413" s="19" t="n">
        <v>6</v>
      </c>
      <c r="I413" s="32" t="n">
        <v>0.05</v>
      </c>
      <c r="J413" s="30" t="s">
        <v>55</v>
      </c>
      <c r="K413" s="30" t="s">
        <v>51</v>
      </c>
      <c r="L413" s="30" t="s">
        <v>92</v>
      </c>
      <c r="M413" s="31" t="n">
        <f aca="false">AVERAGEIF($E$2:$E$1197,E413,$G$2:$G$1197)</f>
        <v>2870.26771653543</v>
      </c>
      <c r="N413" s="19" t="str">
        <f aca="false">IF(G413&gt;M413*3,"نعم","لا")</f>
        <v>لا</v>
      </c>
      <c r="O413" s="19" t="str">
        <f aca="false">IF(OR(C413="",ISNUMBER(C413)),"لا","نعم")</f>
        <v>لا</v>
      </c>
      <c r="P413" s="19" t="str">
        <f aca="false">IF(COUNTIF($B$2:B413,B413)&gt;1,"مكرر","فريد")</f>
        <v>فريد</v>
      </c>
      <c r="Q413" s="19" t="str">
        <f aca="false">IF(COUNTBLANK(D413:L413)&gt;0,"نعم","لا")</f>
        <v>لا</v>
      </c>
    </row>
    <row r="414" customFormat="false" ht="15" hidden="false" customHeight="false" outlineLevel="0" collapsed="false">
      <c r="A414" s="19" t="n">
        <v>413</v>
      </c>
      <c r="B414" s="30" t="s">
        <v>376</v>
      </c>
      <c r="C414" s="44" t="n">
        <v>45368</v>
      </c>
      <c r="D414" s="30" t="s">
        <v>46</v>
      </c>
      <c r="E414" s="30" t="s">
        <v>109</v>
      </c>
      <c r="F414" s="30" t="s">
        <v>192</v>
      </c>
      <c r="G414" s="31" t="n">
        <v>299</v>
      </c>
      <c r="H414" s="19" t="n">
        <v>1</v>
      </c>
      <c r="I414" s="32" t="n">
        <v>0.05</v>
      </c>
      <c r="J414" s="30" t="s">
        <v>55</v>
      </c>
      <c r="K414" s="30" t="s">
        <v>47</v>
      </c>
      <c r="L414" s="30" t="s">
        <v>94</v>
      </c>
      <c r="M414" s="31" t="n">
        <f aca="false">AVERAGEIF($E$2:$E$1197,E414,$G$2:$G$1197)</f>
        <v>186.056291390729</v>
      </c>
      <c r="N414" s="19" t="str">
        <f aca="false">IF(G414&gt;M414*3,"نعم","لا")</f>
        <v>لا</v>
      </c>
      <c r="O414" s="19" t="str">
        <f aca="false">IF(OR(C414="",ISNUMBER(C414)),"لا","نعم")</f>
        <v>لا</v>
      </c>
      <c r="P414" s="19" t="str">
        <f aca="false">IF(COUNTIF($B$2:B414,B414)&gt;1,"مكرر","فريد")</f>
        <v>مكرر</v>
      </c>
      <c r="Q414" s="19" t="str">
        <f aca="false">IF(COUNTBLANK(D414:L414)&gt;0,"نعم","لا")</f>
        <v>لا</v>
      </c>
    </row>
    <row r="415" customFormat="false" ht="15" hidden="false" customHeight="false" outlineLevel="0" collapsed="false">
      <c r="A415" s="19" t="n">
        <v>414</v>
      </c>
      <c r="B415" s="30" t="s">
        <v>800</v>
      </c>
      <c r="C415" s="44" t="n">
        <v>45516</v>
      </c>
      <c r="D415" s="30" t="s">
        <v>50</v>
      </c>
      <c r="E415" s="30" t="s">
        <v>105</v>
      </c>
      <c r="F415" s="30" t="s">
        <v>79</v>
      </c>
      <c r="G415" s="31" t="n">
        <v>3079</v>
      </c>
      <c r="H415" s="19" t="n">
        <v>1</v>
      </c>
      <c r="I415" s="32" t="n">
        <v>0.05</v>
      </c>
      <c r="J415" s="30" t="s">
        <v>52</v>
      </c>
      <c r="K415" s="30" t="s">
        <v>51</v>
      </c>
      <c r="L415" s="30" t="s">
        <v>84</v>
      </c>
      <c r="M415" s="31" t="n">
        <f aca="false">AVERAGEIF($E$2:$E$1197,E415,$G$2:$G$1197)</f>
        <v>2870.26771653543</v>
      </c>
      <c r="N415" s="19" t="str">
        <f aca="false">IF(G415&gt;M415*3,"نعم","لا")</f>
        <v>لا</v>
      </c>
      <c r="O415" s="19" t="str">
        <f aca="false">IF(OR(C415="",ISNUMBER(C415)),"لا","نعم")</f>
        <v>لا</v>
      </c>
      <c r="P415" s="19" t="str">
        <f aca="false">IF(COUNTIF($B$2:B415,B415)&gt;1,"مكرر","فريد")</f>
        <v>فريد</v>
      </c>
      <c r="Q415" s="19" t="str">
        <f aca="false">IF(COUNTBLANK(D415:L415)&gt;0,"نعم","لا")</f>
        <v>لا</v>
      </c>
    </row>
    <row r="416" customFormat="false" ht="15" hidden="false" customHeight="false" outlineLevel="0" collapsed="false">
      <c r="A416" s="19" t="n">
        <v>415</v>
      </c>
      <c r="B416" s="30" t="s">
        <v>503</v>
      </c>
      <c r="C416" s="44" t="n">
        <v>45416</v>
      </c>
      <c r="D416" s="30" t="s">
        <v>54</v>
      </c>
      <c r="E416" s="30" t="s">
        <v>109</v>
      </c>
      <c r="F416" s="30" t="s">
        <v>171</v>
      </c>
      <c r="G416" s="31" t="n">
        <v>119</v>
      </c>
      <c r="H416" s="19" t="n">
        <v>1</v>
      </c>
      <c r="I416" s="32" t="n">
        <v>0</v>
      </c>
      <c r="J416" s="30" t="s">
        <v>52</v>
      </c>
      <c r="K416" s="30" t="s">
        <v>47</v>
      </c>
      <c r="L416" s="30" t="s">
        <v>84</v>
      </c>
      <c r="M416" s="31" t="n">
        <f aca="false">AVERAGEIF($E$2:$E$1197,E416,$G$2:$G$1197)</f>
        <v>186.056291390729</v>
      </c>
      <c r="N416" s="19" t="str">
        <f aca="false">IF(G416&gt;M416*3,"نعم","لا")</f>
        <v>لا</v>
      </c>
      <c r="O416" s="19" t="str">
        <f aca="false">IF(OR(C416="",ISNUMBER(C416)),"لا","نعم")</f>
        <v>لا</v>
      </c>
      <c r="P416" s="19" t="str">
        <f aca="false">IF(COUNTIF($B$2:B416,B416)&gt;1,"مكرر","فريد")</f>
        <v>فريد</v>
      </c>
      <c r="Q416" s="19" t="str">
        <f aca="false">IF(COUNTBLANK(D416:L416)&gt;0,"نعم","لا")</f>
        <v>لا</v>
      </c>
    </row>
    <row r="417" customFormat="false" ht="15" hidden="false" customHeight="false" outlineLevel="0" collapsed="false">
      <c r="A417" s="19" t="n">
        <v>416</v>
      </c>
      <c r="B417" s="30" t="s">
        <v>822</v>
      </c>
      <c r="C417" s="44" t="n">
        <v>45522</v>
      </c>
      <c r="D417" s="30" t="s">
        <v>46</v>
      </c>
      <c r="E417" s="30" t="s">
        <v>105</v>
      </c>
      <c r="F417" s="30" t="s">
        <v>85</v>
      </c>
      <c r="G417" s="31" t="n">
        <v>1399</v>
      </c>
      <c r="H417" s="19" t="n">
        <v>1</v>
      </c>
      <c r="I417" s="32" t="n">
        <v>0.05</v>
      </c>
      <c r="J417" s="30" t="s">
        <v>52</v>
      </c>
      <c r="K417" s="30" t="s">
        <v>47</v>
      </c>
      <c r="L417" s="30" t="s">
        <v>81</v>
      </c>
      <c r="M417" s="31" t="n">
        <f aca="false">AVERAGEIF($E$2:$E$1197,E417,$G$2:$G$1197)</f>
        <v>2870.26771653543</v>
      </c>
      <c r="N417" s="19" t="str">
        <f aca="false">IF(G417&gt;M417*3,"نعم","لا")</f>
        <v>لا</v>
      </c>
      <c r="O417" s="19" t="str">
        <f aca="false">IF(OR(C417="",ISNUMBER(C417)),"لا","نعم")</f>
        <v>لا</v>
      </c>
      <c r="P417" s="19" t="str">
        <f aca="false">IF(COUNTIF($B$2:B417,B417)&gt;1,"مكرر","فريد")</f>
        <v>فريد</v>
      </c>
      <c r="Q417" s="19" t="str">
        <f aca="false">IF(COUNTBLANK(D417:L417)&gt;0,"نعم","لا")</f>
        <v>لا</v>
      </c>
    </row>
    <row r="418" customFormat="false" ht="15" hidden="false" customHeight="false" outlineLevel="0" collapsed="false">
      <c r="A418" s="19" t="n">
        <v>417</v>
      </c>
      <c r="B418" s="30" t="s">
        <v>826</v>
      </c>
      <c r="C418" s="44" t="n">
        <v>45523</v>
      </c>
      <c r="D418" s="30" t="s">
        <v>50</v>
      </c>
      <c r="E418" s="30" t="s">
        <v>107</v>
      </c>
      <c r="F418" s="30" t="s">
        <v>184</v>
      </c>
      <c r="G418" s="31" t="n">
        <v>5759</v>
      </c>
      <c r="H418" s="19" t="n">
        <v>1</v>
      </c>
      <c r="I418" s="32" t="n">
        <v>0</v>
      </c>
      <c r="J418" s="30" t="s">
        <v>55</v>
      </c>
      <c r="K418" s="30" t="s">
        <v>47</v>
      </c>
      <c r="L418" s="30" t="s">
        <v>86</v>
      </c>
      <c r="M418" s="31" t="n">
        <f aca="false">AVERAGEIF($E$2:$E$1197,E418,$G$2:$G$1197)</f>
        <v>4981.14563106796</v>
      </c>
      <c r="N418" s="19" t="str">
        <f aca="false">IF(G418&gt;M418*3,"نعم","لا")</f>
        <v>لا</v>
      </c>
      <c r="O418" s="19" t="str">
        <f aca="false">IF(OR(C418="",ISNUMBER(C418)),"لا","نعم")</f>
        <v>لا</v>
      </c>
      <c r="P418" s="19" t="str">
        <f aca="false">IF(COUNTIF($B$2:B418,B418)&gt;1,"مكرر","فريد")</f>
        <v>فريد</v>
      </c>
      <c r="Q418" s="19" t="str">
        <f aca="false">IF(COUNTBLANK(D418:L418)&gt;0,"نعم","لا")</f>
        <v>لا</v>
      </c>
    </row>
    <row r="419" customFormat="false" ht="15" hidden="false" customHeight="false" outlineLevel="0" collapsed="false">
      <c r="A419" s="19" t="n">
        <v>418</v>
      </c>
      <c r="B419" s="30" t="s">
        <v>743</v>
      </c>
      <c r="C419" s="44" t="n">
        <v>45498</v>
      </c>
      <c r="D419" s="30" t="s">
        <v>57</v>
      </c>
      <c r="E419" s="30" t="s">
        <v>107</v>
      </c>
      <c r="F419" s="30" t="s">
        <v>115</v>
      </c>
      <c r="G419" s="31" t="n">
        <v>2899</v>
      </c>
      <c r="H419" s="19" t="n">
        <v>1</v>
      </c>
      <c r="I419" s="32" t="n">
        <v>0.05</v>
      </c>
      <c r="J419" s="30" t="s">
        <v>55</v>
      </c>
      <c r="K419" s="30" t="s">
        <v>47</v>
      </c>
      <c r="L419" s="30" t="s">
        <v>92</v>
      </c>
      <c r="M419" s="31" t="n">
        <f aca="false">AVERAGEIF($E$2:$E$1197,E419,$G$2:$G$1197)</f>
        <v>4981.14563106796</v>
      </c>
      <c r="N419" s="19" t="str">
        <f aca="false">IF(G419&gt;M419*3,"نعم","لا")</f>
        <v>لا</v>
      </c>
      <c r="O419" s="19" t="str">
        <f aca="false">IF(OR(C419="",ISNUMBER(C419)),"لا","نعم")</f>
        <v>لا</v>
      </c>
      <c r="P419" s="19" t="str">
        <f aca="false">IF(COUNTIF($B$2:B419,B419)&gt;1,"مكرر","فريد")</f>
        <v>فريد</v>
      </c>
      <c r="Q419" s="19" t="str">
        <f aca="false">IF(COUNTBLANK(D419:L419)&gt;0,"نعم","لا")</f>
        <v>لا</v>
      </c>
    </row>
    <row r="420" customFormat="false" ht="15" hidden="false" customHeight="false" outlineLevel="0" collapsed="false">
      <c r="A420" s="19" t="n">
        <v>419</v>
      </c>
      <c r="B420" s="30" t="s">
        <v>356</v>
      </c>
      <c r="C420" s="30" t="s">
        <v>1402</v>
      </c>
      <c r="D420" s="30" t="s">
        <v>46</v>
      </c>
      <c r="E420" s="30" t="s">
        <v>107</v>
      </c>
      <c r="F420" s="30" t="s">
        <v>184</v>
      </c>
      <c r="G420" s="31" t="n">
        <v>3429</v>
      </c>
      <c r="H420" s="19" t="n">
        <v>1</v>
      </c>
      <c r="I420" s="32" t="n">
        <v>0.05</v>
      </c>
      <c r="J420" s="30" t="s">
        <v>55</v>
      </c>
      <c r="K420" s="30" t="s">
        <v>47</v>
      </c>
      <c r="L420" s="30" t="s">
        <v>99</v>
      </c>
      <c r="M420" s="31" t="n">
        <f aca="false">AVERAGEIF($E$2:$E$1197,E420,$G$2:$G$1197)</f>
        <v>4981.14563106796</v>
      </c>
      <c r="N420" s="19" t="str">
        <f aca="false">IF(G420&gt;M420*3,"نعم","لا")</f>
        <v>لا</v>
      </c>
      <c r="O420" s="19" t="str">
        <f aca="false">IF(OR(C420="",ISNUMBER(C420)),"لا","نعم")</f>
        <v>نعم</v>
      </c>
      <c r="P420" s="19" t="str">
        <f aca="false">IF(COUNTIF($B$2:B420,B420)&gt;1,"مكرر","فريد")</f>
        <v>فريد</v>
      </c>
      <c r="Q420" s="19" t="str">
        <f aca="false">IF(COUNTBLANK(D420:L420)&gt;0,"نعم","لا")</f>
        <v>لا</v>
      </c>
    </row>
    <row r="421" customFormat="false" ht="15" hidden="false" customHeight="false" outlineLevel="0" collapsed="false">
      <c r="A421" s="19" t="n">
        <v>420</v>
      </c>
      <c r="B421" s="30" t="s">
        <v>1403</v>
      </c>
      <c r="C421" s="30" t="s">
        <v>1404</v>
      </c>
      <c r="D421" s="30" t="s">
        <v>46</v>
      </c>
      <c r="E421" s="30" t="s">
        <v>109</v>
      </c>
      <c r="F421" s="30" t="s">
        <v>171</v>
      </c>
      <c r="G421" s="31" t="n">
        <v>269</v>
      </c>
      <c r="H421" s="19" t="n">
        <v>3</v>
      </c>
      <c r="I421" s="32" t="n">
        <v>0</v>
      </c>
      <c r="J421" s="30" t="s">
        <v>48</v>
      </c>
      <c r="K421" s="30" t="s">
        <v>47</v>
      </c>
      <c r="L421" s="30" t="s">
        <v>76</v>
      </c>
      <c r="M421" s="31" t="n">
        <f aca="false">AVERAGEIF($E$2:$E$1197,E421,$G$2:$G$1197)</f>
        <v>186.056291390729</v>
      </c>
      <c r="N421" s="19" t="str">
        <f aca="false">IF(G421&gt;M421*3,"نعم","لا")</f>
        <v>لا</v>
      </c>
      <c r="O421" s="19" t="str">
        <f aca="false">IF(OR(C421="",ISNUMBER(C421)),"لا","نعم")</f>
        <v>نعم</v>
      </c>
      <c r="P421" s="19" t="str">
        <f aca="false">IF(COUNTIF($B$2:B421,B421)&gt;1,"مكرر","فريد")</f>
        <v>فريد</v>
      </c>
      <c r="Q421" s="19" t="str">
        <f aca="false">IF(COUNTBLANK(D421:L421)&gt;0,"نعم","لا")</f>
        <v>لا</v>
      </c>
    </row>
    <row r="422" customFormat="false" ht="15" hidden="false" customHeight="false" outlineLevel="0" collapsed="false">
      <c r="A422" s="19" t="n">
        <v>421</v>
      </c>
      <c r="B422" s="30" t="s">
        <v>597</v>
      </c>
      <c r="C422" s="44" t="n">
        <v>45451</v>
      </c>
      <c r="D422" s="30" t="s">
        <v>46</v>
      </c>
      <c r="E422" s="30" t="s">
        <v>107</v>
      </c>
      <c r="F422" s="30" t="s">
        <v>272</v>
      </c>
      <c r="G422" s="31" t="n">
        <v>4889</v>
      </c>
      <c r="H422" s="19" t="n">
        <v>3</v>
      </c>
      <c r="I422" s="32" t="n">
        <v>0.15</v>
      </c>
      <c r="J422" s="30"/>
      <c r="K422" s="30" t="s">
        <v>47</v>
      </c>
      <c r="L422" s="30" t="s">
        <v>78</v>
      </c>
      <c r="M422" s="31" t="n">
        <f aca="false">AVERAGEIF($E$2:$E$1197,E422,$G$2:$G$1197)</f>
        <v>4981.14563106796</v>
      </c>
      <c r="N422" s="19" t="str">
        <f aca="false">IF(G422&gt;M422*3,"نعم","لا")</f>
        <v>لا</v>
      </c>
      <c r="O422" s="19" t="str">
        <f aca="false">IF(OR(C422="",ISNUMBER(C422)),"لا","نعم")</f>
        <v>لا</v>
      </c>
      <c r="P422" s="19" t="str">
        <f aca="false">IF(COUNTIF($B$2:B422,B422)&gt;1,"مكرر","فريد")</f>
        <v>فريد</v>
      </c>
      <c r="Q422" s="19" t="str">
        <f aca="false">IF(COUNTBLANK(D422:L422)&gt;0,"نعم","لا")</f>
        <v>نعم</v>
      </c>
    </row>
    <row r="423" customFormat="false" ht="15" hidden="false" customHeight="false" outlineLevel="0" collapsed="false">
      <c r="A423" s="19" t="n">
        <v>422</v>
      </c>
      <c r="B423" s="30" t="s">
        <v>852</v>
      </c>
      <c r="C423" s="44" t="n">
        <v>45530</v>
      </c>
      <c r="D423" s="30" t="s">
        <v>1405</v>
      </c>
      <c r="E423" s="30" t="s">
        <v>109</v>
      </c>
      <c r="F423" s="30" t="s">
        <v>93</v>
      </c>
      <c r="G423" s="31" t="n">
        <v>109</v>
      </c>
      <c r="H423" s="19" t="n">
        <v>1</v>
      </c>
      <c r="I423" s="32" t="n">
        <v>0.1</v>
      </c>
      <c r="J423" s="30" t="s">
        <v>48</v>
      </c>
      <c r="K423" s="30" t="s">
        <v>47</v>
      </c>
      <c r="L423" s="30" t="s">
        <v>92</v>
      </c>
      <c r="M423" s="31" t="n">
        <f aca="false">AVERAGEIF($E$2:$E$1197,E423,$G$2:$G$1197)</f>
        <v>186.056291390729</v>
      </c>
      <c r="N423" s="19" t="str">
        <f aca="false">IF(G423&gt;M423*3,"نعم","لا")</f>
        <v>لا</v>
      </c>
      <c r="O423" s="19" t="str">
        <f aca="false">IF(OR(C423="",ISNUMBER(C423)),"لا","نعم")</f>
        <v>لا</v>
      </c>
      <c r="P423" s="19" t="str">
        <f aca="false">IF(COUNTIF($B$2:B423,B423)&gt;1,"مكرر","فريد")</f>
        <v>فريد</v>
      </c>
      <c r="Q423" s="19" t="str">
        <f aca="false">IF(COUNTBLANK(D423:L423)&gt;0,"نعم","لا")</f>
        <v>لا</v>
      </c>
    </row>
    <row r="424" customFormat="false" ht="15" hidden="false" customHeight="false" outlineLevel="0" collapsed="false">
      <c r="A424" s="19" t="n">
        <v>423</v>
      </c>
      <c r="B424" s="30" t="s">
        <v>697</v>
      </c>
      <c r="C424" s="44" t="n">
        <v>45485</v>
      </c>
      <c r="D424" s="30" t="s">
        <v>54</v>
      </c>
      <c r="E424" s="30" t="s">
        <v>105</v>
      </c>
      <c r="F424" s="30" t="s">
        <v>90</v>
      </c>
      <c r="G424" s="31" t="n">
        <v>3219</v>
      </c>
      <c r="H424" s="19" t="n">
        <v>1</v>
      </c>
      <c r="I424" s="32" t="n">
        <v>0</v>
      </c>
      <c r="J424" s="30" t="s">
        <v>48</v>
      </c>
      <c r="K424" s="30" t="s">
        <v>47</v>
      </c>
      <c r="L424" s="30" t="s">
        <v>81</v>
      </c>
      <c r="M424" s="31" t="n">
        <f aca="false">AVERAGEIF($E$2:$E$1197,E424,$G$2:$G$1197)</f>
        <v>2870.26771653543</v>
      </c>
      <c r="N424" s="19" t="str">
        <f aca="false">IF(G424&gt;M424*3,"نعم","لا")</f>
        <v>لا</v>
      </c>
      <c r="O424" s="19" t="str">
        <f aca="false">IF(OR(C424="",ISNUMBER(C424)),"لا","نعم")</f>
        <v>لا</v>
      </c>
      <c r="P424" s="19" t="str">
        <f aca="false">IF(COUNTIF($B$2:B424,B424)&gt;1,"مكرر","فريد")</f>
        <v>فريد</v>
      </c>
      <c r="Q424" s="19" t="str">
        <f aca="false">IF(COUNTBLANK(D424:L424)&gt;0,"نعم","لا")</f>
        <v>لا</v>
      </c>
    </row>
    <row r="425" customFormat="false" ht="15" hidden="false" customHeight="false" outlineLevel="0" collapsed="false">
      <c r="A425" s="19" t="n">
        <v>424</v>
      </c>
      <c r="B425" s="30" t="s">
        <v>252</v>
      </c>
      <c r="C425" s="44" t="n">
        <v>45322</v>
      </c>
      <c r="D425" s="30" t="s">
        <v>54</v>
      </c>
      <c r="E425" s="30" t="s">
        <v>109</v>
      </c>
      <c r="F425" s="30" t="s">
        <v>93</v>
      </c>
      <c r="G425" s="31" t="n">
        <v>269</v>
      </c>
      <c r="H425" s="19" t="n">
        <v>1</v>
      </c>
      <c r="I425" s="32" t="n">
        <v>0.05</v>
      </c>
      <c r="J425" s="30" t="s">
        <v>1348</v>
      </c>
      <c r="K425" s="30" t="s">
        <v>47</v>
      </c>
      <c r="L425" s="30" t="s">
        <v>76</v>
      </c>
      <c r="M425" s="31" t="n">
        <f aca="false">AVERAGEIF($E$2:$E$1197,E425,$G$2:$G$1197)</f>
        <v>186.056291390729</v>
      </c>
      <c r="N425" s="19" t="str">
        <f aca="false">IF(G425&gt;M425*3,"نعم","لا")</f>
        <v>لا</v>
      </c>
      <c r="O425" s="19" t="str">
        <f aca="false">IF(OR(C425="",ISNUMBER(C425)),"لا","نعم")</f>
        <v>لا</v>
      </c>
      <c r="P425" s="19" t="str">
        <f aca="false">IF(COUNTIF($B$2:B425,B425)&gt;1,"مكرر","فريد")</f>
        <v>فريد</v>
      </c>
      <c r="Q425" s="19" t="str">
        <f aca="false">IF(COUNTBLANK(D425:L425)&gt;0,"نعم","لا")</f>
        <v>لا</v>
      </c>
    </row>
    <row r="426" customFormat="false" ht="15" hidden="false" customHeight="false" outlineLevel="0" collapsed="false">
      <c r="A426" s="19" t="n">
        <v>425</v>
      </c>
      <c r="B426" s="30" t="s">
        <v>869</v>
      </c>
      <c r="C426" s="44" t="n">
        <v>45535</v>
      </c>
      <c r="D426" s="30" t="s">
        <v>50</v>
      </c>
      <c r="E426" s="30" t="s">
        <v>111</v>
      </c>
      <c r="F426" s="30" t="s">
        <v>108</v>
      </c>
      <c r="G426" s="31" t="n">
        <v>359</v>
      </c>
      <c r="H426" s="19" t="n">
        <v>1</v>
      </c>
      <c r="I426" s="32" t="n">
        <v>0.1</v>
      </c>
      <c r="J426" s="30" t="s">
        <v>55</v>
      </c>
      <c r="K426" s="30" t="s">
        <v>47</v>
      </c>
      <c r="L426" s="30" t="s">
        <v>84</v>
      </c>
      <c r="M426" s="31" t="n">
        <f aca="false">AVERAGEIF($E$2:$E$1197,E426,$G$2:$G$1197)</f>
        <v>366.306569343066</v>
      </c>
      <c r="N426" s="19" t="str">
        <f aca="false">IF(G426&gt;M426*3,"نعم","لا")</f>
        <v>لا</v>
      </c>
      <c r="O426" s="19" t="str">
        <f aca="false">IF(OR(C426="",ISNUMBER(C426)),"لا","نعم")</f>
        <v>لا</v>
      </c>
      <c r="P426" s="19" t="str">
        <f aca="false">IF(COUNTIF($B$2:B426,B426)&gt;1,"مكرر","فريد")</f>
        <v>فريد</v>
      </c>
      <c r="Q426" s="19" t="str">
        <f aca="false">IF(COUNTBLANK(D426:L426)&gt;0,"نعم","لا")</f>
        <v>لا</v>
      </c>
    </row>
    <row r="427" customFormat="false" ht="15" hidden="false" customHeight="false" outlineLevel="0" collapsed="false">
      <c r="A427" s="19" t="n">
        <v>426</v>
      </c>
      <c r="B427" s="30" t="s">
        <v>935</v>
      </c>
      <c r="C427" s="44" t="n">
        <v>45560</v>
      </c>
      <c r="D427" s="30" t="s">
        <v>46</v>
      </c>
      <c r="E427" s="30" t="s">
        <v>107</v>
      </c>
      <c r="F427" s="30" t="s">
        <v>114</v>
      </c>
      <c r="G427" s="31" t="n">
        <v>2919</v>
      </c>
      <c r="H427" s="19" t="n">
        <v>1</v>
      </c>
      <c r="I427" s="32" t="n">
        <v>0</v>
      </c>
      <c r="J427" s="30" t="s">
        <v>52</v>
      </c>
      <c r="K427" s="30" t="s">
        <v>51</v>
      </c>
      <c r="L427" s="30" t="s">
        <v>94</v>
      </c>
      <c r="M427" s="31" t="n">
        <f aca="false">AVERAGEIF($E$2:$E$1197,E427,$G$2:$G$1197)</f>
        <v>4981.14563106796</v>
      </c>
      <c r="N427" s="19" t="str">
        <f aca="false">IF(G427&gt;M427*3,"نعم","لا")</f>
        <v>لا</v>
      </c>
      <c r="O427" s="19" t="str">
        <f aca="false">IF(OR(C427="",ISNUMBER(C427)),"لا","نعم")</f>
        <v>لا</v>
      </c>
      <c r="P427" s="19" t="str">
        <f aca="false">IF(COUNTIF($B$2:B427,B427)&gt;1,"مكرر","فريد")</f>
        <v>فريد</v>
      </c>
      <c r="Q427" s="19" t="str">
        <f aca="false">IF(COUNTBLANK(D427:L427)&gt;0,"نعم","لا")</f>
        <v>لا</v>
      </c>
    </row>
    <row r="428" customFormat="false" ht="15" hidden="false" customHeight="false" outlineLevel="0" collapsed="false">
      <c r="A428" s="19" t="n">
        <v>427</v>
      </c>
      <c r="B428" s="30" t="s">
        <v>907</v>
      </c>
      <c r="C428" s="44" t="n">
        <v>45548</v>
      </c>
      <c r="D428" s="30" t="s">
        <v>46</v>
      </c>
      <c r="E428" s="30" t="s">
        <v>105</v>
      </c>
      <c r="F428" s="30" t="s">
        <v>79</v>
      </c>
      <c r="G428" s="31" t="n">
        <v>2829</v>
      </c>
      <c r="H428" s="19" t="n">
        <v>1</v>
      </c>
      <c r="I428" s="32" t="n">
        <v>0</v>
      </c>
      <c r="J428" s="30" t="s">
        <v>55</v>
      </c>
      <c r="K428" s="30"/>
      <c r="L428" s="30" t="s">
        <v>84</v>
      </c>
      <c r="M428" s="31" t="n">
        <f aca="false">AVERAGEIF($E$2:$E$1197,E428,$G$2:$G$1197)</f>
        <v>2870.26771653543</v>
      </c>
      <c r="N428" s="19" t="str">
        <f aca="false">IF(G428&gt;M428*3,"نعم","لا")</f>
        <v>لا</v>
      </c>
      <c r="O428" s="19" t="str">
        <f aca="false">IF(OR(C428="",ISNUMBER(C428)),"لا","نعم")</f>
        <v>لا</v>
      </c>
      <c r="P428" s="19" t="str">
        <f aca="false">IF(COUNTIF($B$2:B428,B428)&gt;1,"مكرر","فريد")</f>
        <v>فريد</v>
      </c>
      <c r="Q428" s="19" t="str">
        <f aca="false">IF(COUNTBLANK(D428:L428)&gt;0,"نعم","لا")</f>
        <v>نعم</v>
      </c>
    </row>
    <row r="429" customFormat="false" ht="15" hidden="false" customHeight="false" outlineLevel="0" collapsed="false">
      <c r="A429" s="19" t="n">
        <v>428</v>
      </c>
      <c r="B429" s="30" t="s">
        <v>200</v>
      </c>
      <c r="C429" s="44" t="n">
        <v>45301</v>
      </c>
      <c r="D429" s="30" t="s">
        <v>46</v>
      </c>
      <c r="E429" s="30" t="s">
        <v>113</v>
      </c>
      <c r="F429" s="30" t="s">
        <v>121</v>
      </c>
      <c r="G429" s="31" t="n">
        <v>329</v>
      </c>
      <c r="H429" s="19" t="n">
        <v>1</v>
      </c>
      <c r="I429" s="32" t="n">
        <v>0.1</v>
      </c>
      <c r="J429" s="30" t="s">
        <v>48</v>
      </c>
      <c r="K429" s="30" t="s">
        <v>47</v>
      </c>
      <c r="L429" s="30" t="s">
        <v>81</v>
      </c>
      <c r="M429" s="31" t="n">
        <f aca="false">AVERAGEIF($E$2:$E$1197,E429,$G$2:$G$1197)</f>
        <v>545.358823529412</v>
      </c>
      <c r="N429" s="19" t="str">
        <f aca="false">IF(G429&gt;M429*3,"نعم","لا")</f>
        <v>لا</v>
      </c>
      <c r="O429" s="19" t="str">
        <f aca="false">IF(OR(C429="",ISNUMBER(C429)),"لا","نعم")</f>
        <v>لا</v>
      </c>
      <c r="P429" s="19" t="str">
        <f aca="false">IF(COUNTIF($B$2:B429,B429)&gt;1,"مكرر","فريد")</f>
        <v>فريد</v>
      </c>
      <c r="Q429" s="19" t="str">
        <f aca="false">IF(COUNTBLANK(D429:L429)&gt;0,"نعم","لا")</f>
        <v>لا</v>
      </c>
    </row>
    <row r="430" customFormat="false" ht="15" hidden="false" customHeight="false" outlineLevel="0" collapsed="false">
      <c r="A430" s="19" t="n">
        <v>429</v>
      </c>
      <c r="B430" s="30" t="s">
        <v>593</v>
      </c>
      <c r="C430" s="44" t="n">
        <v>45449</v>
      </c>
      <c r="D430" s="30" t="s">
        <v>60</v>
      </c>
      <c r="E430" s="30" t="s">
        <v>107</v>
      </c>
      <c r="F430" s="30" t="s">
        <v>184</v>
      </c>
      <c r="G430" s="31" t="n">
        <v>6749</v>
      </c>
      <c r="H430" s="19" t="n">
        <v>2</v>
      </c>
      <c r="I430" s="32" t="n">
        <v>0</v>
      </c>
      <c r="J430" s="30" t="s">
        <v>55</v>
      </c>
      <c r="K430" s="30" t="s">
        <v>51</v>
      </c>
      <c r="L430" s="30" t="s">
        <v>94</v>
      </c>
      <c r="M430" s="31" t="n">
        <f aca="false">AVERAGEIF($E$2:$E$1197,E430,$G$2:$G$1197)</f>
        <v>4981.14563106796</v>
      </c>
      <c r="N430" s="19" t="str">
        <f aca="false">IF(G430&gt;M430*3,"نعم","لا")</f>
        <v>لا</v>
      </c>
      <c r="O430" s="19" t="str">
        <f aca="false">IF(OR(C430="",ISNUMBER(C430)),"لا","نعم")</f>
        <v>لا</v>
      </c>
      <c r="P430" s="19" t="str">
        <f aca="false">IF(COUNTIF($B$2:B430,B430)&gt;1,"مكرر","فريد")</f>
        <v>فريد</v>
      </c>
      <c r="Q430" s="19" t="str">
        <f aca="false">IF(COUNTBLANK(D430:L430)&gt;0,"نعم","لا")</f>
        <v>لا</v>
      </c>
    </row>
    <row r="431" customFormat="false" ht="15" hidden="false" customHeight="false" outlineLevel="0" collapsed="false">
      <c r="A431" s="19" t="n">
        <v>430</v>
      </c>
      <c r="B431" s="30" t="s">
        <v>335</v>
      </c>
      <c r="C431" s="44" t="n">
        <v>45357</v>
      </c>
      <c r="D431" s="30" t="s">
        <v>46</v>
      </c>
      <c r="E431" s="30" t="s">
        <v>111</v>
      </c>
      <c r="F431" s="30" t="s">
        <v>122</v>
      </c>
      <c r="G431" s="31" t="n">
        <v>319</v>
      </c>
      <c r="H431" s="19" t="n">
        <v>3</v>
      </c>
      <c r="I431" s="32" t="n">
        <v>0</v>
      </c>
      <c r="J431" s="30" t="s">
        <v>52</v>
      </c>
      <c r="K431" s="30" t="s">
        <v>47</v>
      </c>
      <c r="L431" s="30" t="s">
        <v>81</v>
      </c>
      <c r="M431" s="31" t="n">
        <f aca="false">AVERAGEIF($E$2:$E$1197,E431,$G$2:$G$1197)</f>
        <v>366.306569343066</v>
      </c>
      <c r="N431" s="19" t="str">
        <f aca="false">IF(G431&gt;M431*3,"نعم","لا")</f>
        <v>لا</v>
      </c>
      <c r="O431" s="19" t="str">
        <f aca="false">IF(OR(C431="",ISNUMBER(C431)),"لا","نعم")</f>
        <v>لا</v>
      </c>
      <c r="P431" s="19" t="str">
        <f aca="false">IF(COUNTIF($B$2:B431,B431)&gt;1,"مكرر","فريد")</f>
        <v>فريد</v>
      </c>
      <c r="Q431" s="19" t="str">
        <f aca="false">IF(COUNTBLANK(D431:L431)&gt;0,"نعم","لا")</f>
        <v>لا</v>
      </c>
    </row>
    <row r="432" customFormat="false" ht="15" hidden="false" customHeight="false" outlineLevel="0" collapsed="false">
      <c r="A432" s="19" t="n">
        <v>431</v>
      </c>
      <c r="B432" s="30" t="s">
        <v>415</v>
      </c>
      <c r="C432" s="44" t="n">
        <v>45380</v>
      </c>
      <c r="D432" s="30" t="s">
        <v>46</v>
      </c>
      <c r="E432" s="30" t="s">
        <v>109</v>
      </c>
      <c r="F432" s="30" t="s">
        <v>110</v>
      </c>
      <c r="G432" s="31" t="n">
        <v>239</v>
      </c>
      <c r="H432" s="19" t="n">
        <v>3</v>
      </c>
      <c r="I432" s="32" t="n">
        <v>0</v>
      </c>
      <c r="J432" s="30" t="s">
        <v>52</v>
      </c>
      <c r="K432" s="30" t="s">
        <v>47</v>
      </c>
      <c r="L432" s="30" t="s">
        <v>81</v>
      </c>
      <c r="M432" s="31" t="n">
        <f aca="false">AVERAGEIF($E$2:$E$1197,E432,$G$2:$G$1197)</f>
        <v>186.056291390729</v>
      </c>
      <c r="N432" s="19" t="str">
        <f aca="false">IF(G432&gt;M432*3,"نعم","لا")</f>
        <v>لا</v>
      </c>
      <c r="O432" s="19" t="str">
        <f aca="false">IF(OR(C432="",ISNUMBER(C432)),"لا","نعم")</f>
        <v>لا</v>
      </c>
      <c r="P432" s="19" t="str">
        <f aca="false">IF(COUNTIF($B$2:B432,B432)&gt;1,"مكرر","فريد")</f>
        <v>فريد</v>
      </c>
      <c r="Q432" s="19" t="str">
        <f aca="false">IF(COUNTBLANK(D432:L432)&gt;0,"نعم","لا")</f>
        <v>لا</v>
      </c>
    </row>
    <row r="433" customFormat="false" ht="15" hidden="false" customHeight="false" outlineLevel="0" collapsed="false">
      <c r="A433" s="19" t="n">
        <v>432</v>
      </c>
      <c r="B433" s="30" t="s">
        <v>473</v>
      </c>
      <c r="C433" s="44" t="n">
        <v>45399</v>
      </c>
      <c r="D433" s="30" t="s">
        <v>57</v>
      </c>
      <c r="E433" s="30" t="s">
        <v>107</v>
      </c>
      <c r="F433" s="30" t="s">
        <v>272</v>
      </c>
      <c r="G433" s="31" t="n">
        <v>4389</v>
      </c>
      <c r="H433" s="19" t="n">
        <v>1</v>
      </c>
      <c r="I433" s="32" t="n">
        <v>0</v>
      </c>
      <c r="J433" s="30" t="s">
        <v>52</v>
      </c>
      <c r="K433" s="30" t="s">
        <v>47</v>
      </c>
      <c r="L433" s="30" t="s">
        <v>96</v>
      </c>
      <c r="M433" s="31" t="n">
        <f aca="false">AVERAGEIF($E$2:$E$1197,E433,$G$2:$G$1197)</f>
        <v>4981.14563106796</v>
      </c>
      <c r="N433" s="19" t="str">
        <f aca="false">IF(G433&gt;M433*3,"نعم","لا")</f>
        <v>لا</v>
      </c>
      <c r="O433" s="19" t="str">
        <f aca="false">IF(OR(C433="",ISNUMBER(C433)),"لا","نعم")</f>
        <v>لا</v>
      </c>
      <c r="P433" s="19" t="str">
        <f aca="false">IF(COUNTIF($B$2:B433,B433)&gt;1,"مكرر","فريد")</f>
        <v>فريد</v>
      </c>
      <c r="Q433" s="19" t="str">
        <f aca="false">IF(COUNTBLANK(D433:L433)&gt;0,"نعم","لا")</f>
        <v>لا</v>
      </c>
    </row>
    <row r="434" customFormat="false" ht="15" hidden="false" customHeight="false" outlineLevel="0" collapsed="false">
      <c r="A434" s="19" t="n">
        <v>433</v>
      </c>
      <c r="B434" s="30" t="s">
        <v>509</v>
      </c>
      <c r="C434" s="44" t="n">
        <v>45418</v>
      </c>
      <c r="D434" s="30" t="s">
        <v>46</v>
      </c>
      <c r="E434" s="30" t="s">
        <v>105</v>
      </c>
      <c r="F434" s="30" t="s">
        <v>85</v>
      </c>
      <c r="G434" s="31" t="n">
        <v>3459</v>
      </c>
      <c r="H434" s="19" t="n">
        <v>2</v>
      </c>
      <c r="I434" s="32" t="n">
        <v>0</v>
      </c>
      <c r="J434" s="30" t="s">
        <v>48</v>
      </c>
      <c r="K434" s="30" t="s">
        <v>51</v>
      </c>
      <c r="L434" s="30" t="s">
        <v>86</v>
      </c>
      <c r="M434" s="31" t="n">
        <f aca="false">AVERAGEIF($E$2:$E$1197,E434,$G$2:$G$1197)</f>
        <v>2870.26771653543</v>
      </c>
      <c r="N434" s="19" t="str">
        <f aca="false">IF(G434&gt;M434*3,"نعم","لا")</f>
        <v>لا</v>
      </c>
      <c r="O434" s="19" t="str">
        <f aca="false">IF(OR(C434="",ISNUMBER(C434)),"لا","نعم")</f>
        <v>لا</v>
      </c>
      <c r="P434" s="19" t="str">
        <f aca="false">IF(COUNTIF($B$2:B434,B434)&gt;1,"مكرر","فريد")</f>
        <v>فريد</v>
      </c>
      <c r="Q434" s="19" t="str">
        <f aca="false">IF(COUNTBLANK(D434:L434)&gt;0,"نعم","لا")</f>
        <v>لا</v>
      </c>
    </row>
    <row r="435" customFormat="false" ht="15" hidden="false" customHeight="false" outlineLevel="0" collapsed="false">
      <c r="A435" s="19" t="n">
        <v>434</v>
      </c>
      <c r="B435" s="30" t="s">
        <v>498</v>
      </c>
      <c r="C435" s="44" t="n">
        <v>45414</v>
      </c>
      <c r="D435" s="30" t="s">
        <v>46</v>
      </c>
      <c r="E435" s="30" t="s">
        <v>105</v>
      </c>
      <c r="F435" s="30" t="s">
        <v>90</v>
      </c>
      <c r="G435" s="31" t="n">
        <v>3439</v>
      </c>
      <c r="H435" s="19" t="n">
        <v>1</v>
      </c>
      <c r="I435" s="32" t="n">
        <v>0</v>
      </c>
      <c r="J435" s="30" t="s">
        <v>48</v>
      </c>
      <c r="K435" s="30" t="s">
        <v>47</v>
      </c>
      <c r="L435" s="30" t="s">
        <v>99</v>
      </c>
      <c r="M435" s="31" t="n">
        <f aca="false">AVERAGEIF($E$2:$E$1197,E435,$G$2:$G$1197)</f>
        <v>2870.26771653543</v>
      </c>
      <c r="N435" s="19" t="str">
        <f aca="false">IF(G435&gt;M435*3,"نعم","لا")</f>
        <v>لا</v>
      </c>
      <c r="O435" s="19" t="str">
        <f aca="false">IF(OR(C435="",ISNUMBER(C435)),"لا","نعم")</f>
        <v>لا</v>
      </c>
      <c r="P435" s="19" t="str">
        <f aca="false">IF(COUNTIF($B$2:B435,B435)&gt;1,"مكرر","فريد")</f>
        <v>فريد</v>
      </c>
      <c r="Q435" s="19" t="str">
        <f aca="false">IF(COUNTBLANK(D435:L435)&gt;0,"نعم","لا")</f>
        <v>لا</v>
      </c>
    </row>
    <row r="436" customFormat="false" ht="15" hidden="false" customHeight="false" outlineLevel="0" collapsed="false">
      <c r="A436" s="19" t="n">
        <v>435</v>
      </c>
      <c r="B436" s="30" t="s">
        <v>452</v>
      </c>
      <c r="C436" s="30" t="s">
        <v>1406</v>
      </c>
      <c r="D436" s="30" t="s">
        <v>50</v>
      </c>
      <c r="E436" s="30" t="s">
        <v>107</v>
      </c>
      <c r="F436" s="30" t="s">
        <v>272</v>
      </c>
      <c r="G436" s="31" t="n">
        <v>6039</v>
      </c>
      <c r="H436" s="19" t="n">
        <v>3</v>
      </c>
      <c r="I436" s="32" t="n">
        <v>0.15</v>
      </c>
      <c r="J436" s="30" t="s">
        <v>52</v>
      </c>
      <c r="K436" s="30" t="s">
        <v>51</v>
      </c>
      <c r="L436" s="30" t="s">
        <v>84</v>
      </c>
      <c r="M436" s="31" t="n">
        <f aca="false">AVERAGEIF($E$2:$E$1197,E436,$G$2:$G$1197)</f>
        <v>4981.14563106796</v>
      </c>
      <c r="N436" s="19" t="str">
        <f aca="false">IF(G436&gt;M436*3,"نعم","لا")</f>
        <v>لا</v>
      </c>
      <c r="O436" s="19" t="str">
        <f aca="false">IF(OR(C436="",ISNUMBER(C436)),"لا","نعم")</f>
        <v>نعم</v>
      </c>
      <c r="P436" s="19" t="str">
        <f aca="false">IF(COUNTIF($B$2:B436,B436)&gt;1,"مكرر","فريد")</f>
        <v>فريد</v>
      </c>
      <c r="Q436" s="19" t="str">
        <f aca="false">IF(COUNTBLANK(D436:L436)&gt;0,"نعم","لا")</f>
        <v>لا</v>
      </c>
    </row>
    <row r="437" customFormat="false" ht="15" hidden="false" customHeight="false" outlineLevel="0" collapsed="false">
      <c r="A437" s="19" t="n">
        <v>436</v>
      </c>
      <c r="B437" s="30" t="s">
        <v>1092</v>
      </c>
      <c r="C437" s="44" t="n">
        <v>45605</v>
      </c>
      <c r="D437" s="30" t="s">
        <v>60</v>
      </c>
      <c r="E437" s="30" t="s">
        <v>109</v>
      </c>
      <c r="F437" s="30" t="s">
        <v>110</v>
      </c>
      <c r="G437" s="31" t="n">
        <v>239</v>
      </c>
      <c r="H437" s="19" t="n">
        <v>1</v>
      </c>
      <c r="I437" s="32" t="n">
        <v>0</v>
      </c>
      <c r="J437" s="30"/>
      <c r="K437" s="30" t="s">
        <v>51</v>
      </c>
      <c r="L437" s="30" t="s">
        <v>92</v>
      </c>
      <c r="M437" s="31" t="n">
        <f aca="false">AVERAGEIF($E$2:$E$1197,E437,$G$2:$G$1197)</f>
        <v>186.056291390729</v>
      </c>
      <c r="N437" s="19" t="str">
        <f aca="false">IF(G437&gt;M437*3,"نعم","لا")</f>
        <v>لا</v>
      </c>
      <c r="O437" s="19" t="str">
        <f aca="false">IF(OR(C437="",ISNUMBER(C437)),"لا","نعم")</f>
        <v>لا</v>
      </c>
      <c r="P437" s="19" t="str">
        <f aca="false">IF(COUNTIF($B$2:B437,B437)&gt;1,"مكرر","فريد")</f>
        <v>فريد</v>
      </c>
      <c r="Q437" s="19" t="str">
        <f aca="false">IF(COUNTBLANK(D437:L437)&gt;0,"نعم","لا")</f>
        <v>نعم</v>
      </c>
    </row>
    <row r="438" customFormat="false" ht="15" hidden="false" customHeight="false" outlineLevel="0" collapsed="false">
      <c r="A438" s="19" t="n">
        <v>437</v>
      </c>
      <c r="B438" s="30" t="s">
        <v>268</v>
      </c>
      <c r="C438" s="44" t="n">
        <v>45328</v>
      </c>
      <c r="D438" s="30" t="s">
        <v>50</v>
      </c>
      <c r="E438" s="30" t="s">
        <v>105</v>
      </c>
      <c r="F438" s="30" t="s">
        <v>85</v>
      </c>
      <c r="G438" s="31" t="n">
        <v>859</v>
      </c>
      <c r="H438" s="19" t="n">
        <v>1</v>
      </c>
      <c r="I438" s="32" t="n">
        <v>0</v>
      </c>
      <c r="J438" s="30" t="s">
        <v>48</v>
      </c>
      <c r="K438" s="30" t="s">
        <v>47</v>
      </c>
      <c r="L438" s="30" t="s">
        <v>86</v>
      </c>
      <c r="M438" s="31" t="n">
        <f aca="false">AVERAGEIF($E$2:$E$1197,E438,$G$2:$G$1197)</f>
        <v>2870.26771653543</v>
      </c>
      <c r="N438" s="19" t="str">
        <f aca="false">IF(G438&gt;M438*3,"نعم","لا")</f>
        <v>لا</v>
      </c>
      <c r="O438" s="19" t="str">
        <f aca="false">IF(OR(C438="",ISNUMBER(C438)),"لا","نعم")</f>
        <v>لا</v>
      </c>
      <c r="P438" s="19" t="str">
        <f aca="false">IF(COUNTIF($B$2:B438,B438)&gt;1,"مكرر","فريد")</f>
        <v>فريد</v>
      </c>
      <c r="Q438" s="19" t="str">
        <f aca="false">IF(COUNTBLANK(D438:L438)&gt;0,"نعم","لا")</f>
        <v>لا</v>
      </c>
    </row>
    <row r="439" customFormat="false" ht="15" hidden="false" customHeight="false" outlineLevel="0" collapsed="false">
      <c r="A439" s="19" t="n">
        <v>438</v>
      </c>
      <c r="B439" s="30" t="s">
        <v>1208</v>
      </c>
      <c r="C439" s="44" t="n">
        <v>45633</v>
      </c>
      <c r="D439" s="30" t="s">
        <v>54</v>
      </c>
      <c r="E439" s="30" t="s">
        <v>109</v>
      </c>
      <c r="F439" s="30" t="s">
        <v>171</v>
      </c>
      <c r="G439" s="31" t="n">
        <v>139</v>
      </c>
      <c r="H439" s="19" t="n">
        <v>1</v>
      </c>
      <c r="I439" s="32" t="n">
        <v>0</v>
      </c>
      <c r="J439" s="30" t="s">
        <v>48</v>
      </c>
      <c r="K439" s="30" t="s">
        <v>47</v>
      </c>
      <c r="L439" s="30" t="s">
        <v>96</v>
      </c>
      <c r="M439" s="31" t="n">
        <f aca="false">AVERAGEIF($E$2:$E$1197,E439,$G$2:$G$1197)</f>
        <v>186.056291390729</v>
      </c>
      <c r="N439" s="19" t="str">
        <f aca="false">IF(G439&gt;M439*3,"نعم","لا")</f>
        <v>لا</v>
      </c>
      <c r="O439" s="19" t="str">
        <f aca="false">IF(OR(C439="",ISNUMBER(C439)),"لا","نعم")</f>
        <v>لا</v>
      </c>
      <c r="P439" s="19" t="str">
        <f aca="false">IF(COUNTIF($B$2:B439,B439)&gt;1,"مكرر","فريد")</f>
        <v>فريد</v>
      </c>
      <c r="Q439" s="19" t="str">
        <f aca="false">IF(COUNTBLANK(D439:L439)&gt;0,"نعم","لا")</f>
        <v>لا</v>
      </c>
    </row>
    <row r="440" customFormat="false" ht="15" hidden="false" customHeight="false" outlineLevel="0" collapsed="false">
      <c r="A440" s="19" t="n">
        <v>439</v>
      </c>
      <c r="B440" s="30" t="s">
        <v>1178</v>
      </c>
      <c r="C440" s="44" t="n">
        <v>45624</v>
      </c>
      <c r="D440" s="30" t="s">
        <v>46</v>
      </c>
      <c r="E440" s="30" t="s">
        <v>109</v>
      </c>
      <c r="F440" s="30" t="s">
        <v>175</v>
      </c>
      <c r="G440" s="31" t="n">
        <v>59</v>
      </c>
      <c r="H440" s="19" t="n">
        <v>2</v>
      </c>
      <c r="I440" s="32" t="n">
        <v>0.05</v>
      </c>
      <c r="J440" s="30" t="s">
        <v>52</v>
      </c>
      <c r="K440" s="30" t="s">
        <v>47</v>
      </c>
      <c r="L440" s="30" t="s">
        <v>94</v>
      </c>
      <c r="M440" s="31" t="n">
        <f aca="false">AVERAGEIF($E$2:$E$1197,E440,$G$2:$G$1197)</f>
        <v>186.056291390729</v>
      </c>
      <c r="N440" s="19" t="str">
        <f aca="false">IF(G440&gt;M440*3,"نعم","لا")</f>
        <v>لا</v>
      </c>
      <c r="O440" s="19" t="str">
        <f aca="false">IF(OR(C440="",ISNUMBER(C440)),"لا","نعم")</f>
        <v>لا</v>
      </c>
      <c r="P440" s="19" t="str">
        <f aca="false">IF(COUNTIF($B$2:B440,B440)&gt;1,"مكرر","فريد")</f>
        <v>فريد</v>
      </c>
      <c r="Q440" s="19" t="str">
        <f aca="false">IF(COUNTBLANK(D440:L440)&gt;0,"نعم","لا")</f>
        <v>لا</v>
      </c>
    </row>
    <row r="441" customFormat="false" ht="15" hidden="false" customHeight="false" outlineLevel="0" collapsed="false">
      <c r="A441" s="19" t="n">
        <v>440</v>
      </c>
      <c r="B441" s="30" t="s">
        <v>1049</v>
      </c>
      <c r="C441" s="30" t="s">
        <v>1356</v>
      </c>
      <c r="D441" s="30" t="s">
        <v>50</v>
      </c>
      <c r="E441" s="30" t="s">
        <v>105</v>
      </c>
      <c r="F441" s="30" t="s">
        <v>79</v>
      </c>
      <c r="G441" s="31" t="n">
        <v>2789</v>
      </c>
      <c r="H441" s="19" t="n">
        <v>2</v>
      </c>
      <c r="I441" s="32" t="n">
        <v>0</v>
      </c>
      <c r="J441" s="30" t="s">
        <v>48</v>
      </c>
      <c r="K441" s="30" t="s">
        <v>47</v>
      </c>
      <c r="L441" s="30" t="s">
        <v>94</v>
      </c>
      <c r="M441" s="31" t="n">
        <f aca="false">AVERAGEIF($E$2:$E$1197,E441,$G$2:$G$1197)</f>
        <v>2870.26771653543</v>
      </c>
      <c r="N441" s="19" t="str">
        <f aca="false">IF(G441&gt;M441*3,"نعم","لا")</f>
        <v>لا</v>
      </c>
      <c r="O441" s="19" t="str">
        <f aca="false">IF(OR(C441="",ISNUMBER(C441)),"لا","نعم")</f>
        <v>نعم</v>
      </c>
      <c r="P441" s="19" t="str">
        <f aca="false">IF(COUNTIF($B$2:B441,B441)&gt;1,"مكرر","فريد")</f>
        <v>فريد</v>
      </c>
      <c r="Q441" s="19" t="str">
        <f aca="false">IF(COUNTBLANK(D441:L441)&gt;0,"نعم","لا")</f>
        <v>لا</v>
      </c>
    </row>
    <row r="442" customFormat="false" ht="15" hidden="false" customHeight="false" outlineLevel="0" collapsed="false">
      <c r="A442" s="19" t="n">
        <v>441</v>
      </c>
      <c r="B442" s="30" t="s">
        <v>753</v>
      </c>
      <c r="C442" s="44" t="n">
        <v>45504</v>
      </c>
      <c r="D442" s="30" t="s">
        <v>46</v>
      </c>
      <c r="E442" s="30" t="s">
        <v>105</v>
      </c>
      <c r="F442" s="30" t="s">
        <v>179</v>
      </c>
      <c r="G442" s="31" t="n">
        <v>2359</v>
      </c>
      <c r="H442" s="19" t="n">
        <v>1</v>
      </c>
      <c r="I442" s="32" t="n">
        <v>0.05</v>
      </c>
      <c r="J442" s="30" t="s">
        <v>48</v>
      </c>
      <c r="K442" s="30" t="s">
        <v>47</v>
      </c>
      <c r="L442" s="30" t="s">
        <v>86</v>
      </c>
      <c r="M442" s="31" t="n">
        <f aca="false">AVERAGEIF($E$2:$E$1197,E442,$G$2:$G$1197)</f>
        <v>2870.26771653543</v>
      </c>
      <c r="N442" s="19" t="str">
        <f aca="false">IF(G442&gt;M442*3,"نعم","لا")</f>
        <v>لا</v>
      </c>
      <c r="O442" s="19" t="str">
        <f aca="false">IF(OR(C442="",ISNUMBER(C442)),"لا","نعم")</f>
        <v>لا</v>
      </c>
      <c r="P442" s="19" t="str">
        <f aca="false">IF(COUNTIF($B$2:B442,B442)&gt;1,"مكرر","فريد")</f>
        <v>فريد</v>
      </c>
      <c r="Q442" s="19" t="str">
        <f aca="false">IF(COUNTBLANK(D442:L442)&gt;0,"نعم","لا")</f>
        <v>لا</v>
      </c>
    </row>
    <row r="443" customFormat="false" ht="15" hidden="false" customHeight="false" outlineLevel="0" collapsed="false">
      <c r="A443" s="19" t="n">
        <v>442</v>
      </c>
      <c r="B443" s="30" t="s">
        <v>833</v>
      </c>
      <c r="C443" s="44" t="n">
        <v>45524</v>
      </c>
      <c r="D443" s="30" t="s">
        <v>54</v>
      </c>
      <c r="E443" s="30" t="s">
        <v>107</v>
      </c>
      <c r="F443" s="30" t="s">
        <v>1407</v>
      </c>
      <c r="G443" s="31" t="n">
        <v>5799</v>
      </c>
      <c r="H443" s="19" t="n">
        <v>1</v>
      </c>
      <c r="I443" s="32" t="n">
        <v>0</v>
      </c>
      <c r="J443" s="30" t="s">
        <v>52</v>
      </c>
      <c r="K443" s="30" t="s">
        <v>47</v>
      </c>
      <c r="L443" s="30" t="s">
        <v>89</v>
      </c>
      <c r="M443" s="31" t="n">
        <f aca="false">AVERAGEIF($E$2:$E$1197,E443,$G$2:$G$1197)</f>
        <v>4981.14563106796</v>
      </c>
      <c r="N443" s="19" t="str">
        <f aca="false">IF(G443&gt;M443*3,"نعم","لا")</f>
        <v>لا</v>
      </c>
      <c r="O443" s="19" t="str">
        <f aca="false">IF(OR(C443="",ISNUMBER(C443)),"لا","نعم")</f>
        <v>لا</v>
      </c>
      <c r="P443" s="19" t="str">
        <f aca="false">IF(COUNTIF($B$2:B443,B443)&gt;1,"مكرر","فريد")</f>
        <v>فريد</v>
      </c>
      <c r="Q443" s="19" t="str">
        <f aca="false">IF(COUNTBLANK(D443:L443)&gt;0,"نعم","لا")</f>
        <v>لا</v>
      </c>
    </row>
    <row r="444" customFormat="false" ht="15" hidden="false" customHeight="false" outlineLevel="0" collapsed="false">
      <c r="A444" s="19" t="n">
        <v>443</v>
      </c>
      <c r="B444" s="30" t="s">
        <v>762</v>
      </c>
      <c r="C444" s="44" t="n">
        <v>45507</v>
      </c>
      <c r="D444" s="30" t="s">
        <v>46</v>
      </c>
      <c r="E444" s="30" t="s">
        <v>111</v>
      </c>
      <c r="F444" s="30" t="s">
        <v>118</v>
      </c>
      <c r="G444" s="31" t="n">
        <v>589</v>
      </c>
      <c r="H444" s="19" t="n">
        <v>2</v>
      </c>
      <c r="I444" s="32" t="n">
        <v>0.15</v>
      </c>
      <c r="J444" s="30" t="s">
        <v>55</v>
      </c>
      <c r="K444" s="30" t="s">
        <v>51</v>
      </c>
      <c r="L444" s="30" t="s">
        <v>99</v>
      </c>
      <c r="M444" s="31" t="n">
        <f aca="false">AVERAGEIF($E$2:$E$1197,E444,$G$2:$G$1197)</f>
        <v>366.306569343066</v>
      </c>
      <c r="N444" s="19" t="str">
        <f aca="false">IF(G444&gt;M444*3,"نعم","لا")</f>
        <v>لا</v>
      </c>
      <c r="O444" s="19" t="str">
        <f aca="false">IF(OR(C444="",ISNUMBER(C444)),"لا","نعم")</f>
        <v>لا</v>
      </c>
      <c r="P444" s="19" t="str">
        <f aca="false">IF(COUNTIF($B$2:B444,B444)&gt;1,"مكرر","فريد")</f>
        <v>فريد</v>
      </c>
      <c r="Q444" s="19" t="str">
        <f aca="false">IF(COUNTBLANK(D444:L444)&gt;0,"نعم","لا")</f>
        <v>لا</v>
      </c>
    </row>
    <row r="445" customFormat="false" ht="15" hidden="false" customHeight="false" outlineLevel="0" collapsed="false">
      <c r="A445" s="19" t="n">
        <v>444</v>
      </c>
      <c r="B445" s="30" t="s">
        <v>1220</v>
      </c>
      <c r="C445" s="30" t="s">
        <v>1408</v>
      </c>
      <c r="D445" s="30" t="s">
        <v>54</v>
      </c>
      <c r="E445" s="30" t="s">
        <v>111</v>
      </c>
      <c r="F445" s="30" t="s">
        <v>122</v>
      </c>
      <c r="G445" s="31" t="n">
        <v>369</v>
      </c>
      <c r="H445" s="19" t="n">
        <v>1</v>
      </c>
      <c r="I445" s="32" t="n">
        <v>0.1</v>
      </c>
      <c r="J445" s="30" t="s">
        <v>48</v>
      </c>
      <c r="K445" s="30" t="s">
        <v>47</v>
      </c>
      <c r="L445" s="30" t="s">
        <v>76</v>
      </c>
      <c r="M445" s="31" t="n">
        <f aca="false">AVERAGEIF($E$2:$E$1197,E445,$G$2:$G$1197)</f>
        <v>366.306569343066</v>
      </c>
      <c r="N445" s="19" t="str">
        <f aca="false">IF(G445&gt;M445*3,"نعم","لا")</f>
        <v>لا</v>
      </c>
      <c r="O445" s="19" t="str">
        <f aca="false">IF(OR(C445="",ISNUMBER(C445)),"لا","نعم")</f>
        <v>نعم</v>
      </c>
      <c r="P445" s="19" t="str">
        <f aca="false">IF(COUNTIF($B$2:B445,B445)&gt;1,"مكرر","فريد")</f>
        <v>فريد</v>
      </c>
      <c r="Q445" s="19" t="str">
        <f aca="false">IF(COUNTBLANK(D445:L445)&gt;0,"نعم","لا")</f>
        <v>لا</v>
      </c>
    </row>
    <row r="446" customFormat="false" ht="15" hidden="false" customHeight="false" outlineLevel="0" collapsed="false">
      <c r="A446" s="19" t="n">
        <v>445</v>
      </c>
      <c r="B446" s="30" t="s">
        <v>1172</v>
      </c>
      <c r="C446" s="44" t="n">
        <v>45623</v>
      </c>
      <c r="D446" s="30" t="s">
        <v>57</v>
      </c>
      <c r="E446" s="30" t="s">
        <v>109</v>
      </c>
      <c r="F446" s="30" t="s">
        <v>110</v>
      </c>
      <c r="G446" s="31" t="n">
        <v>59</v>
      </c>
      <c r="H446" s="19" t="n">
        <v>2</v>
      </c>
      <c r="I446" s="32" t="n">
        <v>0.05</v>
      </c>
      <c r="J446" s="30" t="s">
        <v>48</v>
      </c>
      <c r="K446" s="30" t="s">
        <v>47</v>
      </c>
      <c r="L446" s="30" t="s">
        <v>86</v>
      </c>
      <c r="M446" s="31" t="n">
        <f aca="false">AVERAGEIF($E$2:$E$1197,E446,$G$2:$G$1197)</f>
        <v>186.056291390729</v>
      </c>
      <c r="N446" s="19" t="str">
        <f aca="false">IF(G446&gt;M446*3,"نعم","لا")</f>
        <v>لا</v>
      </c>
      <c r="O446" s="19" t="str">
        <f aca="false">IF(OR(C446="",ISNUMBER(C446)),"لا","نعم")</f>
        <v>لا</v>
      </c>
      <c r="P446" s="19" t="str">
        <f aca="false">IF(COUNTIF($B$2:B446,B446)&gt;1,"مكرر","فريد")</f>
        <v>فريد</v>
      </c>
      <c r="Q446" s="19" t="str">
        <f aca="false">IF(COUNTBLANK(D446:L446)&gt;0,"نعم","لا")</f>
        <v>لا</v>
      </c>
    </row>
    <row r="447" customFormat="false" ht="15" hidden="false" customHeight="false" outlineLevel="0" collapsed="false">
      <c r="A447" s="19" t="n">
        <v>446</v>
      </c>
      <c r="B447" s="30" t="s">
        <v>1213</v>
      </c>
      <c r="C447" s="44" t="n">
        <v>45634</v>
      </c>
      <c r="D447" s="30" t="s">
        <v>46</v>
      </c>
      <c r="E447" s="30" t="s">
        <v>105</v>
      </c>
      <c r="F447" s="30" t="s">
        <v>90</v>
      </c>
      <c r="G447" s="31" t="n">
        <v>2029</v>
      </c>
      <c r="H447" s="19" t="n">
        <v>1</v>
      </c>
      <c r="I447" s="32" t="n">
        <v>0.05</v>
      </c>
      <c r="J447" s="30" t="s">
        <v>52</v>
      </c>
      <c r="K447" s="30" t="s">
        <v>47</v>
      </c>
      <c r="L447" s="30" t="s">
        <v>86</v>
      </c>
      <c r="M447" s="31" t="n">
        <f aca="false">AVERAGEIF($E$2:$E$1197,E447,$G$2:$G$1197)</f>
        <v>2870.26771653543</v>
      </c>
      <c r="N447" s="19" t="str">
        <f aca="false">IF(G447&gt;M447*3,"نعم","لا")</f>
        <v>لا</v>
      </c>
      <c r="O447" s="19" t="str">
        <f aca="false">IF(OR(C447="",ISNUMBER(C447)),"لا","نعم")</f>
        <v>لا</v>
      </c>
      <c r="P447" s="19" t="str">
        <f aca="false">IF(COUNTIF($B$2:B447,B447)&gt;1,"مكرر","فريد")</f>
        <v>فريد</v>
      </c>
      <c r="Q447" s="19" t="str">
        <f aca="false">IF(COUNTBLANK(D447:L447)&gt;0,"نعم","لا")</f>
        <v>لا</v>
      </c>
    </row>
    <row r="448" customFormat="false" ht="15" hidden="false" customHeight="false" outlineLevel="0" collapsed="false">
      <c r="A448" s="19" t="n">
        <v>447</v>
      </c>
      <c r="B448" s="30" t="s">
        <v>236</v>
      </c>
      <c r="C448" s="44" t="n">
        <v>45316</v>
      </c>
      <c r="D448" s="30" t="s">
        <v>50</v>
      </c>
      <c r="E448" s="30" t="s">
        <v>113</v>
      </c>
      <c r="F448" s="30" t="s">
        <v>121</v>
      </c>
      <c r="G448" s="31" t="n">
        <v>599</v>
      </c>
      <c r="H448" s="19" t="n">
        <v>1</v>
      </c>
      <c r="I448" s="32" t="n">
        <v>0</v>
      </c>
      <c r="J448" s="30" t="s">
        <v>48</v>
      </c>
      <c r="K448" s="30" t="s">
        <v>47</v>
      </c>
      <c r="L448" s="30" t="s">
        <v>92</v>
      </c>
      <c r="M448" s="31" t="n">
        <f aca="false">AVERAGEIF($E$2:$E$1197,E448,$G$2:$G$1197)</f>
        <v>545.358823529412</v>
      </c>
      <c r="N448" s="19" t="str">
        <f aca="false">IF(G448&gt;M448*3,"نعم","لا")</f>
        <v>لا</v>
      </c>
      <c r="O448" s="19" t="str">
        <f aca="false">IF(OR(C448="",ISNUMBER(C448)),"لا","نعم")</f>
        <v>لا</v>
      </c>
      <c r="P448" s="19" t="str">
        <f aca="false">IF(COUNTIF($B$2:B448,B448)&gt;1,"مكرر","فريد")</f>
        <v>فريد</v>
      </c>
      <c r="Q448" s="19" t="str">
        <f aca="false">IF(COUNTBLANK(D448:L448)&gt;0,"نعم","لا")</f>
        <v>لا</v>
      </c>
    </row>
    <row r="449" customFormat="false" ht="15" hidden="false" customHeight="false" outlineLevel="0" collapsed="false">
      <c r="A449" s="19" t="n">
        <v>448</v>
      </c>
      <c r="B449" s="30" t="s">
        <v>786</v>
      </c>
      <c r="C449" s="44" t="n">
        <v>45512</v>
      </c>
      <c r="D449" s="30" t="s">
        <v>50</v>
      </c>
      <c r="E449" s="30" t="s">
        <v>105</v>
      </c>
      <c r="F449" s="30" t="s">
        <v>82</v>
      </c>
      <c r="G449" s="31" t="n">
        <v>859</v>
      </c>
      <c r="H449" s="19" t="n">
        <v>3</v>
      </c>
      <c r="I449" s="32" t="n">
        <v>0.05</v>
      </c>
      <c r="J449" s="30" t="s">
        <v>48</v>
      </c>
      <c r="K449" s="30" t="s">
        <v>51</v>
      </c>
      <c r="L449" s="30" t="s">
        <v>89</v>
      </c>
      <c r="M449" s="31" t="n">
        <f aca="false">AVERAGEIF($E$2:$E$1197,E449,$G$2:$G$1197)</f>
        <v>2870.26771653543</v>
      </c>
      <c r="N449" s="19" t="str">
        <f aca="false">IF(G449&gt;M449*3,"نعم","لا")</f>
        <v>لا</v>
      </c>
      <c r="O449" s="19" t="str">
        <f aca="false">IF(OR(C449="",ISNUMBER(C449)),"لا","نعم")</f>
        <v>لا</v>
      </c>
      <c r="P449" s="19" t="str">
        <f aca="false">IF(COUNTIF($B$2:B449,B449)&gt;1,"مكرر","فريد")</f>
        <v>فريد</v>
      </c>
      <c r="Q449" s="19" t="str">
        <f aca="false">IF(COUNTBLANK(D449:L449)&gt;0,"نعم","لا")</f>
        <v>لا</v>
      </c>
    </row>
    <row r="450" customFormat="false" ht="15" hidden="false" customHeight="false" outlineLevel="0" collapsed="false">
      <c r="A450" s="19" t="n">
        <v>449</v>
      </c>
      <c r="B450" s="30" t="s">
        <v>888</v>
      </c>
      <c r="C450" s="44" t="n">
        <v>45540</v>
      </c>
      <c r="D450" s="30" t="s">
        <v>54</v>
      </c>
      <c r="E450" s="30" t="s">
        <v>113</v>
      </c>
      <c r="F450" s="30" t="s">
        <v>121</v>
      </c>
      <c r="G450" s="31" t="n">
        <v>379</v>
      </c>
      <c r="H450" s="19" t="n">
        <v>3</v>
      </c>
      <c r="I450" s="32" t="n">
        <v>0.15</v>
      </c>
      <c r="J450" s="30" t="s">
        <v>48</v>
      </c>
      <c r="K450" s="30" t="s">
        <v>51</v>
      </c>
      <c r="L450" s="30" t="s">
        <v>81</v>
      </c>
      <c r="M450" s="31" t="n">
        <f aca="false">AVERAGEIF($E$2:$E$1197,E450,$G$2:$G$1197)</f>
        <v>545.358823529412</v>
      </c>
      <c r="N450" s="19" t="str">
        <f aca="false">IF(G450&gt;M450*3,"نعم","لا")</f>
        <v>لا</v>
      </c>
      <c r="O450" s="19" t="str">
        <f aca="false">IF(OR(C450="",ISNUMBER(C450)),"لا","نعم")</f>
        <v>لا</v>
      </c>
      <c r="P450" s="19" t="str">
        <f aca="false">IF(COUNTIF($B$2:B450,B450)&gt;1,"مكرر","فريد")</f>
        <v>فريد</v>
      </c>
      <c r="Q450" s="19" t="str">
        <f aca="false">IF(COUNTBLANK(D450:L450)&gt;0,"نعم","لا")</f>
        <v>لا</v>
      </c>
    </row>
    <row r="451" customFormat="false" ht="15" hidden="false" customHeight="false" outlineLevel="0" collapsed="false">
      <c r="A451" s="19" t="n">
        <v>450</v>
      </c>
      <c r="B451" s="30" t="s">
        <v>1196</v>
      </c>
      <c r="C451" s="44" t="n">
        <v>45631</v>
      </c>
      <c r="D451" s="30" t="s">
        <v>57</v>
      </c>
      <c r="E451" s="30" t="s">
        <v>109</v>
      </c>
      <c r="F451" s="30" t="s">
        <v>192</v>
      </c>
      <c r="G451" s="31" t="n">
        <v>349</v>
      </c>
      <c r="H451" s="19" t="n">
        <v>1</v>
      </c>
      <c r="I451" s="32" t="n">
        <v>0</v>
      </c>
      <c r="J451" s="30" t="s">
        <v>52</v>
      </c>
      <c r="K451" s="30"/>
      <c r="L451" s="30" t="s">
        <v>84</v>
      </c>
      <c r="M451" s="31" t="n">
        <f aca="false">AVERAGEIF($E$2:$E$1197,E451,$G$2:$G$1197)</f>
        <v>186.056291390729</v>
      </c>
      <c r="N451" s="19" t="str">
        <f aca="false">IF(G451&gt;M451*3,"نعم","لا")</f>
        <v>لا</v>
      </c>
      <c r="O451" s="19" t="str">
        <f aca="false">IF(OR(C451="",ISNUMBER(C451)),"لا","نعم")</f>
        <v>لا</v>
      </c>
      <c r="P451" s="19" t="str">
        <f aca="false">IF(COUNTIF($B$2:B451,B451)&gt;1,"مكرر","فريد")</f>
        <v>فريد</v>
      </c>
      <c r="Q451" s="19" t="str">
        <f aca="false">IF(COUNTBLANK(D451:L451)&gt;0,"نعم","لا")</f>
        <v>نعم</v>
      </c>
    </row>
    <row r="452" customFormat="false" ht="15" hidden="false" customHeight="false" outlineLevel="0" collapsed="false">
      <c r="A452" s="19" t="n">
        <v>451</v>
      </c>
      <c r="B452" s="30" t="s">
        <v>1227</v>
      </c>
      <c r="C452" s="44" t="n">
        <v>45637</v>
      </c>
      <c r="D452" s="30" t="s">
        <v>50</v>
      </c>
      <c r="E452" s="30" t="s">
        <v>105</v>
      </c>
      <c r="F452" s="30" t="s">
        <v>90</v>
      </c>
      <c r="G452" s="31" t="n">
        <v>2949</v>
      </c>
      <c r="H452" s="19" t="n">
        <v>1</v>
      </c>
      <c r="I452" s="32" t="n">
        <v>0.15</v>
      </c>
      <c r="J452" s="30" t="s">
        <v>52</v>
      </c>
      <c r="K452" s="30" t="s">
        <v>47</v>
      </c>
      <c r="L452" s="30" t="s">
        <v>76</v>
      </c>
      <c r="M452" s="31" t="n">
        <f aca="false">AVERAGEIF($E$2:$E$1197,E452,$G$2:$G$1197)</f>
        <v>2870.26771653543</v>
      </c>
      <c r="N452" s="19" t="str">
        <f aca="false">IF(G452&gt;M452*3,"نعم","لا")</f>
        <v>لا</v>
      </c>
      <c r="O452" s="19" t="str">
        <f aca="false">IF(OR(C452="",ISNUMBER(C452)),"لا","نعم")</f>
        <v>لا</v>
      </c>
      <c r="P452" s="19" t="str">
        <f aca="false">IF(COUNTIF($B$2:B452,B452)&gt;1,"مكرر","فريد")</f>
        <v>فريد</v>
      </c>
      <c r="Q452" s="19" t="str">
        <f aca="false">IF(COUNTBLANK(D452:L452)&gt;0,"نعم","لا")</f>
        <v>لا</v>
      </c>
    </row>
    <row r="453" customFormat="false" ht="15" hidden="false" customHeight="false" outlineLevel="0" collapsed="false">
      <c r="A453" s="19" t="n">
        <v>452</v>
      </c>
      <c r="B453" s="30" t="s">
        <v>1238</v>
      </c>
      <c r="C453" s="44" t="n">
        <v>45642</v>
      </c>
      <c r="D453" s="30" t="s">
        <v>46</v>
      </c>
      <c r="E453" s="30" t="s">
        <v>111</v>
      </c>
      <c r="F453" s="30" t="s">
        <v>118</v>
      </c>
      <c r="G453" s="31" t="n">
        <v>119</v>
      </c>
      <c r="H453" s="19" t="n">
        <v>1</v>
      </c>
      <c r="I453" s="32" t="n">
        <v>0.15</v>
      </c>
      <c r="J453" s="30" t="s">
        <v>55</v>
      </c>
      <c r="K453" s="30" t="s">
        <v>47</v>
      </c>
      <c r="L453" s="30" t="s">
        <v>96</v>
      </c>
      <c r="M453" s="31" t="n">
        <f aca="false">AVERAGEIF($E$2:$E$1197,E453,$G$2:$G$1197)</f>
        <v>366.306569343066</v>
      </c>
      <c r="N453" s="19" t="str">
        <f aca="false">IF(G453&gt;M453*3,"نعم","لا")</f>
        <v>لا</v>
      </c>
      <c r="O453" s="19" t="str">
        <f aca="false">IF(OR(C453="",ISNUMBER(C453)),"لا","نعم")</f>
        <v>لا</v>
      </c>
      <c r="P453" s="19" t="str">
        <f aca="false">IF(COUNTIF($B$2:B453,B453)&gt;1,"مكرر","فريد")</f>
        <v>فريد</v>
      </c>
      <c r="Q453" s="19" t="str">
        <f aca="false">IF(COUNTBLANK(D453:L453)&gt;0,"نعم","لا")</f>
        <v>لا</v>
      </c>
    </row>
    <row r="454" customFormat="false" ht="15" hidden="false" customHeight="false" outlineLevel="0" collapsed="false">
      <c r="A454" s="19" t="n">
        <v>453</v>
      </c>
      <c r="B454" s="30" t="s">
        <v>468</v>
      </c>
      <c r="C454" s="44" t="n">
        <v>45398</v>
      </c>
      <c r="D454" s="30" t="s">
        <v>50</v>
      </c>
      <c r="E454" s="30" t="s">
        <v>109</v>
      </c>
      <c r="F454" s="30" t="s">
        <v>192</v>
      </c>
      <c r="G454" s="31" t="n">
        <v>329</v>
      </c>
      <c r="H454" s="19" t="n">
        <v>2</v>
      </c>
      <c r="I454" s="32" t="n">
        <v>0.1</v>
      </c>
      <c r="J454" s="30" t="s">
        <v>48</v>
      </c>
      <c r="K454" s="30" t="s">
        <v>51</v>
      </c>
      <c r="L454" s="30" t="s">
        <v>86</v>
      </c>
      <c r="M454" s="31" t="n">
        <f aca="false">AVERAGEIF($E$2:$E$1197,E454,$G$2:$G$1197)</f>
        <v>186.056291390729</v>
      </c>
      <c r="N454" s="19" t="str">
        <f aca="false">IF(G454&gt;M454*3,"نعم","لا")</f>
        <v>لا</v>
      </c>
      <c r="O454" s="19" t="str">
        <f aca="false">IF(OR(C454="",ISNUMBER(C454)),"لا","نعم")</f>
        <v>لا</v>
      </c>
      <c r="P454" s="19" t="str">
        <f aca="false">IF(COUNTIF($B$2:B454,B454)&gt;1,"مكرر","فريد")</f>
        <v>فريد</v>
      </c>
      <c r="Q454" s="19" t="str">
        <f aca="false">IF(COUNTBLANK(D454:L454)&gt;0,"نعم","لا")</f>
        <v>لا</v>
      </c>
    </row>
    <row r="455" customFormat="false" ht="15" hidden="false" customHeight="false" outlineLevel="0" collapsed="false">
      <c r="A455" s="19" t="n">
        <v>454</v>
      </c>
      <c r="B455" s="30" t="s">
        <v>419</v>
      </c>
      <c r="C455" s="44" t="n">
        <v>45381</v>
      </c>
      <c r="D455" s="30" t="s">
        <v>54</v>
      </c>
      <c r="E455" s="30" t="s">
        <v>113</v>
      </c>
      <c r="F455" s="30" t="s">
        <v>100</v>
      </c>
      <c r="G455" s="31" t="n">
        <v>499</v>
      </c>
      <c r="H455" s="19" t="n">
        <v>1</v>
      </c>
      <c r="I455" s="32" t="n">
        <v>0</v>
      </c>
      <c r="J455" s="30" t="s">
        <v>52</v>
      </c>
      <c r="K455" s="30" t="s">
        <v>47</v>
      </c>
      <c r="L455" s="30" t="s">
        <v>96</v>
      </c>
      <c r="M455" s="31" t="n">
        <f aca="false">AVERAGEIF($E$2:$E$1197,E455,$G$2:$G$1197)</f>
        <v>545.358823529412</v>
      </c>
      <c r="N455" s="19" t="str">
        <f aca="false">IF(G455&gt;M455*3,"نعم","لا")</f>
        <v>لا</v>
      </c>
      <c r="O455" s="19" t="str">
        <f aca="false">IF(OR(C455="",ISNUMBER(C455)),"لا","نعم")</f>
        <v>لا</v>
      </c>
      <c r="P455" s="19" t="str">
        <f aca="false">IF(COUNTIF($B$2:B455,B455)&gt;1,"مكرر","فريد")</f>
        <v>فريد</v>
      </c>
      <c r="Q455" s="19" t="str">
        <f aca="false">IF(COUNTBLANK(D455:L455)&gt;0,"نعم","لا")</f>
        <v>لا</v>
      </c>
    </row>
    <row r="456" customFormat="false" ht="15" hidden="false" customHeight="false" outlineLevel="0" collapsed="false">
      <c r="A456" s="19" t="n">
        <v>455</v>
      </c>
      <c r="B456" s="30" t="s">
        <v>1191</v>
      </c>
      <c r="C456" s="44" t="n">
        <v>45630</v>
      </c>
      <c r="D456" s="30" t="s">
        <v>1397</v>
      </c>
      <c r="E456" s="30" t="s">
        <v>111</v>
      </c>
      <c r="F456" s="30" t="s">
        <v>122</v>
      </c>
      <c r="G456" s="31" t="n">
        <v>219</v>
      </c>
      <c r="H456" s="19" t="n">
        <v>1</v>
      </c>
      <c r="I456" s="32" t="n">
        <v>0</v>
      </c>
      <c r="J456" s="30" t="s">
        <v>52</v>
      </c>
      <c r="K456" s="30" t="s">
        <v>47</v>
      </c>
      <c r="L456" s="30" t="s">
        <v>84</v>
      </c>
      <c r="M456" s="31" t="n">
        <f aca="false">AVERAGEIF($E$2:$E$1197,E456,$G$2:$G$1197)</f>
        <v>366.306569343066</v>
      </c>
      <c r="N456" s="19" t="str">
        <f aca="false">IF(G456&gt;M456*3,"نعم","لا")</f>
        <v>لا</v>
      </c>
      <c r="O456" s="19" t="str">
        <f aca="false">IF(OR(C456="",ISNUMBER(C456)),"لا","نعم")</f>
        <v>لا</v>
      </c>
      <c r="P456" s="19" t="str">
        <f aca="false">IF(COUNTIF($B$2:B456,B456)&gt;1,"مكرر","فريد")</f>
        <v>فريد</v>
      </c>
      <c r="Q456" s="19" t="str">
        <f aca="false">IF(COUNTBLANK(D456:L456)&gt;0,"نعم","لا")</f>
        <v>لا</v>
      </c>
    </row>
    <row r="457" customFormat="false" ht="15" hidden="false" customHeight="false" outlineLevel="0" collapsed="false">
      <c r="A457" s="19" t="n">
        <v>456</v>
      </c>
      <c r="B457" s="30" t="s">
        <v>1070</v>
      </c>
      <c r="C457" s="44" t="n">
        <v>45602</v>
      </c>
      <c r="D457" s="30" t="s">
        <v>50</v>
      </c>
      <c r="E457" s="30" t="s">
        <v>109</v>
      </c>
      <c r="F457" s="30" t="s">
        <v>93</v>
      </c>
      <c r="G457" s="31" t="n">
        <v>169</v>
      </c>
      <c r="H457" s="19" t="n">
        <v>1</v>
      </c>
      <c r="I457" s="32" t="n">
        <v>0</v>
      </c>
      <c r="J457" s="30" t="s">
        <v>48</v>
      </c>
      <c r="K457" s="30" t="s">
        <v>47</v>
      </c>
      <c r="L457" s="30" t="s">
        <v>86</v>
      </c>
      <c r="M457" s="31" t="n">
        <f aca="false">AVERAGEIF($E$2:$E$1197,E457,$G$2:$G$1197)</f>
        <v>186.056291390729</v>
      </c>
      <c r="N457" s="19" t="str">
        <f aca="false">IF(G457&gt;M457*3,"نعم","لا")</f>
        <v>لا</v>
      </c>
      <c r="O457" s="19" t="str">
        <f aca="false">IF(OR(C457="",ISNUMBER(C457)),"لا","نعم")</f>
        <v>لا</v>
      </c>
      <c r="P457" s="19" t="str">
        <f aca="false">IF(COUNTIF($B$2:B457,B457)&gt;1,"مكرر","فريد")</f>
        <v>فريد</v>
      </c>
      <c r="Q457" s="19" t="str">
        <f aca="false">IF(COUNTBLANK(D457:L457)&gt;0,"نعم","لا")</f>
        <v>لا</v>
      </c>
    </row>
    <row r="458" customFormat="false" ht="15" hidden="false" customHeight="false" outlineLevel="0" collapsed="false">
      <c r="A458" s="19" t="n">
        <v>457</v>
      </c>
      <c r="B458" s="30" t="s">
        <v>477</v>
      </c>
      <c r="C458" s="44" t="n">
        <v>45404</v>
      </c>
      <c r="D458" s="30" t="s">
        <v>46</v>
      </c>
      <c r="E458" s="30" t="s">
        <v>111</v>
      </c>
      <c r="F458" s="30" t="s">
        <v>120</v>
      </c>
      <c r="G458" s="31" t="n">
        <v>299</v>
      </c>
      <c r="H458" s="19" t="n">
        <v>1</v>
      </c>
      <c r="I458" s="32" t="n">
        <v>0.15</v>
      </c>
      <c r="J458" s="30" t="s">
        <v>55</v>
      </c>
      <c r="K458" s="30" t="s">
        <v>47</v>
      </c>
      <c r="L458" s="30" t="s">
        <v>78</v>
      </c>
      <c r="M458" s="31" t="n">
        <f aca="false">AVERAGEIF($E$2:$E$1197,E458,$G$2:$G$1197)</f>
        <v>366.306569343066</v>
      </c>
      <c r="N458" s="19" t="str">
        <f aca="false">IF(G458&gt;M458*3,"نعم","لا")</f>
        <v>لا</v>
      </c>
      <c r="O458" s="19" t="str">
        <f aca="false">IF(OR(C458="",ISNUMBER(C458)),"لا","نعم")</f>
        <v>لا</v>
      </c>
      <c r="P458" s="19" t="str">
        <f aca="false">IF(COUNTIF($B$2:B458,B458)&gt;1,"مكرر","فريد")</f>
        <v>فريد</v>
      </c>
      <c r="Q458" s="19" t="str">
        <f aca="false">IF(COUNTBLANK(D458:L458)&gt;0,"نعم","لا")</f>
        <v>لا</v>
      </c>
    </row>
    <row r="459" customFormat="false" ht="15" hidden="false" customHeight="false" outlineLevel="0" collapsed="false">
      <c r="A459" s="19" t="n">
        <v>458</v>
      </c>
      <c r="B459" s="30" t="s">
        <v>687</v>
      </c>
      <c r="C459" s="30" t="s">
        <v>1409</v>
      </c>
      <c r="D459" s="30" t="s">
        <v>50</v>
      </c>
      <c r="E459" s="30" t="s">
        <v>111</v>
      </c>
      <c r="F459" s="30" t="s">
        <v>122</v>
      </c>
      <c r="G459" s="31" t="n">
        <v>259</v>
      </c>
      <c r="H459" s="19" t="n">
        <v>1</v>
      </c>
      <c r="I459" s="32" t="n">
        <v>0.2</v>
      </c>
      <c r="J459" s="30" t="s">
        <v>48</v>
      </c>
      <c r="K459" s="30" t="s">
        <v>47</v>
      </c>
      <c r="L459" s="30" t="s">
        <v>96</v>
      </c>
      <c r="M459" s="31" t="n">
        <f aca="false">AVERAGEIF($E$2:$E$1197,E459,$G$2:$G$1197)</f>
        <v>366.306569343066</v>
      </c>
      <c r="N459" s="19" t="str">
        <f aca="false">IF(G459&gt;M459*3,"نعم","لا")</f>
        <v>لا</v>
      </c>
      <c r="O459" s="19" t="str">
        <f aca="false">IF(OR(C459="",ISNUMBER(C459)),"لا","نعم")</f>
        <v>نعم</v>
      </c>
      <c r="P459" s="19" t="str">
        <f aca="false">IF(COUNTIF($B$2:B459,B459)&gt;1,"مكرر","فريد")</f>
        <v>فريد</v>
      </c>
      <c r="Q459" s="19" t="str">
        <f aca="false">IF(COUNTBLANK(D459:L459)&gt;0,"نعم","لا")</f>
        <v>لا</v>
      </c>
    </row>
    <row r="460" customFormat="false" ht="15" hidden="false" customHeight="false" outlineLevel="0" collapsed="false">
      <c r="A460" s="19" t="n">
        <v>459</v>
      </c>
      <c r="B460" s="30" t="s">
        <v>388</v>
      </c>
      <c r="C460" s="44" t="n">
        <v>45373</v>
      </c>
      <c r="D460" s="30" t="s">
        <v>50</v>
      </c>
      <c r="E460" s="30" t="s">
        <v>105</v>
      </c>
      <c r="F460" s="30" t="s">
        <v>79</v>
      </c>
      <c r="G460" s="31" t="n">
        <v>4039</v>
      </c>
      <c r="H460" s="19" t="n">
        <v>1</v>
      </c>
      <c r="I460" s="32" t="n">
        <v>0.05</v>
      </c>
      <c r="J460" s="30" t="s">
        <v>52</v>
      </c>
      <c r="K460" s="30" t="s">
        <v>47</v>
      </c>
      <c r="L460" s="30" t="s">
        <v>99</v>
      </c>
      <c r="M460" s="31" t="n">
        <f aca="false">AVERAGEIF($E$2:$E$1197,E460,$G$2:$G$1197)</f>
        <v>2870.26771653543</v>
      </c>
      <c r="N460" s="19" t="str">
        <f aca="false">IF(G460&gt;M460*3,"نعم","لا")</f>
        <v>لا</v>
      </c>
      <c r="O460" s="19" t="str">
        <f aca="false">IF(OR(C460="",ISNUMBER(C460)),"لا","نعم")</f>
        <v>لا</v>
      </c>
      <c r="P460" s="19" t="str">
        <f aca="false">IF(COUNTIF($B$2:B460,B460)&gt;1,"مكرر","فريد")</f>
        <v>فريد</v>
      </c>
      <c r="Q460" s="19" t="str">
        <f aca="false">IF(COUNTBLANK(D460:L460)&gt;0,"نعم","لا")</f>
        <v>لا</v>
      </c>
    </row>
    <row r="461" customFormat="false" ht="15" hidden="false" customHeight="false" outlineLevel="0" collapsed="false">
      <c r="A461" s="19" t="n">
        <v>460</v>
      </c>
      <c r="B461" s="30" t="s">
        <v>549</v>
      </c>
      <c r="C461" s="30" t="s">
        <v>1410</v>
      </c>
      <c r="D461" s="30" t="s">
        <v>46</v>
      </c>
      <c r="E461" s="30" t="s">
        <v>113</v>
      </c>
      <c r="F461" s="30" t="s">
        <v>100</v>
      </c>
      <c r="G461" s="31" t="n">
        <v>549</v>
      </c>
      <c r="H461" s="19" t="n">
        <v>1</v>
      </c>
      <c r="I461" s="32" t="n">
        <v>0.15</v>
      </c>
      <c r="J461" s="30" t="s">
        <v>1343</v>
      </c>
      <c r="K461" s="30" t="s">
        <v>47</v>
      </c>
      <c r="L461" s="30" t="s">
        <v>96</v>
      </c>
      <c r="M461" s="31" t="n">
        <f aca="false">AVERAGEIF($E$2:$E$1197,E461,$G$2:$G$1197)</f>
        <v>545.358823529412</v>
      </c>
      <c r="N461" s="19" t="str">
        <f aca="false">IF(G461&gt;M461*3,"نعم","لا")</f>
        <v>لا</v>
      </c>
      <c r="O461" s="19" t="str">
        <f aca="false">IF(OR(C461="",ISNUMBER(C461)),"لا","نعم")</f>
        <v>نعم</v>
      </c>
      <c r="P461" s="19" t="str">
        <f aca="false">IF(COUNTIF($B$2:B461,B461)&gt;1,"مكرر","فريد")</f>
        <v>فريد</v>
      </c>
      <c r="Q461" s="19" t="str">
        <f aca="false">IF(COUNTBLANK(D461:L461)&gt;0,"نعم","لا")</f>
        <v>لا</v>
      </c>
    </row>
    <row r="462" customFormat="false" ht="15" hidden="false" customHeight="false" outlineLevel="0" collapsed="false">
      <c r="A462" s="19" t="n">
        <v>461</v>
      </c>
      <c r="B462" s="30" t="s">
        <v>402</v>
      </c>
      <c r="C462" s="44" t="n">
        <v>45377</v>
      </c>
      <c r="D462" s="30" t="s">
        <v>57</v>
      </c>
      <c r="E462" s="30" t="s">
        <v>105</v>
      </c>
      <c r="F462" s="30" t="s">
        <v>179</v>
      </c>
      <c r="G462" s="31" t="n">
        <v>3919</v>
      </c>
      <c r="H462" s="19" t="n">
        <v>1</v>
      </c>
      <c r="I462" s="32" t="n">
        <v>0</v>
      </c>
      <c r="J462" s="30" t="s">
        <v>58</v>
      </c>
      <c r="K462" s="30" t="s">
        <v>47</v>
      </c>
      <c r="L462" s="30" t="s">
        <v>86</v>
      </c>
      <c r="M462" s="31" t="n">
        <f aca="false">AVERAGEIF($E$2:$E$1197,E462,$G$2:$G$1197)</f>
        <v>2870.26771653543</v>
      </c>
      <c r="N462" s="19" t="str">
        <f aca="false">IF(G462&gt;M462*3,"نعم","لا")</f>
        <v>لا</v>
      </c>
      <c r="O462" s="19" t="str">
        <f aca="false">IF(OR(C462="",ISNUMBER(C462)),"لا","نعم")</f>
        <v>لا</v>
      </c>
      <c r="P462" s="19" t="str">
        <f aca="false">IF(COUNTIF($B$2:B462,B462)&gt;1,"مكرر","فريد")</f>
        <v>فريد</v>
      </c>
      <c r="Q462" s="19" t="str">
        <f aca="false">IF(COUNTBLANK(D462:L462)&gt;0,"نعم","لا")</f>
        <v>لا</v>
      </c>
    </row>
    <row r="463" customFormat="false" ht="15" hidden="false" customHeight="false" outlineLevel="0" collapsed="false">
      <c r="A463" s="19" t="n">
        <v>462</v>
      </c>
      <c r="B463" s="30" t="s">
        <v>951</v>
      </c>
      <c r="C463" s="44" t="n">
        <v>45565</v>
      </c>
      <c r="D463" s="30" t="s">
        <v>50</v>
      </c>
      <c r="E463" s="30" t="s">
        <v>109</v>
      </c>
      <c r="F463" s="30" t="s">
        <v>110</v>
      </c>
      <c r="G463" s="31" t="n">
        <v>299</v>
      </c>
      <c r="H463" s="19" t="n">
        <v>1</v>
      </c>
      <c r="I463" s="32" t="n">
        <v>0.1</v>
      </c>
      <c r="J463" s="30" t="s">
        <v>52</v>
      </c>
      <c r="K463" s="30" t="s">
        <v>47</v>
      </c>
      <c r="L463" s="30" t="s">
        <v>89</v>
      </c>
      <c r="M463" s="31" t="n">
        <f aca="false">AVERAGEIF($E$2:$E$1197,E463,$G$2:$G$1197)</f>
        <v>186.056291390729</v>
      </c>
      <c r="N463" s="19" t="str">
        <f aca="false">IF(G463&gt;M463*3,"نعم","لا")</f>
        <v>لا</v>
      </c>
      <c r="O463" s="19" t="str">
        <f aca="false">IF(OR(C463="",ISNUMBER(C463)),"لا","نعم")</f>
        <v>لا</v>
      </c>
      <c r="P463" s="19" t="str">
        <f aca="false">IF(COUNTIF($B$2:B463,B463)&gt;1,"مكرر","فريد")</f>
        <v>فريد</v>
      </c>
      <c r="Q463" s="19" t="str">
        <f aca="false">IF(COUNTBLANK(D463:L463)&gt;0,"نعم","لا")</f>
        <v>لا</v>
      </c>
    </row>
    <row r="464" customFormat="false" ht="15" hidden="false" customHeight="false" outlineLevel="0" collapsed="false">
      <c r="A464" s="19" t="n">
        <v>463</v>
      </c>
      <c r="B464" s="30" t="s">
        <v>641</v>
      </c>
      <c r="C464" s="44" t="n">
        <v>45465</v>
      </c>
      <c r="D464" s="30" t="s">
        <v>46</v>
      </c>
      <c r="E464" s="30" t="s">
        <v>109</v>
      </c>
      <c r="F464" s="30" t="s">
        <v>93</v>
      </c>
      <c r="G464" s="31" t="n">
        <v>139</v>
      </c>
      <c r="H464" s="19" t="n">
        <v>1</v>
      </c>
      <c r="I464" s="32" t="n">
        <v>0.1</v>
      </c>
      <c r="J464" s="30" t="s">
        <v>48</v>
      </c>
      <c r="K464" s="30" t="s">
        <v>47</v>
      </c>
      <c r="L464" s="30" t="s">
        <v>86</v>
      </c>
      <c r="M464" s="31" t="n">
        <f aca="false">AVERAGEIF($E$2:$E$1197,E464,$G$2:$G$1197)</f>
        <v>186.056291390729</v>
      </c>
      <c r="N464" s="19" t="str">
        <f aca="false">IF(G464&gt;M464*3,"نعم","لا")</f>
        <v>لا</v>
      </c>
      <c r="O464" s="19" t="str">
        <f aca="false">IF(OR(C464="",ISNUMBER(C464)),"لا","نعم")</f>
        <v>لا</v>
      </c>
      <c r="P464" s="19" t="str">
        <f aca="false">IF(COUNTIF($B$2:B464,B464)&gt;1,"مكرر","فريد")</f>
        <v>فريد</v>
      </c>
      <c r="Q464" s="19" t="str">
        <f aca="false">IF(COUNTBLANK(D464:L464)&gt;0,"نعم","لا")</f>
        <v>لا</v>
      </c>
    </row>
    <row r="465" customFormat="false" ht="15" hidden="false" customHeight="false" outlineLevel="0" collapsed="false">
      <c r="A465" s="19" t="n">
        <v>464</v>
      </c>
      <c r="B465" s="30" t="s">
        <v>860</v>
      </c>
      <c r="C465" s="44" t="n">
        <v>45532</v>
      </c>
      <c r="D465" s="30" t="s">
        <v>50</v>
      </c>
      <c r="E465" s="30" t="s">
        <v>113</v>
      </c>
      <c r="F465" s="30" t="s">
        <v>100</v>
      </c>
      <c r="G465" s="31" t="n">
        <v>269</v>
      </c>
      <c r="H465" s="19" t="n">
        <v>4</v>
      </c>
      <c r="I465" s="32" t="n">
        <v>0.1</v>
      </c>
      <c r="J465" s="30" t="s">
        <v>48</v>
      </c>
      <c r="K465" s="30" t="s">
        <v>51</v>
      </c>
      <c r="L465" s="30" t="s">
        <v>84</v>
      </c>
      <c r="M465" s="31" t="n">
        <f aca="false">AVERAGEIF($E$2:$E$1197,E465,$G$2:$G$1197)</f>
        <v>545.358823529412</v>
      </c>
      <c r="N465" s="19" t="str">
        <f aca="false">IF(G465&gt;M465*3,"نعم","لا")</f>
        <v>لا</v>
      </c>
      <c r="O465" s="19" t="str">
        <f aca="false">IF(OR(C465="",ISNUMBER(C465)),"لا","نعم")</f>
        <v>لا</v>
      </c>
      <c r="P465" s="19" t="str">
        <f aca="false">IF(COUNTIF($B$2:B465,B465)&gt;1,"مكرر","فريد")</f>
        <v>فريد</v>
      </c>
      <c r="Q465" s="19" t="str">
        <f aca="false">IF(COUNTBLANK(D465:L465)&gt;0,"نعم","لا")</f>
        <v>لا</v>
      </c>
    </row>
    <row r="466" customFormat="false" ht="15" hidden="false" customHeight="false" outlineLevel="0" collapsed="false">
      <c r="A466" s="19" t="n">
        <v>465</v>
      </c>
      <c r="B466" s="30" t="s">
        <v>469</v>
      </c>
      <c r="C466" s="44" t="n">
        <v>45399</v>
      </c>
      <c r="D466" s="30" t="s">
        <v>50</v>
      </c>
      <c r="E466" s="30" t="s">
        <v>105</v>
      </c>
      <c r="F466" s="30" t="s">
        <v>179</v>
      </c>
      <c r="G466" s="31" t="n">
        <v>2869</v>
      </c>
      <c r="H466" s="19" t="n">
        <v>1</v>
      </c>
      <c r="I466" s="32" t="n">
        <v>0</v>
      </c>
      <c r="J466" s="30" t="s">
        <v>48</v>
      </c>
      <c r="K466" s="30" t="s">
        <v>47</v>
      </c>
      <c r="L466" s="30" t="s">
        <v>78</v>
      </c>
      <c r="M466" s="31" t="n">
        <f aca="false">AVERAGEIF($E$2:$E$1197,E466,$G$2:$G$1197)</f>
        <v>2870.26771653543</v>
      </c>
      <c r="N466" s="19" t="str">
        <f aca="false">IF(G466&gt;M466*3,"نعم","لا")</f>
        <v>لا</v>
      </c>
      <c r="O466" s="19" t="str">
        <f aca="false">IF(OR(C466="",ISNUMBER(C466)),"لا","نعم")</f>
        <v>لا</v>
      </c>
      <c r="P466" s="19" t="str">
        <f aca="false">IF(COUNTIF($B$2:B466,B466)&gt;1,"مكرر","فريد")</f>
        <v>فريد</v>
      </c>
      <c r="Q466" s="19" t="str">
        <f aca="false">IF(COUNTBLANK(D466:L466)&gt;0,"نعم","لا")</f>
        <v>لا</v>
      </c>
    </row>
    <row r="467" customFormat="false" ht="15" hidden="false" customHeight="false" outlineLevel="0" collapsed="false">
      <c r="A467" s="19" t="n">
        <v>466</v>
      </c>
      <c r="B467" s="30" t="s">
        <v>1244</v>
      </c>
      <c r="C467" s="44" t="n">
        <v>45644</v>
      </c>
      <c r="D467" s="30" t="s">
        <v>1398</v>
      </c>
      <c r="E467" s="30" t="s">
        <v>107</v>
      </c>
      <c r="F467" s="30" t="s">
        <v>272</v>
      </c>
      <c r="G467" s="31" t="n">
        <v>4409</v>
      </c>
      <c r="H467" s="19" t="n">
        <v>1</v>
      </c>
      <c r="I467" s="32" t="n">
        <v>0</v>
      </c>
      <c r="J467" s="30" t="s">
        <v>48</v>
      </c>
      <c r="K467" s="30" t="s">
        <v>47</v>
      </c>
      <c r="L467" s="30" t="s">
        <v>92</v>
      </c>
      <c r="M467" s="31" t="n">
        <f aca="false">AVERAGEIF($E$2:$E$1197,E467,$G$2:$G$1197)</f>
        <v>4981.14563106796</v>
      </c>
      <c r="N467" s="19" t="str">
        <f aca="false">IF(G467&gt;M467*3,"نعم","لا")</f>
        <v>لا</v>
      </c>
      <c r="O467" s="19" t="str">
        <f aca="false">IF(OR(C467="",ISNUMBER(C467)),"لا","نعم")</f>
        <v>لا</v>
      </c>
      <c r="P467" s="19" t="str">
        <f aca="false">IF(COUNTIF($B$2:B467,B467)&gt;1,"مكرر","فريد")</f>
        <v>فريد</v>
      </c>
      <c r="Q467" s="19" t="str">
        <f aca="false">IF(COUNTBLANK(D467:L467)&gt;0,"نعم","لا")</f>
        <v>لا</v>
      </c>
    </row>
    <row r="468" customFormat="false" ht="15" hidden="false" customHeight="false" outlineLevel="0" collapsed="false">
      <c r="A468" s="19" t="n">
        <v>467</v>
      </c>
      <c r="B468" s="30" t="s">
        <v>842</v>
      </c>
      <c r="C468" s="30" t="s">
        <v>1411</v>
      </c>
      <c r="D468" s="30" t="s">
        <v>46</v>
      </c>
      <c r="E468" s="30" t="s">
        <v>111</v>
      </c>
      <c r="F468" s="30" t="s">
        <v>122</v>
      </c>
      <c r="G468" s="31" t="n">
        <v>579</v>
      </c>
      <c r="H468" s="19" t="n">
        <v>1</v>
      </c>
      <c r="I468" s="32" t="n">
        <v>0.05</v>
      </c>
      <c r="J468" s="30" t="s">
        <v>48</v>
      </c>
      <c r="K468" s="30" t="s">
        <v>51</v>
      </c>
      <c r="L468" s="30" t="s">
        <v>84</v>
      </c>
      <c r="M468" s="31" t="n">
        <f aca="false">AVERAGEIF($E$2:$E$1197,E468,$G$2:$G$1197)</f>
        <v>366.306569343066</v>
      </c>
      <c r="N468" s="19" t="str">
        <f aca="false">IF(G468&gt;M468*3,"نعم","لا")</f>
        <v>لا</v>
      </c>
      <c r="O468" s="19" t="str">
        <f aca="false">IF(OR(C468="",ISNUMBER(C468)),"لا","نعم")</f>
        <v>نعم</v>
      </c>
      <c r="P468" s="19" t="str">
        <f aca="false">IF(COUNTIF($B$2:B468,B468)&gt;1,"مكرر","فريد")</f>
        <v>فريد</v>
      </c>
      <c r="Q468" s="19" t="str">
        <f aca="false">IF(COUNTBLANK(D468:L468)&gt;0,"نعم","لا")</f>
        <v>لا</v>
      </c>
    </row>
    <row r="469" customFormat="false" ht="15" hidden="false" customHeight="false" outlineLevel="0" collapsed="false">
      <c r="A469" s="19" t="n">
        <v>468</v>
      </c>
      <c r="B469" s="30" t="s">
        <v>916</v>
      </c>
      <c r="C469" s="44" t="n">
        <v>45553</v>
      </c>
      <c r="D469" s="30" t="s">
        <v>50</v>
      </c>
      <c r="E469" s="30" t="s">
        <v>113</v>
      </c>
      <c r="F469" s="30" t="s">
        <v>100</v>
      </c>
      <c r="G469" s="31" t="n">
        <v>789</v>
      </c>
      <c r="H469" s="19" t="n">
        <v>2</v>
      </c>
      <c r="I469" s="32" t="n">
        <v>0</v>
      </c>
      <c r="J469" s="30" t="s">
        <v>58</v>
      </c>
      <c r="K469" s="30" t="s">
        <v>47</v>
      </c>
      <c r="L469" s="30" t="s">
        <v>78</v>
      </c>
      <c r="M469" s="31" t="n">
        <f aca="false">AVERAGEIF($E$2:$E$1197,E469,$G$2:$G$1197)</f>
        <v>545.358823529412</v>
      </c>
      <c r="N469" s="19" t="str">
        <f aca="false">IF(G469&gt;M469*3,"نعم","لا")</f>
        <v>لا</v>
      </c>
      <c r="O469" s="19" t="str">
        <f aca="false">IF(OR(C469="",ISNUMBER(C469)),"لا","نعم")</f>
        <v>لا</v>
      </c>
      <c r="P469" s="19" t="str">
        <f aca="false">IF(COUNTIF($B$2:B469,B469)&gt;1,"مكرر","فريد")</f>
        <v>فريد</v>
      </c>
      <c r="Q469" s="19" t="str">
        <f aca="false">IF(COUNTBLANK(D469:L469)&gt;0,"نعم","لا")</f>
        <v>لا</v>
      </c>
    </row>
    <row r="470" customFormat="false" ht="15" hidden="false" customHeight="false" outlineLevel="0" collapsed="false">
      <c r="A470" s="19" t="n">
        <v>469</v>
      </c>
      <c r="B470" s="30" t="s">
        <v>1058</v>
      </c>
      <c r="C470" s="44" t="n">
        <v>45599</v>
      </c>
      <c r="D470" s="30" t="s">
        <v>1398</v>
      </c>
      <c r="E470" s="30" t="s">
        <v>105</v>
      </c>
      <c r="F470" s="30" t="s">
        <v>79</v>
      </c>
      <c r="G470" s="31" t="n">
        <v>1789</v>
      </c>
      <c r="H470" s="19" t="n">
        <v>1</v>
      </c>
      <c r="I470" s="32" t="n">
        <v>0.05</v>
      </c>
      <c r="J470" s="30" t="s">
        <v>52</v>
      </c>
      <c r="K470" s="30" t="s">
        <v>47</v>
      </c>
      <c r="L470" s="30" t="s">
        <v>89</v>
      </c>
      <c r="M470" s="31" t="n">
        <f aca="false">AVERAGEIF($E$2:$E$1197,E470,$G$2:$G$1197)</f>
        <v>2870.26771653543</v>
      </c>
      <c r="N470" s="19" t="str">
        <f aca="false">IF(G470&gt;M470*3,"نعم","لا")</f>
        <v>لا</v>
      </c>
      <c r="O470" s="19" t="str">
        <f aca="false">IF(OR(C470="",ISNUMBER(C470)),"لا","نعم")</f>
        <v>لا</v>
      </c>
      <c r="P470" s="19" t="str">
        <f aca="false">IF(COUNTIF($B$2:B470,B470)&gt;1,"مكرر","فريد")</f>
        <v>فريد</v>
      </c>
      <c r="Q470" s="19" t="str">
        <f aca="false">IF(COUNTBLANK(D470:L470)&gt;0,"نعم","لا")</f>
        <v>لا</v>
      </c>
    </row>
    <row r="471" customFormat="false" ht="15" hidden="false" customHeight="false" outlineLevel="0" collapsed="false">
      <c r="A471" s="19" t="n">
        <v>470</v>
      </c>
      <c r="B471" s="30" t="s">
        <v>1278</v>
      </c>
      <c r="C471" s="44" t="n">
        <v>45653</v>
      </c>
      <c r="D471" s="30" t="s">
        <v>50</v>
      </c>
      <c r="E471" s="30" t="s">
        <v>107</v>
      </c>
      <c r="F471" s="30" t="s">
        <v>114</v>
      </c>
      <c r="G471" s="31" t="n">
        <v>6429</v>
      </c>
      <c r="H471" s="19"/>
      <c r="I471" s="32" t="n">
        <v>0.1</v>
      </c>
      <c r="J471" s="30" t="s">
        <v>48</v>
      </c>
      <c r="K471" s="30" t="s">
        <v>51</v>
      </c>
      <c r="L471" s="30" t="s">
        <v>86</v>
      </c>
      <c r="M471" s="31" t="n">
        <f aca="false">AVERAGEIF($E$2:$E$1197,E471,$G$2:$G$1197)</f>
        <v>4981.14563106796</v>
      </c>
      <c r="N471" s="19" t="str">
        <f aca="false">IF(G471&gt;M471*3,"نعم","لا")</f>
        <v>لا</v>
      </c>
      <c r="O471" s="19" t="str">
        <f aca="false">IF(OR(C471="",ISNUMBER(C471)),"لا","نعم")</f>
        <v>لا</v>
      </c>
      <c r="P471" s="19" t="str">
        <f aca="false">IF(COUNTIF($B$2:B471,B471)&gt;1,"مكرر","فريد")</f>
        <v>فريد</v>
      </c>
      <c r="Q471" s="19" t="str">
        <f aca="false">IF(COUNTBLANK(D471:L471)&gt;0,"نعم","لا")</f>
        <v>نعم</v>
      </c>
    </row>
    <row r="472" customFormat="false" ht="15" hidden="false" customHeight="false" outlineLevel="0" collapsed="false">
      <c r="A472" s="19" t="n">
        <v>471</v>
      </c>
      <c r="B472" s="30" t="s">
        <v>414</v>
      </c>
      <c r="C472" s="44" t="n">
        <v>45380</v>
      </c>
      <c r="D472" s="30" t="s">
        <v>46</v>
      </c>
      <c r="E472" s="30" t="s">
        <v>107</v>
      </c>
      <c r="F472" s="30" t="s">
        <v>272</v>
      </c>
      <c r="G472" s="31" t="n">
        <v>3449</v>
      </c>
      <c r="H472" s="19" t="n">
        <v>6</v>
      </c>
      <c r="I472" s="32" t="n">
        <v>0</v>
      </c>
      <c r="J472" s="30" t="s">
        <v>52</v>
      </c>
      <c r="K472" s="30" t="s">
        <v>51</v>
      </c>
      <c r="L472" s="30" t="s">
        <v>96</v>
      </c>
      <c r="M472" s="31" t="n">
        <f aca="false">AVERAGEIF($E$2:$E$1197,E472,$G$2:$G$1197)</f>
        <v>4981.14563106796</v>
      </c>
      <c r="N472" s="19" t="str">
        <f aca="false">IF(G472&gt;M472*3,"نعم","لا")</f>
        <v>لا</v>
      </c>
      <c r="O472" s="19" t="str">
        <f aca="false">IF(OR(C472="",ISNUMBER(C472)),"لا","نعم")</f>
        <v>لا</v>
      </c>
      <c r="P472" s="19" t="str">
        <f aca="false">IF(COUNTIF($B$2:B472,B472)&gt;1,"مكرر","فريد")</f>
        <v>فريد</v>
      </c>
      <c r="Q472" s="19" t="str">
        <f aca="false">IF(COUNTBLANK(D472:L472)&gt;0,"نعم","لا")</f>
        <v>لا</v>
      </c>
    </row>
    <row r="473" customFormat="false" ht="15" hidden="false" customHeight="false" outlineLevel="0" collapsed="false">
      <c r="A473" s="19" t="n">
        <v>472</v>
      </c>
      <c r="B473" s="30" t="s">
        <v>903</v>
      </c>
      <c r="C473" s="44" t="n">
        <v>45547</v>
      </c>
      <c r="D473" s="30" t="s">
        <v>54</v>
      </c>
      <c r="E473" s="30" t="s">
        <v>105</v>
      </c>
      <c r="F473" s="30" t="s">
        <v>179</v>
      </c>
      <c r="G473" s="31" t="n">
        <v>1969</v>
      </c>
      <c r="H473" s="19" t="n">
        <v>1</v>
      </c>
      <c r="I473" s="32" t="n">
        <v>0</v>
      </c>
      <c r="J473" s="30" t="s">
        <v>52</v>
      </c>
      <c r="K473" s="30" t="s">
        <v>47</v>
      </c>
      <c r="L473" s="30" t="s">
        <v>76</v>
      </c>
      <c r="M473" s="31" t="n">
        <f aca="false">AVERAGEIF($E$2:$E$1197,E473,$G$2:$G$1197)</f>
        <v>2870.26771653543</v>
      </c>
      <c r="N473" s="19" t="str">
        <f aca="false">IF(G473&gt;M473*3,"نعم","لا")</f>
        <v>لا</v>
      </c>
      <c r="O473" s="19" t="str">
        <f aca="false">IF(OR(C473="",ISNUMBER(C473)),"لا","نعم")</f>
        <v>لا</v>
      </c>
      <c r="P473" s="19" t="str">
        <f aca="false">IF(COUNTIF($B$2:B473,B473)&gt;1,"مكرر","فريد")</f>
        <v>فريد</v>
      </c>
      <c r="Q473" s="19" t="str">
        <f aca="false">IF(COUNTBLANK(D473:L473)&gt;0,"نعم","لا")</f>
        <v>لا</v>
      </c>
    </row>
    <row r="474" customFormat="false" ht="15" hidden="false" customHeight="false" outlineLevel="0" collapsed="false">
      <c r="A474" s="19" t="n">
        <v>473</v>
      </c>
      <c r="B474" s="30" t="s">
        <v>745</v>
      </c>
      <c r="C474" s="30" t="s">
        <v>1412</v>
      </c>
      <c r="D474" s="30" t="s">
        <v>54</v>
      </c>
      <c r="E474" s="30" t="s">
        <v>107</v>
      </c>
      <c r="F474" s="30" t="s">
        <v>114</v>
      </c>
      <c r="G474" s="31" t="n">
        <v>6969</v>
      </c>
      <c r="H474" s="19" t="n">
        <v>1</v>
      </c>
      <c r="I474" s="32" t="n">
        <v>0</v>
      </c>
      <c r="J474" s="30" t="s">
        <v>55</v>
      </c>
      <c r="K474" s="30" t="s">
        <v>47</v>
      </c>
      <c r="L474" s="30" t="s">
        <v>92</v>
      </c>
      <c r="M474" s="31" t="n">
        <f aca="false">AVERAGEIF($E$2:$E$1197,E474,$G$2:$G$1197)</f>
        <v>4981.14563106796</v>
      </c>
      <c r="N474" s="19" t="str">
        <f aca="false">IF(G474&gt;M474*3,"نعم","لا")</f>
        <v>لا</v>
      </c>
      <c r="O474" s="19" t="str">
        <f aca="false">IF(OR(C474="",ISNUMBER(C474)),"لا","نعم")</f>
        <v>نعم</v>
      </c>
      <c r="P474" s="19" t="str">
        <f aca="false">IF(COUNTIF($B$2:B474,B474)&gt;1,"مكرر","فريد")</f>
        <v>فريد</v>
      </c>
      <c r="Q474" s="19" t="str">
        <f aca="false">IF(COUNTBLANK(D474:L474)&gt;0,"نعم","لا")</f>
        <v>لا</v>
      </c>
    </row>
    <row r="475" customFormat="false" ht="15" hidden="false" customHeight="false" outlineLevel="0" collapsed="false">
      <c r="A475" s="19" t="n">
        <v>474</v>
      </c>
      <c r="B475" s="30" t="s">
        <v>1345</v>
      </c>
      <c r="C475" s="44" t="n">
        <v>45318</v>
      </c>
      <c r="D475" s="30" t="s">
        <v>46</v>
      </c>
      <c r="E475" s="30" t="s">
        <v>105</v>
      </c>
      <c r="F475" s="30" t="s">
        <v>82</v>
      </c>
      <c r="G475" s="31" t="n">
        <v>2999</v>
      </c>
      <c r="H475" s="19" t="n">
        <v>3</v>
      </c>
      <c r="I475" s="32" t="n">
        <v>0</v>
      </c>
      <c r="J475" s="30" t="s">
        <v>52</v>
      </c>
      <c r="K475" s="30" t="s">
        <v>47</v>
      </c>
      <c r="L475" s="30" t="s">
        <v>84</v>
      </c>
      <c r="M475" s="31" t="n">
        <f aca="false">AVERAGEIF($E$2:$E$1197,E475,$G$2:$G$1197)</f>
        <v>2870.26771653543</v>
      </c>
      <c r="N475" s="19" t="str">
        <f aca="false">IF(G475&gt;M475*3,"نعم","لا")</f>
        <v>لا</v>
      </c>
      <c r="O475" s="19" t="str">
        <f aca="false">IF(OR(C475="",ISNUMBER(C475)),"لا","نعم")</f>
        <v>لا</v>
      </c>
      <c r="P475" s="19" t="str">
        <f aca="false">IF(COUNTIF($B$2:B475,B475)&gt;1,"مكرر","فريد")</f>
        <v>مكرر</v>
      </c>
      <c r="Q475" s="19" t="str">
        <f aca="false">IF(COUNTBLANK(D475:L475)&gt;0,"نعم","لا")</f>
        <v>لا</v>
      </c>
    </row>
    <row r="476" customFormat="false" ht="15" hidden="false" customHeight="false" outlineLevel="0" collapsed="false">
      <c r="A476" s="19" t="n">
        <v>475</v>
      </c>
      <c r="B476" s="30" t="s">
        <v>264</v>
      </c>
      <c r="C476" s="44" t="n">
        <v>45328</v>
      </c>
      <c r="D476" s="30" t="s">
        <v>57</v>
      </c>
      <c r="E476" s="30" t="s">
        <v>109</v>
      </c>
      <c r="F476" s="30" t="s">
        <v>171</v>
      </c>
      <c r="G476" s="31" t="n">
        <v>259</v>
      </c>
      <c r="H476" s="19" t="n">
        <v>2</v>
      </c>
      <c r="I476" s="32" t="n">
        <v>0.05</v>
      </c>
      <c r="J476" s="30" t="s">
        <v>55</v>
      </c>
      <c r="K476" s="30" t="s">
        <v>47</v>
      </c>
      <c r="L476" s="30" t="s">
        <v>86</v>
      </c>
      <c r="M476" s="31" t="n">
        <f aca="false">AVERAGEIF($E$2:$E$1197,E476,$G$2:$G$1197)</f>
        <v>186.056291390729</v>
      </c>
      <c r="N476" s="19" t="str">
        <f aca="false">IF(G476&gt;M476*3,"نعم","لا")</f>
        <v>لا</v>
      </c>
      <c r="O476" s="19" t="str">
        <f aca="false">IF(OR(C476="",ISNUMBER(C476)),"لا","نعم")</f>
        <v>لا</v>
      </c>
      <c r="P476" s="19" t="str">
        <f aca="false">IF(COUNTIF($B$2:B476,B476)&gt;1,"مكرر","فريد")</f>
        <v>فريد</v>
      </c>
      <c r="Q476" s="19" t="str">
        <f aca="false">IF(COUNTBLANK(D476:L476)&gt;0,"نعم","لا")</f>
        <v>لا</v>
      </c>
    </row>
    <row r="477" customFormat="false" ht="15" hidden="false" customHeight="false" outlineLevel="0" collapsed="false">
      <c r="A477" s="19" t="n">
        <v>476</v>
      </c>
      <c r="B477" s="30" t="s">
        <v>699</v>
      </c>
      <c r="C477" s="44" t="n">
        <v>45486</v>
      </c>
      <c r="D477" s="30" t="s">
        <v>54</v>
      </c>
      <c r="E477" s="30" t="s">
        <v>113</v>
      </c>
      <c r="F477" s="30" t="s">
        <v>97</v>
      </c>
      <c r="G477" s="31" t="n">
        <v>549</v>
      </c>
      <c r="H477" s="19" t="n">
        <v>1</v>
      </c>
      <c r="I477" s="32" t="n">
        <v>0</v>
      </c>
      <c r="J477" s="30" t="s">
        <v>48</v>
      </c>
      <c r="K477" s="30" t="s">
        <v>47</v>
      </c>
      <c r="L477" s="30" t="s">
        <v>86</v>
      </c>
      <c r="M477" s="31" t="n">
        <f aca="false">AVERAGEIF($E$2:$E$1197,E477,$G$2:$G$1197)</f>
        <v>545.358823529412</v>
      </c>
      <c r="N477" s="19" t="str">
        <f aca="false">IF(G477&gt;M477*3,"نعم","لا")</f>
        <v>لا</v>
      </c>
      <c r="O477" s="19" t="str">
        <f aca="false">IF(OR(C477="",ISNUMBER(C477)),"لا","نعم")</f>
        <v>لا</v>
      </c>
      <c r="P477" s="19" t="str">
        <f aca="false">IF(COUNTIF($B$2:B477,B477)&gt;1,"مكرر","فريد")</f>
        <v>فريد</v>
      </c>
      <c r="Q477" s="19" t="str">
        <f aca="false">IF(COUNTBLANK(D477:L477)&gt;0,"نعم","لا")</f>
        <v>لا</v>
      </c>
    </row>
    <row r="478" customFormat="false" ht="15" hidden="false" customHeight="false" outlineLevel="0" collapsed="false">
      <c r="A478" s="19" t="n">
        <v>477</v>
      </c>
      <c r="B478" s="30" t="s">
        <v>205</v>
      </c>
      <c r="C478" s="44" t="n">
        <v>45304</v>
      </c>
      <c r="D478" s="30" t="s">
        <v>50</v>
      </c>
      <c r="E478" s="30" t="s">
        <v>109</v>
      </c>
      <c r="F478" s="30" t="s">
        <v>93</v>
      </c>
      <c r="G478" s="31" t="n">
        <v>329</v>
      </c>
      <c r="H478" s="19" t="n">
        <v>2</v>
      </c>
      <c r="I478" s="32" t="n">
        <v>0.05</v>
      </c>
      <c r="J478" s="30" t="s">
        <v>48</v>
      </c>
      <c r="K478" s="30" t="s">
        <v>47</v>
      </c>
      <c r="L478" s="30" t="s">
        <v>94</v>
      </c>
      <c r="M478" s="31" t="n">
        <f aca="false">AVERAGEIF($E$2:$E$1197,E478,$G$2:$G$1197)</f>
        <v>186.056291390729</v>
      </c>
      <c r="N478" s="19" t="str">
        <f aca="false">IF(G478&gt;M478*3,"نعم","لا")</f>
        <v>لا</v>
      </c>
      <c r="O478" s="19" t="str">
        <f aca="false">IF(OR(C478="",ISNUMBER(C478)),"لا","نعم")</f>
        <v>لا</v>
      </c>
      <c r="P478" s="19" t="str">
        <f aca="false">IF(COUNTIF($B$2:B478,B478)&gt;1,"مكرر","فريد")</f>
        <v>فريد</v>
      </c>
      <c r="Q478" s="19" t="str">
        <f aca="false">IF(COUNTBLANK(D478:L478)&gt;0,"نعم","لا")</f>
        <v>لا</v>
      </c>
    </row>
    <row r="479" customFormat="false" ht="15" hidden="false" customHeight="false" outlineLevel="0" collapsed="false">
      <c r="A479" s="19" t="n">
        <v>478</v>
      </c>
      <c r="B479" s="30" t="s">
        <v>1185</v>
      </c>
      <c r="C479" s="30" t="s">
        <v>1413</v>
      </c>
      <c r="D479" s="30" t="s">
        <v>57</v>
      </c>
      <c r="E479" s="30" t="s">
        <v>113</v>
      </c>
      <c r="F479" s="30" t="s">
        <v>121</v>
      </c>
      <c r="G479" s="31" t="n">
        <v>689</v>
      </c>
      <c r="H479" s="19" t="n">
        <v>1</v>
      </c>
      <c r="I479" s="32" t="n">
        <v>0.05</v>
      </c>
      <c r="J479" s="30" t="s">
        <v>48</v>
      </c>
      <c r="K479" s="30" t="s">
        <v>47</v>
      </c>
      <c r="L479" s="30" t="s">
        <v>78</v>
      </c>
      <c r="M479" s="31" t="n">
        <f aca="false">AVERAGEIF($E$2:$E$1197,E479,$G$2:$G$1197)</f>
        <v>545.358823529412</v>
      </c>
      <c r="N479" s="19" t="str">
        <f aca="false">IF(G479&gt;M479*3,"نعم","لا")</f>
        <v>لا</v>
      </c>
      <c r="O479" s="19" t="str">
        <f aca="false">IF(OR(C479="",ISNUMBER(C479)),"لا","نعم")</f>
        <v>نعم</v>
      </c>
      <c r="P479" s="19" t="str">
        <f aca="false">IF(COUNTIF($B$2:B479,B479)&gt;1,"مكرر","فريد")</f>
        <v>فريد</v>
      </c>
      <c r="Q479" s="19" t="str">
        <f aca="false">IF(COUNTBLANK(D479:L479)&gt;0,"نعم","لا")</f>
        <v>لا</v>
      </c>
    </row>
    <row r="480" customFormat="false" ht="15" hidden="false" customHeight="false" outlineLevel="0" collapsed="false">
      <c r="A480" s="19" t="n">
        <v>479</v>
      </c>
      <c r="B480" s="30" t="s">
        <v>961</v>
      </c>
      <c r="C480" s="30" t="s">
        <v>1414</v>
      </c>
      <c r="D480" s="30" t="s">
        <v>60</v>
      </c>
      <c r="E480" s="30" t="s">
        <v>109</v>
      </c>
      <c r="F480" s="30" t="s">
        <v>110</v>
      </c>
      <c r="G480" s="31" t="n">
        <v>199</v>
      </c>
      <c r="H480" s="19" t="n">
        <v>1</v>
      </c>
      <c r="I480" s="32" t="n">
        <v>0.05</v>
      </c>
      <c r="J480" s="30" t="s">
        <v>48</v>
      </c>
      <c r="K480" s="30" t="s">
        <v>47</v>
      </c>
      <c r="L480" s="30" t="s">
        <v>94</v>
      </c>
      <c r="M480" s="31" t="n">
        <f aca="false">AVERAGEIF($E$2:$E$1197,E480,$G$2:$G$1197)</f>
        <v>186.056291390729</v>
      </c>
      <c r="N480" s="19" t="str">
        <f aca="false">IF(G480&gt;M480*3,"نعم","لا")</f>
        <v>لا</v>
      </c>
      <c r="O480" s="19" t="str">
        <f aca="false">IF(OR(C480="",ISNUMBER(C480)),"لا","نعم")</f>
        <v>نعم</v>
      </c>
      <c r="P480" s="19" t="str">
        <f aca="false">IF(COUNTIF($B$2:B480,B480)&gt;1,"مكرر","فريد")</f>
        <v>فريد</v>
      </c>
      <c r="Q480" s="19" t="str">
        <f aca="false">IF(COUNTBLANK(D480:L480)&gt;0,"نعم","لا")</f>
        <v>لا</v>
      </c>
    </row>
    <row r="481" customFormat="false" ht="15" hidden="false" customHeight="false" outlineLevel="0" collapsed="false">
      <c r="A481" s="19" t="n">
        <v>480</v>
      </c>
      <c r="B481" s="30" t="s">
        <v>609</v>
      </c>
      <c r="C481" s="44" t="n">
        <v>45454</v>
      </c>
      <c r="D481" s="30" t="s">
        <v>60</v>
      </c>
      <c r="E481" s="30" t="s">
        <v>111</v>
      </c>
      <c r="F481" s="30" t="s">
        <v>108</v>
      </c>
      <c r="G481" s="31" t="n">
        <v>229</v>
      </c>
      <c r="H481" s="19" t="n">
        <v>3</v>
      </c>
      <c r="I481" s="32" t="n">
        <v>0.1</v>
      </c>
      <c r="J481" s="30" t="s">
        <v>55</v>
      </c>
      <c r="K481" s="30" t="s">
        <v>51</v>
      </c>
      <c r="L481" s="30" t="s">
        <v>84</v>
      </c>
      <c r="M481" s="31" t="n">
        <f aca="false">AVERAGEIF($E$2:$E$1197,E481,$G$2:$G$1197)</f>
        <v>366.306569343066</v>
      </c>
      <c r="N481" s="19" t="str">
        <f aca="false">IF(G481&gt;M481*3,"نعم","لا")</f>
        <v>لا</v>
      </c>
      <c r="O481" s="19" t="str">
        <f aca="false">IF(OR(C481="",ISNUMBER(C481)),"لا","نعم")</f>
        <v>لا</v>
      </c>
      <c r="P481" s="19" t="str">
        <f aca="false">IF(COUNTIF($B$2:B481,B481)&gt;1,"مكرر","فريد")</f>
        <v>فريد</v>
      </c>
      <c r="Q481" s="19" t="str">
        <f aca="false">IF(COUNTBLANK(D481:L481)&gt;0,"نعم","لا")</f>
        <v>لا</v>
      </c>
    </row>
    <row r="482" customFormat="false" ht="15" hidden="false" customHeight="false" outlineLevel="0" collapsed="false">
      <c r="A482" s="19" t="n">
        <v>481</v>
      </c>
      <c r="B482" s="30" t="s">
        <v>606</v>
      </c>
      <c r="C482" s="44" t="n">
        <v>45453</v>
      </c>
      <c r="D482" s="30" t="s">
        <v>50</v>
      </c>
      <c r="E482" s="30" t="s">
        <v>105</v>
      </c>
      <c r="F482" s="30" t="s">
        <v>82</v>
      </c>
      <c r="G482" s="31" t="n">
        <v>3859</v>
      </c>
      <c r="H482" s="19" t="n">
        <v>1</v>
      </c>
      <c r="I482" s="32" t="n">
        <v>0.05</v>
      </c>
      <c r="J482" s="30" t="s">
        <v>52</v>
      </c>
      <c r="K482" s="30" t="s">
        <v>51</v>
      </c>
      <c r="L482" s="30" t="s">
        <v>86</v>
      </c>
      <c r="M482" s="31" t="n">
        <f aca="false">AVERAGEIF($E$2:$E$1197,E482,$G$2:$G$1197)</f>
        <v>2870.26771653543</v>
      </c>
      <c r="N482" s="19" t="str">
        <f aca="false">IF(G482&gt;M482*3,"نعم","لا")</f>
        <v>لا</v>
      </c>
      <c r="O482" s="19" t="str">
        <f aca="false">IF(OR(C482="",ISNUMBER(C482)),"لا","نعم")</f>
        <v>لا</v>
      </c>
      <c r="P482" s="19" t="str">
        <f aca="false">IF(COUNTIF($B$2:B482,B482)&gt;1,"مكرر","فريد")</f>
        <v>فريد</v>
      </c>
      <c r="Q482" s="19" t="str">
        <f aca="false">IF(COUNTBLANK(D482:L482)&gt;0,"نعم","لا")</f>
        <v>لا</v>
      </c>
    </row>
    <row r="483" customFormat="false" ht="15" hidden="false" customHeight="false" outlineLevel="0" collapsed="false">
      <c r="A483" s="19" t="n">
        <v>482</v>
      </c>
      <c r="B483" s="30" t="s">
        <v>426</v>
      </c>
      <c r="C483" s="44" t="n">
        <v>45382</v>
      </c>
      <c r="D483" s="30" t="s">
        <v>46</v>
      </c>
      <c r="E483" s="30" t="s">
        <v>107</v>
      </c>
      <c r="F483" s="30" t="s">
        <v>114</v>
      </c>
      <c r="G483" s="31" t="n">
        <v>3109</v>
      </c>
      <c r="H483" s="19" t="n">
        <v>2</v>
      </c>
      <c r="I483" s="32" t="n">
        <v>0.2</v>
      </c>
      <c r="J483" s="30" t="s">
        <v>48</v>
      </c>
      <c r="K483" s="30" t="s">
        <v>47</v>
      </c>
      <c r="L483" s="30" t="s">
        <v>89</v>
      </c>
      <c r="M483" s="31" t="n">
        <f aca="false">AVERAGEIF($E$2:$E$1197,E483,$G$2:$G$1197)</f>
        <v>4981.14563106796</v>
      </c>
      <c r="N483" s="19" t="str">
        <f aca="false">IF(G483&gt;M483*3,"نعم","لا")</f>
        <v>لا</v>
      </c>
      <c r="O483" s="19" t="str">
        <f aca="false">IF(OR(C483="",ISNUMBER(C483)),"لا","نعم")</f>
        <v>لا</v>
      </c>
      <c r="P483" s="19" t="str">
        <f aca="false">IF(COUNTIF($B$2:B483,B483)&gt;1,"مكرر","فريد")</f>
        <v>فريد</v>
      </c>
      <c r="Q483" s="19" t="str">
        <f aca="false">IF(COUNTBLANK(D483:L483)&gt;0,"نعم","لا")</f>
        <v>لا</v>
      </c>
    </row>
    <row r="484" customFormat="false" ht="15" hidden="false" customHeight="false" outlineLevel="0" collapsed="false">
      <c r="A484" s="19" t="n">
        <v>483</v>
      </c>
      <c r="B484" s="30" t="s">
        <v>374</v>
      </c>
      <c r="C484" s="44" t="n">
        <v>45367</v>
      </c>
      <c r="D484" s="30" t="s">
        <v>57</v>
      </c>
      <c r="E484" s="30" t="s">
        <v>107</v>
      </c>
      <c r="F484" s="30" t="s">
        <v>115</v>
      </c>
      <c r="G484" s="31" t="n">
        <v>5959</v>
      </c>
      <c r="H484" s="19" t="n">
        <v>1</v>
      </c>
      <c r="I484" s="32" t="n">
        <v>0.1</v>
      </c>
      <c r="J484" s="30" t="s">
        <v>55</v>
      </c>
      <c r="K484" s="30" t="s">
        <v>47</v>
      </c>
      <c r="L484" s="30" t="s">
        <v>76</v>
      </c>
      <c r="M484" s="31" t="n">
        <f aca="false">AVERAGEIF($E$2:$E$1197,E484,$G$2:$G$1197)</f>
        <v>4981.14563106796</v>
      </c>
      <c r="N484" s="19" t="str">
        <f aca="false">IF(G484&gt;M484*3,"نعم","لا")</f>
        <v>لا</v>
      </c>
      <c r="O484" s="19" t="str">
        <f aca="false">IF(OR(C484="",ISNUMBER(C484)),"لا","نعم")</f>
        <v>لا</v>
      </c>
      <c r="P484" s="19" t="str">
        <f aca="false">IF(COUNTIF($B$2:B484,B484)&gt;1,"مكرر","فريد")</f>
        <v>فريد</v>
      </c>
      <c r="Q484" s="19" t="str">
        <f aca="false">IF(COUNTBLANK(D484:L484)&gt;0,"نعم","لا")</f>
        <v>لا</v>
      </c>
    </row>
    <row r="485" customFormat="false" ht="15" hidden="false" customHeight="false" outlineLevel="0" collapsed="false">
      <c r="A485" s="19" t="n">
        <v>484</v>
      </c>
      <c r="B485" s="30" t="s">
        <v>936</v>
      </c>
      <c r="C485" s="44" t="n">
        <v>45560</v>
      </c>
      <c r="D485" s="30" t="s">
        <v>1398</v>
      </c>
      <c r="E485" s="30" t="s">
        <v>107</v>
      </c>
      <c r="F485" s="30" t="s">
        <v>115</v>
      </c>
      <c r="G485" s="31" t="n">
        <v>3009</v>
      </c>
      <c r="H485" s="19" t="n">
        <v>1</v>
      </c>
      <c r="I485" s="32" t="n">
        <v>0.05</v>
      </c>
      <c r="J485" s="30" t="s">
        <v>58</v>
      </c>
      <c r="K485" s="30" t="s">
        <v>47</v>
      </c>
      <c r="L485" s="30" t="s">
        <v>76</v>
      </c>
      <c r="M485" s="31" t="n">
        <f aca="false">AVERAGEIF($E$2:$E$1197,E485,$G$2:$G$1197)</f>
        <v>4981.14563106796</v>
      </c>
      <c r="N485" s="19" t="str">
        <f aca="false">IF(G485&gt;M485*3,"نعم","لا")</f>
        <v>لا</v>
      </c>
      <c r="O485" s="19" t="str">
        <f aca="false">IF(OR(C485="",ISNUMBER(C485)),"لا","نعم")</f>
        <v>لا</v>
      </c>
      <c r="P485" s="19" t="str">
        <f aca="false">IF(COUNTIF($B$2:B485,B485)&gt;1,"مكرر","فريد")</f>
        <v>فريد</v>
      </c>
      <c r="Q485" s="19" t="str">
        <f aca="false">IF(COUNTBLANK(D485:L485)&gt;0,"نعم","لا")</f>
        <v>لا</v>
      </c>
    </row>
    <row r="486" customFormat="false" ht="15" hidden="false" customHeight="false" outlineLevel="0" collapsed="false">
      <c r="A486" s="19" t="n">
        <v>485</v>
      </c>
      <c r="B486" s="30" t="s">
        <v>966</v>
      </c>
      <c r="C486" s="44" t="n">
        <v>45569</v>
      </c>
      <c r="D486" s="30" t="s">
        <v>54</v>
      </c>
      <c r="E486" s="30" t="s">
        <v>105</v>
      </c>
      <c r="F486" s="30" t="s">
        <v>179</v>
      </c>
      <c r="G486" s="31" t="n">
        <v>2319</v>
      </c>
      <c r="H486" s="19" t="n">
        <v>3</v>
      </c>
      <c r="I486" s="32" t="n">
        <v>0</v>
      </c>
      <c r="J486" s="30" t="s">
        <v>48</v>
      </c>
      <c r="K486" s="30" t="s">
        <v>47</v>
      </c>
      <c r="L486" s="30" t="s">
        <v>86</v>
      </c>
      <c r="M486" s="31" t="n">
        <f aca="false">AVERAGEIF($E$2:$E$1197,E486,$G$2:$G$1197)</f>
        <v>2870.26771653543</v>
      </c>
      <c r="N486" s="19" t="str">
        <f aca="false">IF(G486&gt;M486*3,"نعم","لا")</f>
        <v>لا</v>
      </c>
      <c r="O486" s="19" t="str">
        <f aca="false">IF(OR(C486="",ISNUMBER(C486)),"لا","نعم")</f>
        <v>لا</v>
      </c>
      <c r="P486" s="19" t="str">
        <f aca="false">IF(COUNTIF($B$2:B486,B486)&gt;1,"مكرر","فريد")</f>
        <v>فريد</v>
      </c>
      <c r="Q486" s="19" t="str">
        <f aca="false">IF(COUNTBLANK(D486:L486)&gt;0,"نعم","لا")</f>
        <v>لا</v>
      </c>
    </row>
    <row r="487" customFormat="false" ht="15" hidden="false" customHeight="false" outlineLevel="0" collapsed="false">
      <c r="A487" s="19" t="n">
        <v>486</v>
      </c>
      <c r="B487" s="30" t="s">
        <v>738</v>
      </c>
      <c r="C487" s="44" t="n">
        <v>45497</v>
      </c>
      <c r="D487" s="30" t="s">
        <v>60</v>
      </c>
      <c r="E487" s="30" t="s">
        <v>109</v>
      </c>
      <c r="F487" s="30" t="s">
        <v>171</v>
      </c>
      <c r="G487" s="31" t="n">
        <v>149</v>
      </c>
      <c r="H487" s="19" t="n">
        <v>1</v>
      </c>
      <c r="I487" s="32" t="n">
        <v>0</v>
      </c>
      <c r="J487" s="30" t="s">
        <v>48</v>
      </c>
      <c r="K487" s="30" t="s">
        <v>47</v>
      </c>
      <c r="L487" s="30" t="s">
        <v>99</v>
      </c>
      <c r="M487" s="31" t="n">
        <f aca="false">AVERAGEIF($E$2:$E$1197,E487,$G$2:$G$1197)</f>
        <v>186.056291390729</v>
      </c>
      <c r="N487" s="19" t="str">
        <f aca="false">IF(G487&gt;M487*3,"نعم","لا")</f>
        <v>لا</v>
      </c>
      <c r="O487" s="19" t="str">
        <f aca="false">IF(OR(C487="",ISNUMBER(C487)),"لا","نعم")</f>
        <v>لا</v>
      </c>
      <c r="P487" s="19" t="str">
        <f aca="false">IF(COUNTIF($B$2:B487,B487)&gt;1,"مكرر","فريد")</f>
        <v>فريد</v>
      </c>
      <c r="Q487" s="19" t="str">
        <f aca="false">IF(COUNTBLANK(D487:L487)&gt;0,"نعم","لا")</f>
        <v>لا</v>
      </c>
    </row>
    <row r="488" customFormat="false" ht="15" hidden="false" customHeight="false" outlineLevel="0" collapsed="false">
      <c r="A488" s="19" t="n">
        <v>487</v>
      </c>
      <c r="B488" s="30" t="s">
        <v>527</v>
      </c>
      <c r="C488" s="44" t="n">
        <v>45423</v>
      </c>
      <c r="D488" s="30" t="s">
        <v>1390</v>
      </c>
      <c r="E488" s="30" t="s">
        <v>107</v>
      </c>
      <c r="F488" s="30" t="s">
        <v>184</v>
      </c>
      <c r="G488" s="31" t="n">
        <v>6799</v>
      </c>
      <c r="H488" s="19" t="n">
        <v>3</v>
      </c>
      <c r="I488" s="32" t="n">
        <v>0</v>
      </c>
      <c r="J488" s="30" t="s">
        <v>55</v>
      </c>
      <c r="K488" s="30" t="s">
        <v>51</v>
      </c>
      <c r="L488" s="30" t="s">
        <v>76</v>
      </c>
      <c r="M488" s="31" t="n">
        <f aca="false">AVERAGEIF($E$2:$E$1197,E488,$G$2:$G$1197)</f>
        <v>4981.14563106796</v>
      </c>
      <c r="N488" s="19" t="str">
        <f aca="false">IF(G488&gt;M488*3,"نعم","لا")</f>
        <v>لا</v>
      </c>
      <c r="O488" s="19" t="str">
        <f aca="false">IF(OR(C488="",ISNUMBER(C488)),"لا","نعم")</f>
        <v>لا</v>
      </c>
      <c r="P488" s="19" t="str">
        <f aca="false">IF(COUNTIF($B$2:B488,B488)&gt;1,"مكرر","فريد")</f>
        <v>فريد</v>
      </c>
      <c r="Q488" s="19" t="str">
        <f aca="false">IF(COUNTBLANK(D488:L488)&gt;0,"نعم","لا")</f>
        <v>لا</v>
      </c>
    </row>
    <row r="489" customFormat="false" ht="15" hidden="false" customHeight="false" outlineLevel="0" collapsed="false">
      <c r="A489" s="19" t="n">
        <v>488</v>
      </c>
      <c r="B489" s="30" t="s">
        <v>825</v>
      </c>
      <c r="C489" s="44" t="n">
        <v>45523</v>
      </c>
      <c r="D489" s="30" t="s">
        <v>46</v>
      </c>
      <c r="E489" s="30" t="s">
        <v>109</v>
      </c>
      <c r="F489" s="30" t="s">
        <v>171</v>
      </c>
      <c r="G489" s="31" t="n">
        <v>59</v>
      </c>
      <c r="H489" s="19" t="n">
        <v>5</v>
      </c>
      <c r="I489" s="32" t="n">
        <v>0.1</v>
      </c>
      <c r="J489" s="30" t="s">
        <v>55</v>
      </c>
      <c r="K489" s="30" t="s">
        <v>51</v>
      </c>
      <c r="L489" s="30" t="s">
        <v>96</v>
      </c>
      <c r="M489" s="31" t="n">
        <f aca="false">AVERAGEIF($E$2:$E$1197,E489,$G$2:$G$1197)</f>
        <v>186.056291390729</v>
      </c>
      <c r="N489" s="19" t="str">
        <f aca="false">IF(G489&gt;M489*3,"نعم","لا")</f>
        <v>لا</v>
      </c>
      <c r="O489" s="19" t="str">
        <f aca="false">IF(OR(C489="",ISNUMBER(C489)),"لا","نعم")</f>
        <v>لا</v>
      </c>
      <c r="P489" s="19" t="str">
        <f aca="false">IF(COUNTIF($B$2:B489,B489)&gt;1,"مكرر","فريد")</f>
        <v>فريد</v>
      </c>
      <c r="Q489" s="19" t="str">
        <f aca="false">IF(COUNTBLANK(D489:L489)&gt;0,"نعم","لا")</f>
        <v>لا</v>
      </c>
    </row>
    <row r="490" customFormat="false" ht="15" hidden="false" customHeight="false" outlineLevel="0" collapsed="false">
      <c r="A490" s="19" t="n">
        <v>489</v>
      </c>
      <c r="B490" s="30" t="s">
        <v>246</v>
      </c>
      <c r="C490" s="44" t="n">
        <v>45321</v>
      </c>
      <c r="D490" s="30" t="s">
        <v>46</v>
      </c>
      <c r="E490" s="30" t="s">
        <v>105</v>
      </c>
      <c r="F490" s="30" t="s">
        <v>179</v>
      </c>
      <c r="G490" s="31" t="n">
        <v>1149</v>
      </c>
      <c r="H490" s="19" t="n">
        <v>1</v>
      </c>
      <c r="I490" s="32" t="n">
        <v>0</v>
      </c>
      <c r="J490" s="30" t="s">
        <v>55</v>
      </c>
      <c r="K490" s="30" t="s">
        <v>47</v>
      </c>
      <c r="L490" s="30" t="s">
        <v>86</v>
      </c>
      <c r="M490" s="31" t="n">
        <f aca="false">AVERAGEIF($E$2:$E$1197,E490,$G$2:$G$1197)</f>
        <v>2870.26771653543</v>
      </c>
      <c r="N490" s="19" t="str">
        <f aca="false">IF(G490&gt;M490*3,"نعم","لا")</f>
        <v>لا</v>
      </c>
      <c r="O490" s="19" t="str">
        <f aca="false">IF(OR(C490="",ISNUMBER(C490)),"لا","نعم")</f>
        <v>لا</v>
      </c>
      <c r="P490" s="19" t="str">
        <f aca="false">IF(COUNTIF($B$2:B490,B490)&gt;1,"مكرر","فريد")</f>
        <v>فريد</v>
      </c>
      <c r="Q490" s="19" t="str">
        <f aca="false">IF(COUNTBLANK(D490:L490)&gt;0,"نعم","لا")</f>
        <v>لا</v>
      </c>
    </row>
    <row r="491" customFormat="false" ht="15" hidden="false" customHeight="false" outlineLevel="0" collapsed="false">
      <c r="A491" s="19" t="n">
        <v>490</v>
      </c>
      <c r="B491" s="30" t="s">
        <v>254</v>
      </c>
      <c r="C491" s="44" t="n">
        <v>45324</v>
      </c>
      <c r="D491" s="30" t="s">
        <v>50</v>
      </c>
      <c r="E491" s="30" t="s">
        <v>111</v>
      </c>
      <c r="F491" s="30" t="s">
        <v>120</v>
      </c>
      <c r="G491" s="31" t="n">
        <v>549</v>
      </c>
      <c r="H491" s="19" t="n">
        <v>1</v>
      </c>
      <c r="I491" s="32"/>
      <c r="J491" s="30" t="s">
        <v>48</v>
      </c>
      <c r="K491" s="30" t="s">
        <v>47</v>
      </c>
      <c r="L491" s="30" t="s">
        <v>78</v>
      </c>
      <c r="M491" s="31" t="n">
        <f aca="false">AVERAGEIF($E$2:$E$1197,E491,$G$2:$G$1197)</f>
        <v>366.306569343066</v>
      </c>
      <c r="N491" s="19" t="str">
        <f aca="false">IF(G491&gt;M491*3,"نعم","لا")</f>
        <v>لا</v>
      </c>
      <c r="O491" s="19" t="str">
        <f aca="false">IF(OR(C491="",ISNUMBER(C491)),"لا","نعم")</f>
        <v>لا</v>
      </c>
      <c r="P491" s="19" t="str">
        <f aca="false">IF(COUNTIF($B$2:B491,B491)&gt;1,"مكرر","فريد")</f>
        <v>فريد</v>
      </c>
      <c r="Q491" s="19" t="str">
        <f aca="false">IF(COUNTBLANK(D491:L491)&gt;0,"نعم","لا")</f>
        <v>نعم</v>
      </c>
    </row>
    <row r="492" customFormat="false" ht="15" hidden="false" customHeight="false" outlineLevel="0" collapsed="false">
      <c r="A492" s="19" t="n">
        <v>491</v>
      </c>
      <c r="B492" s="30" t="s">
        <v>694</v>
      </c>
      <c r="C492" s="44" t="n">
        <v>45484</v>
      </c>
      <c r="D492" s="30" t="s">
        <v>50</v>
      </c>
      <c r="E492" s="30" t="s">
        <v>107</v>
      </c>
      <c r="F492" s="30" t="s">
        <v>114</v>
      </c>
      <c r="G492" s="31" t="n">
        <v>2099</v>
      </c>
      <c r="H492" s="19" t="n">
        <v>1</v>
      </c>
      <c r="I492" s="32" t="n">
        <v>0</v>
      </c>
      <c r="J492" s="30" t="s">
        <v>55</v>
      </c>
      <c r="K492" s="30" t="s">
        <v>47</v>
      </c>
      <c r="L492" s="30" t="s">
        <v>92</v>
      </c>
      <c r="M492" s="31" t="n">
        <f aca="false">AVERAGEIF($E$2:$E$1197,E492,$G$2:$G$1197)</f>
        <v>4981.14563106796</v>
      </c>
      <c r="N492" s="19" t="str">
        <f aca="false">IF(G492&gt;M492*3,"نعم","لا")</f>
        <v>لا</v>
      </c>
      <c r="O492" s="19" t="str">
        <f aca="false">IF(OR(C492="",ISNUMBER(C492)),"لا","نعم")</f>
        <v>لا</v>
      </c>
      <c r="P492" s="19" t="str">
        <f aca="false">IF(COUNTIF($B$2:B492,B492)&gt;1,"مكرر","فريد")</f>
        <v>فريد</v>
      </c>
      <c r="Q492" s="19" t="str">
        <f aca="false">IF(COUNTBLANK(D492:L492)&gt;0,"نعم","لا")</f>
        <v>لا</v>
      </c>
    </row>
    <row r="493" customFormat="false" ht="15" hidden="false" customHeight="false" outlineLevel="0" collapsed="false">
      <c r="A493" s="19" t="n">
        <v>492</v>
      </c>
      <c r="B493" s="30" t="s">
        <v>248</v>
      </c>
      <c r="C493" s="44" t="n">
        <v>45322</v>
      </c>
      <c r="D493" s="30" t="s">
        <v>46</v>
      </c>
      <c r="E493" s="30" t="s">
        <v>113</v>
      </c>
      <c r="F493" s="30" t="s">
        <v>95</v>
      </c>
      <c r="G493" s="31" t="n">
        <v>819</v>
      </c>
      <c r="H493" s="19" t="n">
        <v>1</v>
      </c>
      <c r="I493" s="32" t="n">
        <v>0</v>
      </c>
      <c r="J493" s="30" t="s">
        <v>52</v>
      </c>
      <c r="K493" s="30" t="s">
        <v>51</v>
      </c>
      <c r="L493" s="30" t="s">
        <v>94</v>
      </c>
      <c r="M493" s="31" t="n">
        <f aca="false">AVERAGEIF($E$2:$E$1197,E493,$G$2:$G$1197)</f>
        <v>545.358823529412</v>
      </c>
      <c r="N493" s="19" t="str">
        <f aca="false">IF(G493&gt;M493*3,"نعم","لا")</f>
        <v>لا</v>
      </c>
      <c r="O493" s="19" t="str">
        <f aca="false">IF(OR(C493="",ISNUMBER(C493)),"لا","نعم")</f>
        <v>لا</v>
      </c>
      <c r="P493" s="19" t="str">
        <f aca="false">IF(COUNTIF($B$2:B493,B493)&gt;1,"مكرر","فريد")</f>
        <v>فريد</v>
      </c>
      <c r="Q493" s="19" t="str">
        <f aca="false">IF(COUNTBLANK(D493:L493)&gt;0,"نعم","لا")</f>
        <v>لا</v>
      </c>
    </row>
    <row r="494" customFormat="false" ht="15" hidden="false" customHeight="false" outlineLevel="0" collapsed="false">
      <c r="A494" s="19" t="n">
        <v>493</v>
      </c>
      <c r="B494" s="30" t="s">
        <v>621</v>
      </c>
      <c r="C494" s="44" t="n">
        <v>45457</v>
      </c>
      <c r="D494" s="30" t="s">
        <v>50</v>
      </c>
      <c r="E494" s="30" t="s">
        <v>107</v>
      </c>
      <c r="F494" s="30" t="s">
        <v>115</v>
      </c>
      <c r="G494" s="31" t="n">
        <v>4349</v>
      </c>
      <c r="H494" s="19" t="n">
        <v>1</v>
      </c>
      <c r="I494" s="32" t="n">
        <v>0</v>
      </c>
      <c r="J494" s="30" t="s">
        <v>48</v>
      </c>
      <c r="K494" s="30" t="s">
        <v>47</v>
      </c>
      <c r="L494" s="30" t="s">
        <v>86</v>
      </c>
      <c r="M494" s="31" t="n">
        <f aca="false">AVERAGEIF($E$2:$E$1197,E494,$G$2:$G$1197)</f>
        <v>4981.14563106796</v>
      </c>
      <c r="N494" s="19" t="str">
        <f aca="false">IF(G494&gt;M494*3,"نعم","لا")</f>
        <v>لا</v>
      </c>
      <c r="O494" s="19" t="str">
        <f aca="false">IF(OR(C494="",ISNUMBER(C494)),"لا","نعم")</f>
        <v>لا</v>
      </c>
      <c r="P494" s="19" t="str">
        <f aca="false">IF(COUNTIF($B$2:B494,B494)&gt;1,"مكرر","فريد")</f>
        <v>فريد</v>
      </c>
      <c r="Q494" s="19" t="str">
        <f aca="false">IF(COUNTBLANK(D494:L494)&gt;0,"نعم","لا")</f>
        <v>لا</v>
      </c>
    </row>
    <row r="495" customFormat="false" ht="15" hidden="false" customHeight="false" outlineLevel="0" collapsed="false">
      <c r="A495" s="19" t="n">
        <v>494</v>
      </c>
      <c r="B495" s="30" t="s">
        <v>1276</v>
      </c>
      <c r="C495" s="44" t="n">
        <v>45653</v>
      </c>
      <c r="D495" s="30" t="s">
        <v>60</v>
      </c>
      <c r="E495" s="30" t="s">
        <v>113</v>
      </c>
      <c r="F495" s="30" t="s">
        <v>100</v>
      </c>
      <c r="G495" s="31" t="n">
        <v>809</v>
      </c>
      <c r="H495" s="19" t="n">
        <v>1</v>
      </c>
      <c r="I495" s="32" t="n">
        <v>0.15</v>
      </c>
      <c r="J495" s="30" t="s">
        <v>48</v>
      </c>
      <c r="K495" s="30" t="s">
        <v>47</v>
      </c>
      <c r="L495" s="30" t="s">
        <v>81</v>
      </c>
      <c r="M495" s="31" t="n">
        <f aca="false">AVERAGEIF($E$2:$E$1197,E495,$G$2:$G$1197)</f>
        <v>545.358823529412</v>
      </c>
      <c r="N495" s="19" t="str">
        <f aca="false">IF(G495&gt;M495*3,"نعم","لا")</f>
        <v>لا</v>
      </c>
      <c r="O495" s="19" t="str">
        <f aca="false">IF(OR(C495="",ISNUMBER(C495)),"لا","نعم")</f>
        <v>لا</v>
      </c>
      <c r="P495" s="19" t="str">
        <f aca="false">IF(COUNTIF($B$2:B495,B495)&gt;1,"مكرر","فريد")</f>
        <v>فريد</v>
      </c>
      <c r="Q495" s="19" t="str">
        <f aca="false">IF(COUNTBLANK(D495:L495)&gt;0,"نعم","لا")</f>
        <v>لا</v>
      </c>
    </row>
    <row r="496" customFormat="false" ht="15" hidden="false" customHeight="false" outlineLevel="0" collapsed="false">
      <c r="A496" s="19" t="n">
        <v>495</v>
      </c>
      <c r="B496" s="30" t="s">
        <v>1134</v>
      </c>
      <c r="C496" s="44" t="n">
        <v>45615</v>
      </c>
      <c r="D496" s="30" t="s">
        <v>54</v>
      </c>
      <c r="E496" s="30" t="s">
        <v>105</v>
      </c>
      <c r="F496" s="30" t="s">
        <v>82</v>
      </c>
      <c r="G496" s="31" t="n">
        <v>1059</v>
      </c>
      <c r="H496" s="19" t="n">
        <v>1</v>
      </c>
      <c r="I496" s="32"/>
      <c r="J496" s="30" t="s">
        <v>58</v>
      </c>
      <c r="K496" s="30" t="s">
        <v>47</v>
      </c>
      <c r="L496" s="30" t="s">
        <v>96</v>
      </c>
      <c r="M496" s="31" t="n">
        <f aca="false">AVERAGEIF($E$2:$E$1197,E496,$G$2:$G$1197)</f>
        <v>2870.26771653543</v>
      </c>
      <c r="N496" s="19" t="str">
        <f aca="false">IF(G496&gt;M496*3,"نعم","لا")</f>
        <v>لا</v>
      </c>
      <c r="O496" s="19" t="str">
        <f aca="false">IF(OR(C496="",ISNUMBER(C496)),"لا","نعم")</f>
        <v>لا</v>
      </c>
      <c r="P496" s="19" t="str">
        <f aca="false">IF(COUNTIF($B$2:B496,B496)&gt;1,"مكرر","فريد")</f>
        <v>فريد</v>
      </c>
      <c r="Q496" s="19" t="str">
        <f aca="false">IF(COUNTBLANK(D496:L496)&gt;0,"نعم","لا")</f>
        <v>نعم</v>
      </c>
    </row>
    <row r="497" customFormat="false" ht="15" hidden="false" customHeight="false" outlineLevel="0" collapsed="false">
      <c r="A497" s="19" t="n">
        <v>496</v>
      </c>
      <c r="B497" s="30" t="s">
        <v>947</v>
      </c>
      <c r="C497" s="44" t="n">
        <v>45563</v>
      </c>
      <c r="D497" s="30" t="s">
        <v>46</v>
      </c>
      <c r="E497" s="30" t="s">
        <v>105</v>
      </c>
      <c r="F497" s="30" t="s">
        <v>79</v>
      </c>
      <c r="G497" s="31" t="n">
        <v>1899</v>
      </c>
      <c r="H497" s="19" t="n">
        <v>1</v>
      </c>
      <c r="I497" s="32" t="n">
        <v>0</v>
      </c>
      <c r="J497" s="30" t="s">
        <v>55</v>
      </c>
      <c r="K497" s="30" t="s">
        <v>47</v>
      </c>
      <c r="L497" s="30" t="s">
        <v>84</v>
      </c>
      <c r="M497" s="31" t="n">
        <f aca="false">AVERAGEIF($E$2:$E$1197,E497,$G$2:$G$1197)</f>
        <v>2870.26771653543</v>
      </c>
      <c r="N497" s="19" t="str">
        <f aca="false">IF(G497&gt;M497*3,"نعم","لا")</f>
        <v>لا</v>
      </c>
      <c r="O497" s="19" t="str">
        <f aca="false">IF(OR(C497="",ISNUMBER(C497)),"لا","نعم")</f>
        <v>لا</v>
      </c>
      <c r="P497" s="19" t="str">
        <f aca="false">IF(COUNTIF($B$2:B497,B497)&gt;1,"مكرر","فريد")</f>
        <v>فريد</v>
      </c>
      <c r="Q497" s="19" t="str">
        <f aca="false">IF(COUNTBLANK(D497:L497)&gt;0,"نعم","لا")</f>
        <v>لا</v>
      </c>
    </row>
    <row r="498" customFormat="false" ht="15" hidden="false" customHeight="false" outlineLevel="0" collapsed="false">
      <c r="A498" s="19" t="n">
        <v>497</v>
      </c>
      <c r="B498" s="30" t="s">
        <v>1241</v>
      </c>
      <c r="C498" s="44" t="n">
        <v>45643</v>
      </c>
      <c r="D498" s="30" t="s">
        <v>54</v>
      </c>
      <c r="E498" s="30" t="s">
        <v>105</v>
      </c>
      <c r="F498" s="30" t="s">
        <v>79</v>
      </c>
      <c r="G498" s="31" t="n">
        <v>3279</v>
      </c>
      <c r="H498" s="19" t="n">
        <v>1</v>
      </c>
      <c r="I498" s="32" t="n">
        <v>0</v>
      </c>
      <c r="J498" s="30" t="s">
        <v>52</v>
      </c>
      <c r="K498" s="30" t="s">
        <v>47</v>
      </c>
      <c r="L498" s="30" t="s">
        <v>78</v>
      </c>
      <c r="M498" s="31" t="n">
        <f aca="false">AVERAGEIF($E$2:$E$1197,E498,$G$2:$G$1197)</f>
        <v>2870.26771653543</v>
      </c>
      <c r="N498" s="19" t="str">
        <f aca="false">IF(G498&gt;M498*3,"نعم","لا")</f>
        <v>لا</v>
      </c>
      <c r="O498" s="19" t="str">
        <f aca="false">IF(OR(C498="",ISNUMBER(C498)),"لا","نعم")</f>
        <v>لا</v>
      </c>
      <c r="P498" s="19" t="str">
        <f aca="false">IF(COUNTIF($B$2:B498,B498)&gt;1,"مكرر","فريد")</f>
        <v>فريد</v>
      </c>
      <c r="Q498" s="19" t="str">
        <f aca="false">IF(COUNTBLANK(D498:L498)&gt;0,"نعم","لا")</f>
        <v>لا</v>
      </c>
    </row>
    <row r="499" customFormat="false" ht="15" hidden="false" customHeight="false" outlineLevel="0" collapsed="false">
      <c r="A499" s="19" t="n">
        <v>498</v>
      </c>
      <c r="B499" s="30" t="s">
        <v>880</v>
      </c>
      <c r="C499" s="44" t="n">
        <v>45538</v>
      </c>
      <c r="D499" s="30" t="s">
        <v>46</v>
      </c>
      <c r="E499" s="30" t="s">
        <v>107</v>
      </c>
      <c r="F499" s="30" t="s">
        <v>184</v>
      </c>
      <c r="G499" s="31" t="n">
        <v>3469</v>
      </c>
      <c r="H499" s="19" t="n">
        <v>1</v>
      </c>
      <c r="I499" s="32" t="n">
        <v>0.05</v>
      </c>
      <c r="J499" s="30" t="s">
        <v>55</v>
      </c>
      <c r="K499" s="30" t="s">
        <v>47</v>
      </c>
      <c r="L499" s="30" t="s">
        <v>84</v>
      </c>
      <c r="M499" s="31" t="n">
        <f aca="false">AVERAGEIF($E$2:$E$1197,E499,$G$2:$G$1197)</f>
        <v>4981.14563106796</v>
      </c>
      <c r="N499" s="19" t="str">
        <f aca="false">IF(G499&gt;M499*3,"نعم","لا")</f>
        <v>لا</v>
      </c>
      <c r="O499" s="19" t="str">
        <f aca="false">IF(OR(C499="",ISNUMBER(C499)),"لا","نعم")</f>
        <v>لا</v>
      </c>
      <c r="P499" s="19" t="str">
        <f aca="false">IF(COUNTIF($B$2:B499,B499)&gt;1,"مكرر","فريد")</f>
        <v>فريد</v>
      </c>
      <c r="Q499" s="19" t="str">
        <f aca="false">IF(COUNTBLANK(D499:L499)&gt;0,"نعم","لا")</f>
        <v>لا</v>
      </c>
    </row>
    <row r="500" customFormat="false" ht="15" hidden="false" customHeight="false" outlineLevel="0" collapsed="false">
      <c r="A500" s="19" t="n">
        <v>499</v>
      </c>
      <c r="B500" s="30" t="s">
        <v>596</v>
      </c>
      <c r="C500" s="44" t="n">
        <v>45451</v>
      </c>
      <c r="D500" s="30" t="s">
        <v>54</v>
      </c>
      <c r="E500" s="30" t="s">
        <v>107</v>
      </c>
      <c r="F500" s="30" t="s">
        <v>115</v>
      </c>
      <c r="G500" s="31" t="n">
        <v>5619</v>
      </c>
      <c r="H500" s="19" t="n">
        <v>8</v>
      </c>
      <c r="I500" s="32" t="n">
        <v>0</v>
      </c>
      <c r="J500" s="30" t="s">
        <v>55</v>
      </c>
      <c r="K500" s="30" t="s">
        <v>51</v>
      </c>
      <c r="L500" s="30" t="s">
        <v>94</v>
      </c>
      <c r="M500" s="31" t="n">
        <f aca="false">AVERAGEIF($E$2:$E$1197,E500,$G$2:$G$1197)</f>
        <v>4981.14563106796</v>
      </c>
      <c r="N500" s="19" t="str">
        <f aca="false">IF(G500&gt;M500*3,"نعم","لا")</f>
        <v>لا</v>
      </c>
      <c r="O500" s="19" t="str">
        <f aca="false">IF(OR(C500="",ISNUMBER(C500)),"لا","نعم")</f>
        <v>لا</v>
      </c>
      <c r="P500" s="19" t="str">
        <f aca="false">IF(COUNTIF($B$2:B500,B500)&gt;1,"مكرر","فريد")</f>
        <v>فريد</v>
      </c>
      <c r="Q500" s="19" t="str">
        <f aca="false">IF(COUNTBLANK(D500:L500)&gt;0,"نعم","لا")</f>
        <v>لا</v>
      </c>
    </row>
    <row r="501" customFormat="false" ht="15" hidden="false" customHeight="false" outlineLevel="0" collapsed="false">
      <c r="A501" s="19" t="n">
        <v>500</v>
      </c>
      <c r="B501" s="30" t="s">
        <v>887</v>
      </c>
      <c r="C501" s="44" t="n">
        <v>45540</v>
      </c>
      <c r="D501" s="30" t="s">
        <v>50</v>
      </c>
      <c r="E501" s="30" t="s">
        <v>109</v>
      </c>
      <c r="F501" s="30" t="s">
        <v>175</v>
      </c>
      <c r="G501" s="31" t="n">
        <v>209</v>
      </c>
      <c r="H501" s="19" t="n">
        <v>1</v>
      </c>
      <c r="I501" s="32" t="n">
        <v>0</v>
      </c>
      <c r="J501" s="30" t="s">
        <v>52</v>
      </c>
      <c r="K501" s="30" t="s">
        <v>47</v>
      </c>
      <c r="L501" s="30" t="s">
        <v>99</v>
      </c>
      <c r="M501" s="31" t="n">
        <f aca="false">AVERAGEIF($E$2:$E$1197,E501,$G$2:$G$1197)</f>
        <v>186.056291390729</v>
      </c>
      <c r="N501" s="19" t="str">
        <f aca="false">IF(G501&gt;M501*3,"نعم","لا")</f>
        <v>لا</v>
      </c>
      <c r="O501" s="19" t="str">
        <f aca="false">IF(OR(C501="",ISNUMBER(C501)),"لا","نعم")</f>
        <v>لا</v>
      </c>
      <c r="P501" s="19" t="str">
        <f aca="false">IF(COUNTIF($B$2:B501,B501)&gt;1,"مكرر","فريد")</f>
        <v>فريد</v>
      </c>
      <c r="Q501" s="19" t="str">
        <f aca="false">IF(COUNTBLANK(D501:L501)&gt;0,"نعم","لا")</f>
        <v>لا</v>
      </c>
    </row>
    <row r="502" customFormat="false" ht="15" hidden="false" customHeight="false" outlineLevel="0" collapsed="false">
      <c r="A502" s="19" t="n">
        <v>501</v>
      </c>
      <c r="B502" s="30" t="s">
        <v>1036</v>
      </c>
      <c r="C502" s="44" t="n">
        <v>45594</v>
      </c>
      <c r="D502" s="30" t="s">
        <v>50</v>
      </c>
      <c r="E502" s="30" t="s">
        <v>105</v>
      </c>
      <c r="F502" s="30" t="s">
        <v>90</v>
      </c>
      <c r="G502" s="31" t="n">
        <v>3799</v>
      </c>
      <c r="H502" s="19" t="n">
        <v>1</v>
      </c>
      <c r="I502" s="32" t="n">
        <v>0.05</v>
      </c>
      <c r="J502" s="30" t="s">
        <v>1335</v>
      </c>
      <c r="K502" s="30" t="s">
        <v>47</v>
      </c>
      <c r="L502" s="30" t="s">
        <v>94</v>
      </c>
      <c r="M502" s="31" t="n">
        <f aca="false">AVERAGEIF($E$2:$E$1197,E502,$G$2:$G$1197)</f>
        <v>2870.26771653543</v>
      </c>
      <c r="N502" s="19" t="str">
        <f aca="false">IF(G502&gt;M502*3,"نعم","لا")</f>
        <v>لا</v>
      </c>
      <c r="O502" s="19" t="str">
        <f aca="false">IF(OR(C502="",ISNUMBER(C502)),"لا","نعم")</f>
        <v>لا</v>
      </c>
      <c r="P502" s="19" t="str">
        <f aca="false">IF(COUNTIF($B$2:B502,B502)&gt;1,"مكرر","فريد")</f>
        <v>فريد</v>
      </c>
      <c r="Q502" s="19" t="str">
        <f aca="false">IF(COUNTBLANK(D502:L502)&gt;0,"نعم","لا")</f>
        <v>لا</v>
      </c>
    </row>
    <row r="503" customFormat="false" ht="15" hidden="false" customHeight="false" outlineLevel="0" collapsed="false">
      <c r="A503" s="19" t="n">
        <v>502</v>
      </c>
      <c r="B503" s="30" t="s">
        <v>781</v>
      </c>
      <c r="C503" s="44" t="n">
        <v>45511</v>
      </c>
      <c r="D503" s="30" t="s">
        <v>50</v>
      </c>
      <c r="E503" s="30" t="s">
        <v>113</v>
      </c>
      <c r="F503" s="30" t="s">
        <v>95</v>
      </c>
      <c r="G503" s="31" t="n">
        <v>829</v>
      </c>
      <c r="H503" s="19" t="n">
        <v>1</v>
      </c>
      <c r="I503" s="32" t="n">
        <v>0.1</v>
      </c>
      <c r="J503" s="30" t="s">
        <v>48</v>
      </c>
      <c r="K503" s="30" t="s">
        <v>47</v>
      </c>
      <c r="L503" s="30" t="s">
        <v>78</v>
      </c>
      <c r="M503" s="31" t="n">
        <f aca="false">AVERAGEIF($E$2:$E$1197,E503,$G$2:$G$1197)</f>
        <v>545.358823529412</v>
      </c>
      <c r="N503" s="19" t="str">
        <f aca="false">IF(G503&gt;M503*3,"نعم","لا")</f>
        <v>لا</v>
      </c>
      <c r="O503" s="19" t="str">
        <f aca="false">IF(OR(C503="",ISNUMBER(C503)),"لا","نعم")</f>
        <v>لا</v>
      </c>
      <c r="P503" s="19" t="str">
        <f aca="false">IF(COUNTIF($B$2:B503,B503)&gt;1,"مكرر","فريد")</f>
        <v>فريد</v>
      </c>
      <c r="Q503" s="19" t="str">
        <f aca="false">IF(COUNTBLANK(D503:L503)&gt;0,"نعم","لا")</f>
        <v>لا</v>
      </c>
    </row>
    <row r="504" customFormat="false" ht="15" hidden="false" customHeight="false" outlineLevel="0" collapsed="false">
      <c r="A504" s="19" t="n">
        <v>503</v>
      </c>
      <c r="B504" s="30" t="s">
        <v>514</v>
      </c>
      <c r="C504" s="44" t="n">
        <v>45420</v>
      </c>
      <c r="D504" s="30" t="s">
        <v>57</v>
      </c>
      <c r="E504" s="30" t="s">
        <v>109</v>
      </c>
      <c r="F504" s="30" t="s">
        <v>110</v>
      </c>
      <c r="G504" s="31" t="n">
        <v>259</v>
      </c>
      <c r="H504" s="19" t="n">
        <v>1</v>
      </c>
      <c r="I504" s="32" t="n">
        <v>0</v>
      </c>
      <c r="J504" s="30" t="s">
        <v>48</v>
      </c>
      <c r="K504" s="30" t="s">
        <v>47</v>
      </c>
      <c r="L504" s="30" t="s">
        <v>92</v>
      </c>
      <c r="M504" s="31" t="n">
        <f aca="false">AVERAGEIF($E$2:$E$1197,E504,$G$2:$G$1197)</f>
        <v>186.056291390729</v>
      </c>
      <c r="N504" s="19" t="str">
        <f aca="false">IF(G504&gt;M504*3,"نعم","لا")</f>
        <v>لا</v>
      </c>
      <c r="O504" s="19" t="str">
        <f aca="false">IF(OR(C504="",ISNUMBER(C504)),"لا","نعم")</f>
        <v>لا</v>
      </c>
      <c r="P504" s="19" t="str">
        <f aca="false">IF(COUNTIF($B$2:B504,B504)&gt;1,"مكرر","فريد")</f>
        <v>فريد</v>
      </c>
      <c r="Q504" s="19" t="str">
        <f aca="false">IF(COUNTBLANK(D504:L504)&gt;0,"نعم","لا")</f>
        <v>لا</v>
      </c>
    </row>
    <row r="505" customFormat="false" ht="15" hidden="false" customHeight="false" outlineLevel="0" collapsed="false">
      <c r="A505" s="19" t="n">
        <v>504</v>
      </c>
      <c r="B505" s="30" t="s">
        <v>368</v>
      </c>
      <c r="C505" s="44" t="n">
        <v>45365</v>
      </c>
      <c r="D505" s="30" t="s">
        <v>46</v>
      </c>
      <c r="E505" s="30" t="s">
        <v>111</v>
      </c>
      <c r="F505" s="30" t="s">
        <v>108</v>
      </c>
      <c r="G505" s="31" t="n">
        <v>569</v>
      </c>
      <c r="H505" s="19" t="n">
        <v>1</v>
      </c>
      <c r="I505" s="32" t="n">
        <v>0</v>
      </c>
      <c r="J505" s="30" t="s">
        <v>48</v>
      </c>
      <c r="K505" s="30" t="s">
        <v>47</v>
      </c>
      <c r="L505" s="30" t="s">
        <v>94</v>
      </c>
      <c r="M505" s="31" t="n">
        <f aca="false">AVERAGEIF($E$2:$E$1197,E505,$G$2:$G$1197)</f>
        <v>366.306569343066</v>
      </c>
      <c r="N505" s="19" t="str">
        <f aca="false">IF(G505&gt;M505*3,"نعم","لا")</f>
        <v>لا</v>
      </c>
      <c r="O505" s="19" t="str">
        <f aca="false">IF(OR(C505="",ISNUMBER(C505)),"لا","نعم")</f>
        <v>لا</v>
      </c>
      <c r="P505" s="19" t="str">
        <f aca="false">IF(COUNTIF($B$2:B505,B505)&gt;1,"مكرر","فريد")</f>
        <v>فريد</v>
      </c>
      <c r="Q505" s="19" t="str">
        <f aca="false">IF(COUNTBLANK(D505:L505)&gt;0,"نعم","لا")</f>
        <v>لا</v>
      </c>
    </row>
    <row r="506" customFormat="false" ht="15" hidden="false" customHeight="false" outlineLevel="0" collapsed="false">
      <c r="A506" s="19" t="n">
        <v>505</v>
      </c>
      <c r="B506" s="30" t="s">
        <v>625</v>
      </c>
      <c r="C506" s="44" t="n">
        <v>45459</v>
      </c>
      <c r="D506" s="30" t="s">
        <v>1361</v>
      </c>
      <c r="E506" s="30" t="s">
        <v>109</v>
      </c>
      <c r="F506" s="30" t="s">
        <v>192</v>
      </c>
      <c r="G506" s="31" t="n">
        <v>329</v>
      </c>
      <c r="H506" s="19" t="n">
        <v>10</v>
      </c>
      <c r="I506" s="32" t="n">
        <v>0</v>
      </c>
      <c r="J506" s="30" t="s">
        <v>48</v>
      </c>
      <c r="K506" s="30" t="s">
        <v>51</v>
      </c>
      <c r="L506" s="30" t="s">
        <v>96</v>
      </c>
      <c r="M506" s="31" t="n">
        <f aca="false">AVERAGEIF($E$2:$E$1197,E506,$G$2:$G$1197)</f>
        <v>186.056291390729</v>
      </c>
      <c r="N506" s="19" t="str">
        <f aca="false">IF(G506&gt;M506*3,"نعم","لا")</f>
        <v>لا</v>
      </c>
      <c r="O506" s="19" t="str">
        <f aca="false">IF(OR(C506="",ISNUMBER(C506)),"لا","نعم")</f>
        <v>لا</v>
      </c>
      <c r="P506" s="19" t="str">
        <f aca="false">IF(COUNTIF($B$2:B506,B506)&gt;1,"مكرر","فريد")</f>
        <v>فريد</v>
      </c>
      <c r="Q506" s="19" t="str">
        <f aca="false">IF(COUNTBLANK(D506:L506)&gt;0,"نعم","لا")</f>
        <v>لا</v>
      </c>
    </row>
    <row r="507" customFormat="false" ht="15" hidden="false" customHeight="false" outlineLevel="0" collapsed="false">
      <c r="A507" s="19" t="n">
        <v>506</v>
      </c>
      <c r="B507" s="30" t="s">
        <v>742</v>
      </c>
      <c r="C507" s="44" t="n">
        <v>45498</v>
      </c>
      <c r="D507" s="30" t="s">
        <v>46</v>
      </c>
      <c r="E507" s="30" t="s">
        <v>107</v>
      </c>
      <c r="F507" s="30" t="s">
        <v>115</v>
      </c>
      <c r="G507" s="31" t="n">
        <v>7439</v>
      </c>
      <c r="H507" s="19" t="n">
        <v>3</v>
      </c>
      <c r="I507" s="32" t="n">
        <v>0</v>
      </c>
      <c r="J507" s="30" t="s">
        <v>48</v>
      </c>
      <c r="K507" s="30" t="s">
        <v>47</v>
      </c>
      <c r="L507" s="30" t="s">
        <v>78</v>
      </c>
      <c r="M507" s="31" t="n">
        <f aca="false">AVERAGEIF($E$2:$E$1197,E507,$G$2:$G$1197)</f>
        <v>4981.14563106796</v>
      </c>
      <c r="N507" s="19" t="str">
        <f aca="false">IF(G507&gt;M507*3,"نعم","لا")</f>
        <v>لا</v>
      </c>
      <c r="O507" s="19" t="str">
        <f aca="false">IF(OR(C507="",ISNUMBER(C507)),"لا","نعم")</f>
        <v>لا</v>
      </c>
      <c r="P507" s="19" t="str">
        <f aca="false">IF(COUNTIF($B$2:B507,B507)&gt;1,"مكرر","فريد")</f>
        <v>فريد</v>
      </c>
      <c r="Q507" s="19" t="str">
        <f aca="false">IF(COUNTBLANK(D507:L507)&gt;0,"نعم","لا")</f>
        <v>لا</v>
      </c>
    </row>
    <row r="508" customFormat="false" ht="15" hidden="false" customHeight="false" outlineLevel="0" collapsed="false">
      <c r="A508" s="19" t="n">
        <v>507</v>
      </c>
      <c r="B508" s="30" t="s">
        <v>172</v>
      </c>
      <c r="C508" s="44" t="n">
        <v>45294</v>
      </c>
      <c r="D508" s="30" t="s">
        <v>57</v>
      </c>
      <c r="E508" s="30" t="s">
        <v>113</v>
      </c>
      <c r="F508" s="30" t="s">
        <v>95</v>
      </c>
      <c r="G508" s="31" t="n">
        <v>179</v>
      </c>
      <c r="H508" s="19" t="n">
        <v>1</v>
      </c>
      <c r="I508" s="32" t="n">
        <v>0.15</v>
      </c>
      <c r="J508" s="30" t="s">
        <v>52</v>
      </c>
      <c r="K508" s="30" t="s">
        <v>47</v>
      </c>
      <c r="L508" s="30" t="s">
        <v>78</v>
      </c>
      <c r="M508" s="31" t="n">
        <f aca="false">AVERAGEIF($E$2:$E$1197,E508,$G$2:$G$1197)</f>
        <v>545.358823529412</v>
      </c>
      <c r="N508" s="19" t="str">
        <f aca="false">IF(G508&gt;M508*3,"نعم","لا")</f>
        <v>لا</v>
      </c>
      <c r="O508" s="19" t="str">
        <f aca="false">IF(OR(C508="",ISNUMBER(C508)),"لا","نعم")</f>
        <v>لا</v>
      </c>
      <c r="P508" s="19" t="str">
        <f aca="false">IF(COUNTIF($B$2:B508,B508)&gt;1,"مكرر","فريد")</f>
        <v>فريد</v>
      </c>
      <c r="Q508" s="19" t="str">
        <f aca="false">IF(COUNTBLANK(D508:L508)&gt;0,"نعم","لا")</f>
        <v>لا</v>
      </c>
    </row>
    <row r="509" customFormat="false" ht="15" hidden="false" customHeight="false" outlineLevel="0" collapsed="false">
      <c r="A509" s="19" t="n">
        <v>508</v>
      </c>
      <c r="B509" s="30" t="s">
        <v>475</v>
      </c>
      <c r="C509" s="44" t="n">
        <v>45401</v>
      </c>
      <c r="D509" s="30" t="s">
        <v>46</v>
      </c>
      <c r="E509" s="30" t="s">
        <v>105</v>
      </c>
      <c r="F509" s="30" t="s">
        <v>85</v>
      </c>
      <c r="G509" s="31" t="n">
        <v>1809</v>
      </c>
      <c r="H509" s="19" t="n">
        <v>1</v>
      </c>
      <c r="I509" s="32" t="n">
        <v>0.15</v>
      </c>
      <c r="J509" s="30" t="s">
        <v>48</v>
      </c>
      <c r="K509" s="30" t="s">
        <v>47</v>
      </c>
      <c r="L509" s="30" t="s">
        <v>89</v>
      </c>
      <c r="M509" s="31" t="n">
        <f aca="false">AVERAGEIF($E$2:$E$1197,E509,$G$2:$G$1197)</f>
        <v>2870.26771653543</v>
      </c>
      <c r="N509" s="19" t="str">
        <f aca="false">IF(G509&gt;M509*3,"نعم","لا")</f>
        <v>لا</v>
      </c>
      <c r="O509" s="19" t="str">
        <f aca="false">IF(OR(C509="",ISNUMBER(C509)),"لا","نعم")</f>
        <v>لا</v>
      </c>
      <c r="P509" s="19" t="str">
        <f aca="false">IF(COUNTIF($B$2:B509,B509)&gt;1,"مكرر","فريد")</f>
        <v>فريد</v>
      </c>
      <c r="Q509" s="19" t="str">
        <f aca="false">IF(COUNTBLANK(D509:L509)&gt;0,"نعم","لا")</f>
        <v>لا</v>
      </c>
    </row>
    <row r="510" customFormat="false" ht="15" hidden="false" customHeight="false" outlineLevel="0" collapsed="false">
      <c r="A510" s="19" t="n">
        <v>509</v>
      </c>
      <c r="B510" s="30" t="s">
        <v>1415</v>
      </c>
      <c r="C510" s="44" t="n">
        <v>45536</v>
      </c>
      <c r="D510" s="30" t="s">
        <v>46</v>
      </c>
      <c r="E510" s="30" t="s">
        <v>105</v>
      </c>
      <c r="F510" s="30" t="s">
        <v>90</v>
      </c>
      <c r="G510" s="31" t="n">
        <v>949</v>
      </c>
      <c r="H510" s="19" t="n">
        <v>0</v>
      </c>
      <c r="I510" s="32" t="n">
        <v>0.15</v>
      </c>
      <c r="J510" s="30" t="s">
        <v>52</v>
      </c>
      <c r="K510" s="30" t="s">
        <v>47</v>
      </c>
      <c r="L510" s="30" t="s">
        <v>99</v>
      </c>
      <c r="M510" s="31" t="n">
        <f aca="false">AVERAGEIF($E$2:$E$1197,E510,$G$2:$G$1197)</f>
        <v>2870.26771653543</v>
      </c>
      <c r="N510" s="19" t="str">
        <f aca="false">IF(G510&gt;M510*3,"نعم","لا")</f>
        <v>لا</v>
      </c>
      <c r="O510" s="19" t="str">
        <f aca="false">IF(OR(C510="",ISNUMBER(C510)),"لا","نعم")</f>
        <v>لا</v>
      </c>
      <c r="P510" s="19" t="str">
        <f aca="false">IF(COUNTIF($B$2:B510,B510)&gt;1,"مكرر","فريد")</f>
        <v>فريد</v>
      </c>
      <c r="Q510" s="19" t="str">
        <f aca="false">IF(COUNTBLANK(D510:L510)&gt;0,"نعم","لا")</f>
        <v>لا</v>
      </c>
    </row>
    <row r="511" customFormat="false" ht="15" hidden="false" customHeight="false" outlineLevel="0" collapsed="false">
      <c r="A511" s="19" t="n">
        <v>510</v>
      </c>
      <c r="B511" s="30" t="s">
        <v>569</v>
      </c>
      <c r="C511" s="44" t="n">
        <v>45437</v>
      </c>
      <c r="D511" s="30" t="s">
        <v>46</v>
      </c>
      <c r="E511" s="30" t="s">
        <v>109</v>
      </c>
      <c r="F511" s="30" t="s">
        <v>192</v>
      </c>
      <c r="G511" s="31" t="n">
        <v>199</v>
      </c>
      <c r="H511" s="19" t="n">
        <v>1</v>
      </c>
      <c r="I511" s="32" t="n">
        <v>0.1</v>
      </c>
      <c r="J511" s="30" t="s">
        <v>52</v>
      </c>
      <c r="K511" s="30" t="s">
        <v>47</v>
      </c>
      <c r="L511" s="30" t="s">
        <v>86</v>
      </c>
      <c r="M511" s="31" t="n">
        <f aca="false">AVERAGEIF($E$2:$E$1197,E511,$G$2:$G$1197)</f>
        <v>186.056291390729</v>
      </c>
      <c r="N511" s="19" t="str">
        <f aca="false">IF(G511&gt;M511*3,"نعم","لا")</f>
        <v>لا</v>
      </c>
      <c r="O511" s="19" t="str">
        <f aca="false">IF(OR(C511="",ISNUMBER(C511)),"لا","نعم")</f>
        <v>لا</v>
      </c>
      <c r="P511" s="19" t="str">
        <f aca="false">IF(COUNTIF($B$2:B511,B511)&gt;1,"مكرر","فريد")</f>
        <v>فريد</v>
      </c>
      <c r="Q511" s="19" t="str">
        <f aca="false">IF(COUNTBLANK(D511:L511)&gt;0,"نعم","لا")</f>
        <v>لا</v>
      </c>
    </row>
    <row r="512" customFormat="false" ht="15" hidden="false" customHeight="false" outlineLevel="0" collapsed="false">
      <c r="A512" s="19" t="n">
        <v>511</v>
      </c>
      <c r="B512" s="30" t="s">
        <v>1186</v>
      </c>
      <c r="C512" s="30" t="s">
        <v>1416</v>
      </c>
      <c r="D512" s="30" t="s">
        <v>50</v>
      </c>
      <c r="E512" s="30" t="s">
        <v>111</v>
      </c>
      <c r="F512" s="30" t="s">
        <v>120</v>
      </c>
      <c r="G512" s="31" t="n">
        <v>419</v>
      </c>
      <c r="H512" s="19" t="n">
        <v>6</v>
      </c>
      <c r="I512" s="32" t="n">
        <v>0.05</v>
      </c>
      <c r="J512" s="30" t="s">
        <v>52</v>
      </c>
      <c r="K512" s="30" t="s">
        <v>51</v>
      </c>
      <c r="L512" s="30" t="s">
        <v>76</v>
      </c>
      <c r="M512" s="31" t="n">
        <f aca="false">AVERAGEIF($E$2:$E$1197,E512,$G$2:$G$1197)</f>
        <v>366.306569343066</v>
      </c>
      <c r="N512" s="19" t="str">
        <f aca="false">IF(G512&gt;M512*3,"نعم","لا")</f>
        <v>لا</v>
      </c>
      <c r="O512" s="19" t="str">
        <f aca="false">IF(OR(C512="",ISNUMBER(C512)),"لا","نعم")</f>
        <v>نعم</v>
      </c>
      <c r="P512" s="19" t="str">
        <f aca="false">IF(COUNTIF($B$2:B512,B512)&gt;1,"مكرر","فريد")</f>
        <v>فريد</v>
      </c>
      <c r="Q512" s="19" t="str">
        <f aca="false">IF(COUNTBLANK(D512:L512)&gt;0,"نعم","لا")</f>
        <v>لا</v>
      </c>
    </row>
    <row r="513" customFormat="false" ht="15" hidden="false" customHeight="false" outlineLevel="0" collapsed="false">
      <c r="A513" s="19" t="n">
        <v>512</v>
      </c>
      <c r="B513" s="30" t="s">
        <v>928</v>
      </c>
      <c r="C513" s="44" t="n">
        <v>45557</v>
      </c>
      <c r="D513" s="30" t="s">
        <v>57</v>
      </c>
      <c r="E513" s="30" t="s">
        <v>109</v>
      </c>
      <c r="F513" s="30" t="s">
        <v>175</v>
      </c>
      <c r="G513" s="31" t="n">
        <v>319</v>
      </c>
      <c r="H513" s="19" t="n">
        <v>1</v>
      </c>
      <c r="I513" s="32" t="n">
        <v>0</v>
      </c>
      <c r="J513" s="30" t="s">
        <v>48</v>
      </c>
      <c r="K513" s="30" t="s">
        <v>51</v>
      </c>
      <c r="L513" s="30" t="s">
        <v>94</v>
      </c>
      <c r="M513" s="31" t="n">
        <f aca="false">AVERAGEIF($E$2:$E$1197,E513,$G$2:$G$1197)</f>
        <v>186.056291390729</v>
      </c>
      <c r="N513" s="19" t="str">
        <f aca="false">IF(G513&gt;M513*3,"نعم","لا")</f>
        <v>لا</v>
      </c>
      <c r="O513" s="19" t="str">
        <f aca="false">IF(OR(C513="",ISNUMBER(C513)),"لا","نعم")</f>
        <v>لا</v>
      </c>
      <c r="P513" s="19" t="str">
        <f aca="false">IF(COUNTIF($B$2:B513,B513)&gt;1,"مكرر","فريد")</f>
        <v>فريد</v>
      </c>
      <c r="Q513" s="19" t="str">
        <f aca="false">IF(COUNTBLANK(D513:L513)&gt;0,"نعم","لا")</f>
        <v>لا</v>
      </c>
    </row>
    <row r="514" customFormat="false" ht="15" hidden="false" customHeight="false" outlineLevel="0" collapsed="false">
      <c r="A514" s="19" t="n">
        <v>513</v>
      </c>
      <c r="B514" s="30" t="s">
        <v>797</v>
      </c>
      <c r="C514" s="44" t="n">
        <v>45515</v>
      </c>
      <c r="D514" s="30" t="s">
        <v>60</v>
      </c>
      <c r="E514" s="30" t="s">
        <v>113</v>
      </c>
      <c r="F514" s="30" t="s">
        <v>100</v>
      </c>
      <c r="G514" s="31" t="n">
        <v>679</v>
      </c>
      <c r="H514" s="19" t="n">
        <v>1</v>
      </c>
      <c r="I514" s="32" t="n">
        <v>0</v>
      </c>
      <c r="J514" s="30" t="s">
        <v>52</v>
      </c>
      <c r="K514" s="30" t="s">
        <v>47</v>
      </c>
      <c r="L514" s="30" t="s">
        <v>86</v>
      </c>
      <c r="M514" s="31" t="n">
        <f aca="false">AVERAGEIF($E$2:$E$1197,E514,$G$2:$G$1197)</f>
        <v>545.358823529412</v>
      </c>
      <c r="N514" s="19" t="str">
        <f aca="false">IF(G514&gt;M514*3,"نعم","لا")</f>
        <v>لا</v>
      </c>
      <c r="O514" s="19" t="str">
        <f aca="false">IF(OR(C514="",ISNUMBER(C514)),"لا","نعم")</f>
        <v>لا</v>
      </c>
      <c r="P514" s="19" t="str">
        <f aca="false">IF(COUNTIF($B$2:B514,B514)&gt;1,"مكرر","فريد")</f>
        <v>فريد</v>
      </c>
      <c r="Q514" s="19" t="str">
        <f aca="false">IF(COUNTBLANK(D514:L514)&gt;0,"نعم","لا")</f>
        <v>لا</v>
      </c>
    </row>
    <row r="515" customFormat="false" ht="15" hidden="false" customHeight="false" outlineLevel="0" collapsed="false">
      <c r="A515" s="19" t="n">
        <v>514</v>
      </c>
      <c r="B515" s="30" t="s">
        <v>274</v>
      </c>
      <c r="C515" s="44" t="n">
        <v>45330</v>
      </c>
      <c r="D515" s="30" t="s">
        <v>50</v>
      </c>
      <c r="E515" s="30" t="s">
        <v>113</v>
      </c>
      <c r="F515" s="30" t="s">
        <v>121</v>
      </c>
      <c r="G515" s="31" t="n">
        <v>589</v>
      </c>
      <c r="H515" s="19" t="n">
        <v>1</v>
      </c>
      <c r="I515" s="32" t="n">
        <v>0.2</v>
      </c>
      <c r="J515" s="30" t="s">
        <v>55</v>
      </c>
      <c r="K515" s="30" t="s">
        <v>47</v>
      </c>
      <c r="L515" s="30" t="s">
        <v>94</v>
      </c>
      <c r="M515" s="31" t="n">
        <f aca="false">AVERAGEIF($E$2:$E$1197,E515,$G$2:$G$1197)</f>
        <v>545.358823529412</v>
      </c>
      <c r="N515" s="19" t="str">
        <f aca="false">IF(G515&gt;M515*3,"نعم","لا")</f>
        <v>لا</v>
      </c>
      <c r="O515" s="19" t="str">
        <f aca="false">IF(OR(C515="",ISNUMBER(C515)),"لا","نعم")</f>
        <v>لا</v>
      </c>
      <c r="P515" s="19" t="str">
        <f aca="false">IF(COUNTIF($B$2:B515,B515)&gt;1,"مكرر","فريد")</f>
        <v>فريد</v>
      </c>
      <c r="Q515" s="19" t="str">
        <f aca="false">IF(COUNTBLANK(D515:L515)&gt;0,"نعم","لا")</f>
        <v>لا</v>
      </c>
    </row>
    <row r="516" customFormat="false" ht="15" hidden="false" customHeight="false" outlineLevel="0" collapsed="false">
      <c r="A516" s="19" t="n">
        <v>515</v>
      </c>
      <c r="B516" s="30" t="s">
        <v>1417</v>
      </c>
      <c r="C516" s="44" t="n">
        <v>45484</v>
      </c>
      <c r="D516" s="30"/>
      <c r="E516" s="30" t="s">
        <v>109</v>
      </c>
      <c r="F516" s="30" t="s">
        <v>171</v>
      </c>
      <c r="G516" s="31" t="n">
        <v>139</v>
      </c>
      <c r="H516" s="19" t="n">
        <v>2</v>
      </c>
      <c r="I516" s="32" t="n">
        <v>0.05</v>
      </c>
      <c r="J516" s="30" t="s">
        <v>58</v>
      </c>
      <c r="K516" s="30" t="s">
        <v>47</v>
      </c>
      <c r="L516" s="30" t="s">
        <v>92</v>
      </c>
      <c r="M516" s="31" t="n">
        <f aca="false">AVERAGEIF($E$2:$E$1197,E516,$G$2:$G$1197)</f>
        <v>186.056291390729</v>
      </c>
      <c r="N516" s="19" t="str">
        <f aca="false">IF(G516&gt;M516*3,"نعم","لا")</f>
        <v>لا</v>
      </c>
      <c r="O516" s="19" t="str">
        <f aca="false">IF(OR(C516="",ISNUMBER(C516)),"لا","نعم")</f>
        <v>لا</v>
      </c>
      <c r="P516" s="19" t="str">
        <f aca="false">IF(COUNTIF($B$2:B516,B516)&gt;1,"مكرر","فريد")</f>
        <v>فريد</v>
      </c>
      <c r="Q516" s="19" t="str">
        <f aca="false">IF(COUNTBLANK(D516:L516)&gt;0,"نعم","لا")</f>
        <v>نعم</v>
      </c>
    </row>
    <row r="517" customFormat="false" ht="15" hidden="false" customHeight="false" outlineLevel="0" collapsed="false">
      <c r="A517" s="19" t="n">
        <v>516</v>
      </c>
      <c r="B517" s="30" t="s">
        <v>1393</v>
      </c>
      <c r="C517" s="44" t="n">
        <v>45378</v>
      </c>
      <c r="D517" s="30" t="s">
        <v>46</v>
      </c>
      <c r="E517" s="30" t="s">
        <v>109</v>
      </c>
      <c r="F517" s="30" t="s">
        <v>110</v>
      </c>
      <c r="G517" s="31" t="n">
        <v>239</v>
      </c>
      <c r="H517" s="19" t="n">
        <v>5</v>
      </c>
      <c r="I517" s="32" t="n">
        <v>0</v>
      </c>
      <c r="J517" s="30" t="s">
        <v>55</v>
      </c>
      <c r="K517" s="30" t="s">
        <v>51</v>
      </c>
      <c r="L517" s="30" t="s">
        <v>76</v>
      </c>
      <c r="M517" s="31" t="n">
        <f aca="false">AVERAGEIF($E$2:$E$1197,E517,$G$2:$G$1197)</f>
        <v>186.056291390729</v>
      </c>
      <c r="N517" s="19" t="str">
        <f aca="false">IF(G517&gt;M517*3,"نعم","لا")</f>
        <v>لا</v>
      </c>
      <c r="O517" s="19" t="str">
        <f aca="false">IF(OR(C517="",ISNUMBER(C517)),"لا","نعم")</f>
        <v>لا</v>
      </c>
      <c r="P517" s="19" t="str">
        <f aca="false">IF(COUNTIF($B$2:B517,B517)&gt;1,"مكرر","فريد")</f>
        <v>مكرر</v>
      </c>
      <c r="Q517" s="19" t="str">
        <f aca="false">IF(COUNTBLANK(D517:L517)&gt;0,"نعم","لا")</f>
        <v>لا</v>
      </c>
    </row>
    <row r="518" customFormat="false" ht="15" hidden="false" customHeight="false" outlineLevel="0" collapsed="false">
      <c r="A518" s="19" t="n">
        <v>517</v>
      </c>
      <c r="B518" s="30" t="s">
        <v>233</v>
      </c>
      <c r="C518" s="30" t="s">
        <v>1418</v>
      </c>
      <c r="D518" s="30" t="s">
        <v>46</v>
      </c>
      <c r="E518" s="30" t="s">
        <v>105</v>
      </c>
      <c r="F518" s="30" t="s">
        <v>179</v>
      </c>
      <c r="G518" s="31" t="n">
        <v>4499</v>
      </c>
      <c r="H518" s="19" t="n">
        <v>6</v>
      </c>
      <c r="I518" s="32" t="n">
        <v>0.05</v>
      </c>
      <c r="J518" s="30" t="s">
        <v>48</v>
      </c>
      <c r="K518" s="30" t="s">
        <v>51</v>
      </c>
      <c r="L518" s="30" t="s">
        <v>84</v>
      </c>
      <c r="M518" s="31" t="n">
        <f aca="false">AVERAGEIF($E$2:$E$1197,E518,$G$2:$G$1197)</f>
        <v>2870.26771653543</v>
      </c>
      <c r="N518" s="19" t="str">
        <f aca="false">IF(G518&gt;M518*3,"نعم","لا")</f>
        <v>لا</v>
      </c>
      <c r="O518" s="19" t="str">
        <f aca="false">IF(OR(C518="",ISNUMBER(C518)),"لا","نعم")</f>
        <v>نعم</v>
      </c>
      <c r="P518" s="19" t="str">
        <f aca="false">IF(COUNTIF($B$2:B518,B518)&gt;1,"مكرر","فريد")</f>
        <v>فريد</v>
      </c>
      <c r="Q518" s="19" t="str">
        <f aca="false">IF(COUNTBLANK(D518:L518)&gt;0,"نعم","لا")</f>
        <v>لا</v>
      </c>
    </row>
    <row r="519" customFormat="false" ht="15" hidden="false" customHeight="false" outlineLevel="0" collapsed="false">
      <c r="A519" s="19" t="n">
        <v>518</v>
      </c>
      <c r="B519" s="30" t="s">
        <v>442</v>
      </c>
      <c r="C519" s="44" t="n">
        <v>45388</v>
      </c>
      <c r="D519" s="30" t="s">
        <v>46</v>
      </c>
      <c r="E519" s="30" t="s">
        <v>113</v>
      </c>
      <c r="F519" s="30" t="s">
        <v>121</v>
      </c>
      <c r="G519" s="31" t="n">
        <v>579</v>
      </c>
      <c r="H519" s="19" t="n">
        <v>2</v>
      </c>
      <c r="I519" s="32" t="n">
        <v>0.1</v>
      </c>
      <c r="J519" s="30" t="s">
        <v>48</v>
      </c>
      <c r="K519" s="30" t="s">
        <v>51</v>
      </c>
      <c r="L519" s="30" t="s">
        <v>94</v>
      </c>
      <c r="M519" s="31" t="n">
        <f aca="false">AVERAGEIF($E$2:$E$1197,E519,$G$2:$G$1197)</f>
        <v>545.358823529412</v>
      </c>
      <c r="N519" s="19" t="str">
        <f aca="false">IF(G519&gt;M519*3,"نعم","لا")</f>
        <v>لا</v>
      </c>
      <c r="O519" s="19" t="str">
        <f aca="false">IF(OR(C519="",ISNUMBER(C519)),"لا","نعم")</f>
        <v>لا</v>
      </c>
      <c r="P519" s="19" t="str">
        <f aca="false">IF(COUNTIF($B$2:B519,B519)&gt;1,"مكرر","فريد")</f>
        <v>فريد</v>
      </c>
      <c r="Q519" s="19" t="str">
        <f aca="false">IF(COUNTBLANK(D519:L519)&gt;0,"نعم","لا")</f>
        <v>لا</v>
      </c>
    </row>
    <row r="520" customFormat="false" ht="15" hidden="false" customHeight="false" outlineLevel="0" collapsed="false">
      <c r="A520" s="19" t="n">
        <v>519</v>
      </c>
      <c r="B520" s="30" t="s">
        <v>810</v>
      </c>
      <c r="C520" s="44" t="n">
        <v>45519</v>
      </c>
      <c r="D520" s="30" t="s">
        <v>50</v>
      </c>
      <c r="E520" s="30" t="s">
        <v>107</v>
      </c>
      <c r="F520" s="30" t="s">
        <v>184</v>
      </c>
      <c r="G520" s="31" t="n">
        <v>2519</v>
      </c>
      <c r="H520" s="19" t="n">
        <v>1</v>
      </c>
      <c r="I520" s="32" t="n">
        <v>0.1</v>
      </c>
      <c r="J520" s="30" t="s">
        <v>48</v>
      </c>
      <c r="K520" s="30" t="s">
        <v>47</v>
      </c>
      <c r="L520" s="30" t="s">
        <v>86</v>
      </c>
      <c r="M520" s="31" t="n">
        <f aca="false">AVERAGEIF($E$2:$E$1197,E520,$G$2:$G$1197)</f>
        <v>4981.14563106796</v>
      </c>
      <c r="N520" s="19" t="str">
        <f aca="false">IF(G520&gt;M520*3,"نعم","لا")</f>
        <v>لا</v>
      </c>
      <c r="O520" s="19" t="str">
        <f aca="false">IF(OR(C520="",ISNUMBER(C520)),"لا","نعم")</f>
        <v>لا</v>
      </c>
      <c r="P520" s="19" t="str">
        <f aca="false">IF(COUNTIF($B$2:B520,B520)&gt;1,"مكرر","فريد")</f>
        <v>فريد</v>
      </c>
      <c r="Q520" s="19" t="str">
        <f aca="false">IF(COUNTBLANK(D520:L520)&gt;0,"نعم","لا")</f>
        <v>لا</v>
      </c>
    </row>
    <row r="521" customFormat="false" ht="15" hidden="false" customHeight="false" outlineLevel="0" collapsed="false">
      <c r="A521" s="19" t="n">
        <v>520</v>
      </c>
      <c r="B521" s="30" t="s">
        <v>407</v>
      </c>
      <c r="C521" s="30" t="s">
        <v>1419</v>
      </c>
      <c r="D521" s="30" t="s">
        <v>46</v>
      </c>
      <c r="E521" s="30" t="s">
        <v>109</v>
      </c>
      <c r="F521" s="30" t="s">
        <v>93</v>
      </c>
      <c r="G521" s="31" t="n">
        <v>229</v>
      </c>
      <c r="H521" s="19" t="n">
        <v>2</v>
      </c>
      <c r="I521" s="32" t="n">
        <v>0.15</v>
      </c>
      <c r="J521" s="30" t="s">
        <v>52</v>
      </c>
      <c r="K521" s="30" t="s">
        <v>47</v>
      </c>
      <c r="L521" s="30" t="s">
        <v>86</v>
      </c>
      <c r="M521" s="31" t="n">
        <f aca="false">AVERAGEIF($E$2:$E$1197,E521,$G$2:$G$1197)</f>
        <v>186.056291390729</v>
      </c>
      <c r="N521" s="19" t="str">
        <f aca="false">IF(G521&gt;M521*3,"نعم","لا")</f>
        <v>لا</v>
      </c>
      <c r="O521" s="19" t="str">
        <f aca="false">IF(OR(C521="",ISNUMBER(C521)),"لا","نعم")</f>
        <v>نعم</v>
      </c>
      <c r="P521" s="19" t="str">
        <f aca="false">IF(COUNTIF($B$2:B521,B521)&gt;1,"مكرر","فريد")</f>
        <v>فريد</v>
      </c>
      <c r="Q521" s="19" t="str">
        <f aca="false">IF(COUNTBLANK(D521:L521)&gt;0,"نعم","لا")</f>
        <v>لا</v>
      </c>
    </row>
    <row r="522" customFormat="false" ht="15" hidden="false" customHeight="false" outlineLevel="0" collapsed="false">
      <c r="A522" s="19" t="n">
        <v>521</v>
      </c>
      <c r="B522" s="30" t="s">
        <v>390</v>
      </c>
      <c r="C522" s="44" t="n">
        <v>45373</v>
      </c>
      <c r="D522" s="30" t="s">
        <v>50</v>
      </c>
      <c r="E522" s="30" t="s">
        <v>109</v>
      </c>
      <c r="F522" s="30" t="s">
        <v>110</v>
      </c>
      <c r="G522" s="31" t="n">
        <v>199</v>
      </c>
      <c r="H522" s="19" t="n">
        <v>1</v>
      </c>
      <c r="I522" s="32" t="n">
        <v>0</v>
      </c>
      <c r="J522" s="30" t="s">
        <v>48</v>
      </c>
      <c r="K522" s="30" t="s">
        <v>47</v>
      </c>
      <c r="L522" s="30" t="s">
        <v>99</v>
      </c>
      <c r="M522" s="31" t="n">
        <f aca="false">AVERAGEIF($E$2:$E$1197,E522,$G$2:$G$1197)</f>
        <v>186.056291390729</v>
      </c>
      <c r="N522" s="19" t="str">
        <f aca="false">IF(G522&gt;M522*3,"نعم","لا")</f>
        <v>لا</v>
      </c>
      <c r="O522" s="19" t="str">
        <f aca="false">IF(OR(C522="",ISNUMBER(C522)),"لا","نعم")</f>
        <v>لا</v>
      </c>
      <c r="P522" s="19" t="str">
        <f aca="false">IF(COUNTIF($B$2:B522,B522)&gt;1,"مكرر","فريد")</f>
        <v>فريد</v>
      </c>
      <c r="Q522" s="19" t="str">
        <f aca="false">IF(COUNTBLANK(D522:L522)&gt;0,"نعم","لا")</f>
        <v>لا</v>
      </c>
    </row>
    <row r="523" customFormat="false" ht="15" hidden="false" customHeight="false" outlineLevel="0" collapsed="false">
      <c r="A523" s="19" t="n">
        <v>522</v>
      </c>
      <c r="B523" s="30" t="s">
        <v>314</v>
      </c>
      <c r="C523" s="44" t="n">
        <v>45348</v>
      </c>
      <c r="D523" s="30" t="s">
        <v>50</v>
      </c>
      <c r="E523" s="30" t="s">
        <v>113</v>
      </c>
      <c r="F523" s="30" t="s">
        <v>121</v>
      </c>
      <c r="G523" s="31" t="n">
        <v>319</v>
      </c>
      <c r="H523" s="19" t="n">
        <v>5</v>
      </c>
      <c r="I523" s="32" t="n">
        <v>0</v>
      </c>
      <c r="J523" s="30" t="s">
        <v>48</v>
      </c>
      <c r="K523" s="30" t="s">
        <v>51</v>
      </c>
      <c r="L523" s="30" t="s">
        <v>86</v>
      </c>
      <c r="M523" s="31" t="n">
        <f aca="false">AVERAGEIF($E$2:$E$1197,E523,$G$2:$G$1197)</f>
        <v>545.358823529412</v>
      </c>
      <c r="N523" s="19" t="str">
        <f aca="false">IF(G523&gt;M523*3,"نعم","لا")</f>
        <v>لا</v>
      </c>
      <c r="O523" s="19" t="str">
        <f aca="false">IF(OR(C523="",ISNUMBER(C523)),"لا","نعم")</f>
        <v>لا</v>
      </c>
      <c r="P523" s="19" t="str">
        <f aca="false">IF(COUNTIF($B$2:B523,B523)&gt;1,"مكرر","فريد")</f>
        <v>فريد</v>
      </c>
      <c r="Q523" s="19" t="str">
        <f aca="false">IF(COUNTBLANK(D523:L523)&gt;0,"نعم","لا")</f>
        <v>لا</v>
      </c>
    </row>
    <row r="524" customFormat="false" ht="15" hidden="false" customHeight="false" outlineLevel="0" collapsed="false">
      <c r="A524" s="19" t="n">
        <v>523</v>
      </c>
      <c r="B524" s="30" t="s">
        <v>1261</v>
      </c>
      <c r="C524" s="44" t="n">
        <v>45648</v>
      </c>
      <c r="D524" s="30" t="s">
        <v>50</v>
      </c>
      <c r="E524" s="30" t="s">
        <v>105</v>
      </c>
      <c r="F524" s="30" t="s">
        <v>179</v>
      </c>
      <c r="G524" s="31" t="n">
        <v>3749</v>
      </c>
      <c r="H524" s="19" t="n">
        <v>1</v>
      </c>
      <c r="I524" s="32" t="n">
        <v>0</v>
      </c>
      <c r="J524" s="30" t="s">
        <v>48</v>
      </c>
      <c r="K524" s="30" t="s">
        <v>47</v>
      </c>
      <c r="L524" s="30" t="s">
        <v>84</v>
      </c>
      <c r="M524" s="31" t="n">
        <f aca="false">AVERAGEIF($E$2:$E$1197,E524,$G$2:$G$1197)</f>
        <v>2870.26771653543</v>
      </c>
      <c r="N524" s="19" t="str">
        <f aca="false">IF(G524&gt;M524*3,"نعم","لا")</f>
        <v>لا</v>
      </c>
      <c r="O524" s="19" t="str">
        <f aca="false">IF(OR(C524="",ISNUMBER(C524)),"لا","نعم")</f>
        <v>لا</v>
      </c>
      <c r="P524" s="19" t="str">
        <f aca="false">IF(COUNTIF($B$2:B524,B524)&gt;1,"مكرر","فريد")</f>
        <v>فريد</v>
      </c>
      <c r="Q524" s="19" t="str">
        <f aca="false">IF(COUNTBLANK(D524:L524)&gt;0,"نعم","لا")</f>
        <v>لا</v>
      </c>
    </row>
    <row r="525" customFormat="false" ht="15" hidden="false" customHeight="false" outlineLevel="0" collapsed="false">
      <c r="A525" s="19" t="n">
        <v>524</v>
      </c>
      <c r="B525" s="30" t="s">
        <v>533</v>
      </c>
      <c r="C525" s="44" t="n">
        <v>45426</v>
      </c>
      <c r="D525" s="30" t="s">
        <v>50</v>
      </c>
      <c r="E525" s="30" t="s">
        <v>105</v>
      </c>
      <c r="F525" s="30" t="s">
        <v>82</v>
      </c>
      <c r="G525" s="31" t="n">
        <v>1409</v>
      </c>
      <c r="H525" s="19" t="n">
        <v>1</v>
      </c>
      <c r="I525" s="32" t="n">
        <v>0</v>
      </c>
      <c r="J525" s="30" t="s">
        <v>48</v>
      </c>
      <c r="K525" s="30" t="s">
        <v>47</v>
      </c>
      <c r="L525" s="30" t="s">
        <v>96</v>
      </c>
      <c r="M525" s="31" t="n">
        <f aca="false">AVERAGEIF($E$2:$E$1197,E525,$G$2:$G$1197)</f>
        <v>2870.26771653543</v>
      </c>
      <c r="N525" s="19" t="str">
        <f aca="false">IF(G525&gt;M525*3,"نعم","لا")</f>
        <v>لا</v>
      </c>
      <c r="O525" s="19" t="str">
        <f aca="false">IF(OR(C525="",ISNUMBER(C525)),"لا","نعم")</f>
        <v>لا</v>
      </c>
      <c r="P525" s="19" t="str">
        <f aca="false">IF(COUNTIF($B$2:B525,B525)&gt;1,"مكرر","فريد")</f>
        <v>فريد</v>
      </c>
      <c r="Q525" s="19" t="str">
        <f aca="false">IF(COUNTBLANK(D525:L525)&gt;0,"نعم","لا")</f>
        <v>لا</v>
      </c>
    </row>
    <row r="526" customFormat="false" ht="15" hidden="false" customHeight="false" outlineLevel="0" collapsed="false">
      <c r="A526" s="19" t="n">
        <v>525</v>
      </c>
      <c r="B526" s="30" t="s">
        <v>289</v>
      </c>
      <c r="C526" s="44" t="n">
        <v>45337</v>
      </c>
      <c r="D526" s="30" t="s">
        <v>57</v>
      </c>
      <c r="E526" s="30" t="s">
        <v>105</v>
      </c>
      <c r="F526" s="30" t="s">
        <v>82</v>
      </c>
      <c r="G526" s="31" t="n">
        <v>2259</v>
      </c>
      <c r="H526" s="19" t="n">
        <v>1</v>
      </c>
      <c r="I526" s="32" t="n">
        <v>0</v>
      </c>
      <c r="J526" s="30" t="s">
        <v>52</v>
      </c>
      <c r="K526" s="30" t="s">
        <v>47</v>
      </c>
      <c r="L526" s="30" t="s">
        <v>92</v>
      </c>
      <c r="M526" s="31" t="n">
        <f aca="false">AVERAGEIF($E$2:$E$1197,E526,$G$2:$G$1197)</f>
        <v>2870.26771653543</v>
      </c>
      <c r="N526" s="19" t="str">
        <f aca="false">IF(G526&gt;M526*3,"نعم","لا")</f>
        <v>لا</v>
      </c>
      <c r="O526" s="19" t="str">
        <f aca="false">IF(OR(C526="",ISNUMBER(C526)),"لا","نعم")</f>
        <v>لا</v>
      </c>
      <c r="P526" s="19" t="str">
        <f aca="false">IF(COUNTIF($B$2:B526,B526)&gt;1,"مكرر","فريد")</f>
        <v>فريد</v>
      </c>
      <c r="Q526" s="19" t="str">
        <f aca="false">IF(COUNTBLANK(D526:L526)&gt;0,"نعم","لا")</f>
        <v>لا</v>
      </c>
    </row>
    <row r="527" customFormat="false" ht="15" hidden="false" customHeight="false" outlineLevel="0" collapsed="false">
      <c r="A527" s="19" t="n">
        <v>526</v>
      </c>
      <c r="B527" s="30" t="s">
        <v>1202</v>
      </c>
      <c r="C527" s="30" t="s">
        <v>1420</v>
      </c>
      <c r="D527" s="30" t="s">
        <v>46</v>
      </c>
      <c r="E527" s="30" t="s">
        <v>113</v>
      </c>
      <c r="F527" s="30" t="s">
        <v>100</v>
      </c>
      <c r="G527" s="31" t="n">
        <v>299</v>
      </c>
      <c r="H527" s="19" t="n">
        <v>5</v>
      </c>
      <c r="I527" s="32" t="n">
        <v>0.1</v>
      </c>
      <c r="J527" s="30" t="s">
        <v>48</v>
      </c>
      <c r="K527" s="30" t="s">
        <v>51</v>
      </c>
      <c r="L527" s="30" t="s">
        <v>81</v>
      </c>
      <c r="M527" s="31" t="n">
        <f aca="false">AVERAGEIF($E$2:$E$1197,E527,$G$2:$G$1197)</f>
        <v>545.358823529412</v>
      </c>
      <c r="N527" s="19" t="str">
        <f aca="false">IF(G527&gt;M527*3,"نعم","لا")</f>
        <v>لا</v>
      </c>
      <c r="O527" s="19" t="str">
        <f aca="false">IF(OR(C527="",ISNUMBER(C527)),"لا","نعم")</f>
        <v>نعم</v>
      </c>
      <c r="P527" s="19" t="str">
        <f aca="false">IF(COUNTIF($B$2:B527,B527)&gt;1,"مكرر","فريد")</f>
        <v>فريد</v>
      </c>
      <c r="Q527" s="19" t="str">
        <f aca="false">IF(COUNTBLANK(D527:L527)&gt;0,"نعم","لا")</f>
        <v>لا</v>
      </c>
    </row>
    <row r="528" customFormat="false" ht="15" hidden="false" customHeight="false" outlineLevel="0" collapsed="false">
      <c r="A528" s="19" t="n">
        <v>527</v>
      </c>
      <c r="B528" s="30" t="s">
        <v>416</v>
      </c>
      <c r="C528" s="44" t="n">
        <v>45380</v>
      </c>
      <c r="D528" s="30" t="s">
        <v>54</v>
      </c>
      <c r="E528" s="30" t="s">
        <v>109</v>
      </c>
      <c r="F528" s="30" t="s">
        <v>93</v>
      </c>
      <c r="G528" s="31" t="n">
        <v>89</v>
      </c>
      <c r="H528" s="19" t="n">
        <v>1</v>
      </c>
      <c r="I528" s="32"/>
      <c r="J528" s="30" t="s">
        <v>52</v>
      </c>
      <c r="K528" s="30" t="s">
        <v>47</v>
      </c>
      <c r="L528" s="30" t="s">
        <v>84</v>
      </c>
      <c r="M528" s="31" t="n">
        <f aca="false">AVERAGEIF($E$2:$E$1197,E528,$G$2:$G$1197)</f>
        <v>186.056291390729</v>
      </c>
      <c r="N528" s="19" t="str">
        <f aca="false">IF(G528&gt;M528*3,"نعم","لا")</f>
        <v>لا</v>
      </c>
      <c r="O528" s="19" t="str">
        <f aca="false">IF(OR(C528="",ISNUMBER(C528)),"لا","نعم")</f>
        <v>لا</v>
      </c>
      <c r="P528" s="19" t="str">
        <f aca="false">IF(COUNTIF($B$2:B528,B528)&gt;1,"مكرر","فريد")</f>
        <v>فريد</v>
      </c>
      <c r="Q528" s="19" t="str">
        <f aca="false">IF(COUNTBLANK(D528:L528)&gt;0,"نعم","لا")</f>
        <v>نعم</v>
      </c>
    </row>
    <row r="529" customFormat="false" ht="15" hidden="false" customHeight="false" outlineLevel="0" collapsed="false">
      <c r="A529" s="19" t="n">
        <v>528</v>
      </c>
      <c r="B529" s="30" t="s">
        <v>1158</v>
      </c>
      <c r="C529" s="44" t="n">
        <v>45620</v>
      </c>
      <c r="D529" s="30" t="s">
        <v>50</v>
      </c>
      <c r="E529" s="30" t="s">
        <v>105</v>
      </c>
      <c r="F529" s="30" t="s">
        <v>82</v>
      </c>
      <c r="G529" s="31" t="n">
        <v>3929</v>
      </c>
      <c r="H529" s="19" t="n">
        <v>6</v>
      </c>
      <c r="I529" s="32" t="n">
        <v>0</v>
      </c>
      <c r="J529" s="30" t="s">
        <v>58</v>
      </c>
      <c r="K529" s="30" t="s">
        <v>51</v>
      </c>
      <c r="L529" s="30" t="s">
        <v>84</v>
      </c>
      <c r="M529" s="31" t="n">
        <f aca="false">AVERAGEIF($E$2:$E$1197,E529,$G$2:$G$1197)</f>
        <v>2870.26771653543</v>
      </c>
      <c r="N529" s="19" t="str">
        <f aca="false">IF(G529&gt;M529*3,"نعم","لا")</f>
        <v>لا</v>
      </c>
      <c r="O529" s="19" t="str">
        <f aca="false">IF(OR(C529="",ISNUMBER(C529)),"لا","نعم")</f>
        <v>لا</v>
      </c>
      <c r="P529" s="19" t="str">
        <f aca="false">IF(COUNTIF($B$2:B529,B529)&gt;1,"مكرر","فريد")</f>
        <v>فريد</v>
      </c>
      <c r="Q529" s="19" t="str">
        <f aca="false">IF(COUNTBLANK(D529:L529)&gt;0,"نعم","لا")</f>
        <v>لا</v>
      </c>
    </row>
    <row r="530" customFormat="false" ht="15" hidden="false" customHeight="false" outlineLevel="0" collapsed="false">
      <c r="A530" s="19" t="n">
        <v>529</v>
      </c>
      <c r="B530" s="30" t="s">
        <v>178</v>
      </c>
      <c r="C530" s="44" t="n">
        <v>45295</v>
      </c>
      <c r="D530" s="30" t="s">
        <v>46</v>
      </c>
      <c r="E530" s="30" t="s">
        <v>105</v>
      </c>
      <c r="F530" s="30" t="s">
        <v>179</v>
      </c>
      <c r="G530" s="31" t="n">
        <v>1199</v>
      </c>
      <c r="H530" s="19" t="n">
        <v>2</v>
      </c>
      <c r="I530" s="32" t="n">
        <v>0.05</v>
      </c>
      <c r="J530" s="30" t="s">
        <v>52</v>
      </c>
      <c r="K530" s="30" t="s">
        <v>47</v>
      </c>
      <c r="L530" s="30" t="s">
        <v>94</v>
      </c>
      <c r="M530" s="31" t="n">
        <f aca="false">AVERAGEIF($E$2:$E$1197,E530,$G$2:$G$1197)</f>
        <v>2870.26771653543</v>
      </c>
      <c r="N530" s="19" t="str">
        <f aca="false">IF(G530&gt;M530*3,"نعم","لا")</f>
        <v>لا</v>
      </c>
      <c r="O530" s="19" t="str">
        <f aca="false">IF(OR(C530="",ISNUMBER(C530)),"لا","نعم")</f>
        <v>لا</v>
      </c>
      <c r="P530" s="19" t="str">
        <f aca="false">IF(COUNTIF($B$2:B530,B530)&gt;1,"مكرر","فريد")</f>
        <v>فريد</v>
      </c>
      <c r="Q530" s="19" t="str">
        <f aca="false">IF(COUNTBLANK(D530:L530)&gt;0,"نعم","لا")</f>
        <v>لا</v>
      </c>
    </row>
    <row r="531" customFormat="false" ht="15" hidden="false" customHeight="false" outlineLevel="0" collapsed="false">
      <c r="A531" s="19" t="n">
        <v>530</v>
      </c>
      <c r="B531" s="30" t="s">
        <v>608</v>
      </c>
      <c r="C531" s="44" t="n">
        <v>45454</v>
      </c>
      <c r="D531" s="30" t="s">
        <v>50</v>
      </c>
      <c r="E531" s="30" t="s">
        <v>105</v>
      </c>
      <c r="F531" s="30" t="s">
        <v>85</v>
      </c>
      <c r="G531" s="31" t="n">
        <v>1469</v>
      </c>
      <c r="H531" s="19" t="n">
        <v>8</v>
      </c>
      <c r="I531" s="32" t="n">
        <v>0</v>
      </c>
      <c r="J531" s="30"/>
      <c r="K531" s="30" t="s">
        <v>51</v>
      </c>
      <c r="L531" s="30" t="s">
        <v>96</v>
      </c>
      <c r="M531" s="31" t="n">
        <f aca="false">AVERAGEIF($E$2:$E$1197,E531,$G$2:$G$1197)</f>
        <v>2870.26771653543</v>
      </c>
      <c r="N531" s="19" t="str">
        <f aca="false">IF(G531&gt;M531*3,"نعم","لا")</f>
        <v>لا</v>
      </c>
      <c r="O531" s="19" t="str">
        <f aca="false">IF(OR(C531="",ISNUMBER(C531)),"لا","نعم")</f>
        <v>لا</v>
      </c>
      <c r="P531" s="19" t="str">
        <f aca="false">IF(COUNTIF($B$2:B531,B531)&gt;1,"مكرر","فريد")</f>
        <v>فريد</v>
      </c>
      <c r="Q531" s="19" t="str">
        <f aca="false">IF(COUNTBLANK(D531:L531)&gt;0,"نعم","لا")</f>
        <v>نعم</v>
      </c>
    </row>
    <row r="532" customFormat="false" ht="15" hidden="false" customHeight="false" outlineLevel="0" collapsed="false">
      <c r="A532" s="19" t="n">
        <v>531</v>
      </c>
      <c r="B532" s="30" t="s">
        <v>1012</v>
      </c>
      <c r="C532" s="44" t="n">
        <v>45587</v>
      </c>
      <c r="D532" s="30" t="s">
        <v>57</v>
      </c>
      <c r="E532" s="30" t="s">
        <v>113</v>
      </c>
      <c r="F532" s="30" t="s">
        <v>100</v>
      </c>
      <c r="G532" s="31" t="n">
        <v>669</v>
      </c>
      <c r="H532" s="19" t="n">
        <v>2</v>
      </c>
      <c r="I532" s="32" t="n">
        <v>0.05</v>
      </c>
      <c r="J532" s="30" t="s">
        <v>48</v>
      </c>
      <c r="K532" s="30" t="s">
        <v>51</v>
      </c>
      <c r="L532" s="30" t="s">
        <v>86</v>
      </c>
      <c r="M532" s="31" t="n">
        <f aca="false">AVERAGEIF($E$2:$E$1197,E532,$G$2:$G$1197)</f>
        <v>545.358823529412</v>
      </c>
      <c r="N532" s="19" t="str">
        <f aca="false">IF(G532&gt;M532*3,"نعم","لا")</f>
        <v>لا</v>
      </c>
      <c r="O532" s="19" t="str">
        <f aca="false">IF(OR(C532="",ISNUMBER(C532)),"لا","نعم")</f>
        <v>لا</v>
      </c>
      <c r="P532" s="19" t="str">
        <f aca="false">IF(COUNTIF($B$2:B532,B532)&gt;1,"مكرر","فريد")</f>
        <v>فريد</v>
      </c>
      <c r="Q532" s="19" t="str">
        <f aca="false">IF(COUNTBLANK(D532:L532)&gt;0,"نعم","لا")</f>
        <v>لا</v>
      </c>
    </row>
    <row r="533" customFormat="false" ht="15" hidden="false" customHeight="false" outlineLevel="0" collapsed="false">
      <c r="A533" s="19" t="n">
        <v>532</v>
      </c>
      <c r="B533" s="30" t="s">
        <v>551</v>
      </c>
      <c r="C533" s="44" t="n">
        <v>45431</v>
      </c>
      <c r="D533" s="30" t="s">
        <v>50</v>
      </c>
      <c r="E533" s="30" t="s">
        <v>113</v>
      </c>
      <c r="F533" s="30" t="s">
        <v>95</v>
      </c>
      <c r="G533" s="31" t="n">
        <v>779</v>
      </c>
      <c r="H533" s="19" t="n">
        <v>2</v>
      </c>
      <c r="I533" s="32" t="n">
        <v>0.05</v>
      </c>
      <c r="J533" s="30" t="s">
        <v>58</v>
      </c>
      <c r="K533" s="30" t="s">
        <v>47</v>
      </c>
      <c r="L533" s="30" t="s">
        <v>78</v>
      </c>
      <c r="M533" s="31" t="n">
        <f aca="false">AVERAGEIF($E$2:$E$1197,E533,$G$2:$G$1197)</f>
        <v>545.358823529412</v>
      </c>
      <c r="N533" s="19" t="str">
        <f aca="false">IF(G533&gt;M533*3,"نعم","لا")</f>
        <v>لا</v>
      </c>
      <c r="O533" s="19" t="str">
        <f aca="false">IF(OR(C533="",ISNUMBER(C533)),"لا","نعم")</f>
        <v>لا</v>
      </c>
      <c r="P533" s="19" t="str">
        <f aca="false">IF(COUNTIF($B$2:B533,B533)&gt;1,"مكرر","فريد")</f>
        <v>فريد</v>
      </c>
      <c r="Q533" s="19" t="str">
        <f aca="false">IF(COUNTBLANK(D533:L533)&gt;0,"نعم","لا")</f>
        <v>لا</v>
      </c>
    </row>
    <row r="534" customFormat="false" ht="15" hidden="false" customHeight="false" outlineLevel="0" collapsed="false">
      <c r="A534" s="19" t="n">
        <v>533</v>
      </c>
      <c r="B534" s="30" t="s">
        <v>775</v>
      </c>
      <c r="C534" s="44" t="n">
        <v>45510</v>
      </c>
      <c r="D534" s="30" t="s">
        <v>46</v>
      </c>
      <c r="E534" s="30" t="s">
        <v>107</v>
      </c>
      <c r="F534" s="30" t="s">
        <v>272</v>
      </c>
      <c r="G534" s="31" t="n">
        <v>4349</v>
      </c>
      <c r="H534" s="19" t="n">
        <v>1</v>
      </c>
      <c r="I534" s="32" t="n">
        <v>0.15</v>
      </c>
      <c r="J534" s="30" t="s">
        <v>52</v>
      </c>
      <c r="K534" s="30" t="s">
        <v>47</v>
      </c>
      <c r="L534" s="30" t="s">
        <v>81</v>
      </c>
      <c r="M534" s="31" t="n">
        <f aca="false">AVERAGEIF($E$2:$E$1197,E534,$G$2:$G$1197)</f>
        <v>4981.14563106796</v>
      </c>
      <c r="N534" s="19" t="str">
        <f aca="false">IF(G534&gt;M534*3,"نعم","لا")</f>
        <v>لا</v>
      </c>
      <c r="O534" s="19" t="str">
        <f aca="false">IF(OR(C534="",ISNUMBER(C534)),"لا","نعم")</f>
        <v>لا</v>
      </c>
      <c r="P534" s="19" t="str">
        <f aca="false">IF(COUNTIF($B$2:B534,B534)&gt;1,"مكرر","فريد")</f>
        <v>فريد</v>
      </c>
      <c r="Q534" s="19" t="str">
        <f aca="false">IF(COUNTBLANK(D534:L534)&gt;0,"نعم","لا")</f>
        <v>لا</v>
      </c>
    </row>
    <row r="535" customFormat="false" ht="15" hidden="false" customHeight="false" outlineLevel="0" collapsed="false">
      <c r="A535" s="19" t="n">
        <v>534</v>
      </c>
      <c r="B535" s="30" t="s">
        <v>620</v>
      </c>
      <c r="C535" s="30" t="s">
        <v>1421</v>
      </c>
      <c r="D535" s="30" t="s">
        <v>46</v>
      </c>
      <c r="E535" s="30" t="s">
        <v>105</v>
      </c>
      <c r="F535" s="30" t="s">
        <v>79</v>
      </c>
      <c r="G535" s="31" t="n">
        <v>3449</v>
      </c>
      <c r="H535" s="19" t="n">
        <v>1</v>
      </c>
      <c r="I535" s="32" t="n">
        <v>0</v>
      </c>
      <c r="J535" s="30" t="s">
        <v>48</v>
      </c>
      <c r="K535" s="30" t="s">
        <v>47</v>
      </c>
      <c r="L535" s="30" t="s">
        <v>89</v>
      </c>
      <c r="M535" s="31" t="n">
        <f aca="false">AVERAGEIF($E$2:$E$1197,E535,$G$2:$G$1197)</f>
        <v>2870.26771653543</v>
      </c>
      <c r="N535" s="19" t="str">
        <f aca="false">IF(G535&gt;M535*3,"نعم","لا")</f>
        <v>لا</v>
      </c>
      <c r="O535" s="19" t="str">
        <f aca="false">IF(OR(C535="",ISNUMBER(C535)),"لا","نعم")</f>
        <v>نعم</v>
      </c>
      <c r="P535" s="19" t="str">
        <f aca="false">IF(COUNTIF($B$2:B535,B535)&gt;1,"مكرر","فريد")</f>
        <v>فريد</v>
      </c>
      <c r="Q535" s="19" t="str">
        <f aca="false">IF(COUNTBLANK(D535:L535)&gt;0,"نعم","لا")</f>
        <v>لا</v>
      </c>
    </row>
    <row r="536" customFormat="false" ht="15" hidden="false" customHeight="false" outlineLevel="0" collapsed="false">
      <c r="A536" s="19" t="n">
        <v>535</v>
      </c>
      <c r="B536" s="30" t="s">
        <v>1251</v>
      </c>
      <c r="C536" s="44" t="n">
        <v>45644</v>
      </c>
      <c r="D536" s="30" t="s">
        <v>57</v>
      </c>
      <c r="E536" s="30" t="s">
        <v>107</v>
      </c>
      <c r="F536" s="30" t="s">
        <v>184</v>
      </c>
      <c r="G536" s="31" t="n">
        <v>5719</v>
      </c>
      <c r="H536" s="19"/>
      <c r="I536" s="32" t="n">
        <v>0.1</v>
      </c>
      <c r="J536" s="30" t="s">
        <v>48</v>
      </c>
      <c r="K536" s="30" t="s">
        <v>47</v>
      </c>
      <c r="L536" s="30" t="s">
        <v>76</v>
      </c>
      <c r="M536" s="31" t="n">
        <f aca="false">AVERAGEIF($E$2:$E$1197,E536,$G$2:$G$1197)</f>
        <v>4981.14563106796</v>
      </c>
      <c r="N536" s="19" t="str">
        <f aca="false">IF(G536&gt;M536*3,"نعم","لا")</f>
        <v>لا</v>
      </c>
      <c r="O536" s="19" t="str">
        <f aca="false">IF(OR(C536="",ISNUMBER(C536)),"لا","نعم")</f>
        <v>لا</v>
      </c>
      <c r="P536" s="19" t="str">
        <f aca="false">IF(COUNTIF($B$2:B536,B536)&gt;1,"مكرر","فريد")</f>
        <v>فريد</v>
      </c>
      <c r="Q536" s="19" t="str">
        <f aca="false">IF(COUNTBLANK(D536:L536)&gt;0,"نعم","لا")</f>
        <v>نعم</v>
      </c>
    </row>
    <row r="537" customFormat="false" ht="15" hidden="false" customHeight="false" outlineLevel="0" collapsed="false">
      <c r="A537" s="19" t="n">
        <v>536</v>
      </c>
      <c r="B537" s="30" t="s">
        <v>316</v>
      </c>
      <c r="C537" s="44" t="n">
        <v>45348</v>
      </c>
      <c r="D537" s="30" t="s">
        <v>50</v>
      </c>
      <c r="E537" s="30" t="s">
        <v>113</v>
      </c>
      <c r="F537" s="30" t="s">
        <v>100</v>
      </c>
      <c r="G537" s="31" t="n">
        <v>249</v>
      </c>
      <c r="H537" s="19" t="n">
        <v>1</v>
      </c>
      <c r="I537" s="32" t="n">
        <v>0</v>
      </c>
      <c r="J537" s="30" t="s">
        <v>52</v>
      </c>
      <c r="K537" s="30" t="s">
        <v>47</v>
      </c>
      <c r="L537" s="30" t="s">
        <v>81</v>
      </c>
      <c r="M537" s="31" t="n">
        <f aca="false">AVERAGEIF($E$2:$E$1197,E537,$G$2:$G$1197)</f>
        <v>545.358823529412</v>
      </c>
      <c r="N537" s="19" t="str">
        <f aca="false">IF(G537&gt;M537*3,"نعم","لا")</f>
        <v>لا</v>
      </c>
      <c r="O537" s="19" t="str">
        <f aca="false">IF(OR(C537="",ISNUMBER(C537)),"لا","نعم")</f>
        <v>لا</v>
      </c>
      <c r="P537" s="19" t="str">
        <f aca="false">IF(COUNTIF($B$2:B537,B537)&gt;1,"مكرر","فريد")</f>
        <v>فريد</v>
      </c>
      <c r="Q537" s="19" t="str">
        <f aca="false">IF(COUNTBLANK(D537:L537)&gt;0,"نعم","لا")</f>
        <v>لا</v>
      </c>
    </row>
    <row r="538" customFormat="false" ht="15" hidden="false" customHeight="false" outlineLevel="0" collapsed="false">
      <c r="A538" s="19" t="n">
        <v>537</v>
      </c>
      <c r="B538" s="30" t="s">
        <v>662</v>
      </c>
      <c r="C538" s="30" t="s">
        <v>1422</v>
      </c>
      <c r="D538" s="30" t="s">
        <v>50</v>
      </c>
      <c r="E538" s="30" t="s">
        <v>107</v>
      </c>
      <c r="F538" s="30" t="s">
        <v>115</v>
      </c>
      <c r="G538" s="31" t="n">
        <v>24590</v>
      </c>
      <c r="H538" s="19" t="n">
        <v>3</v>
      </c>
      <c r="I538" s="32" t="n">
        <v>0</v>
      </c>
      <c r="J538" s="30" t="s">
        <v>52</v>
      </c>
      <c r="K538" s="30"/>
      <c r="L538" s="30" t="s">
        <v>99</v>
      </c>
      <c r="M538" s="31" t="n">
        <f aca="false">AVERAGEIF($E$2:$E$1197,E538,$G$2:$G$1197)</f>
        <v>4981.14563106796</v>
      </c>
      <c r="N538" s="19" t="str">
        <f aca="false">IF(G538&gt;M538*3,"نعم","لا")</f>
        <v>نعم</v>
      </c>
      <c r="O538" s="19" t="str">
        <f aca="false">IF(OR(C538="",ISNUMBER(C538)),"لا","نعم")</f>
        <v>نعم</v>
      </c>
      <c r="P538" s="19" t="str">
        <f aca="false">IF(COUNTIF($B$2:B538,B538)&gt;1,"مكرر","فريد")</f>
        <v>فريد</v>
      </c>
      <c r="Q538" s="19" t="str">
        <f aca="false">IF(COUNTBLANK(D538:L538)&gt;0,"نعم","لا")</f>
        <v>نعم</v>
      </c>
    </row>
    <row r="539" customFormat="false" ht="15" hidden="false" customHeight="false" outlineLevel="0" collapsed="false">
      <c r="A539" s="19" t="n">
        <v>538</v>
      </c>
      <c r="B539" s="30" t="s">
        <v>1250</v>
      </c>
      <c r="C539" s="44" t="n">
        <v>45644</v>
      </c>
      <c r="D539" s="30" t="s">
        <v>54</v>
      </c>
      <c r="E539" s="30" t="s">
        <v>109</v>
      </c>
      <c r="F539" s="30" t="s">
        <v>175</v>
      </c>
      <c r="G539" s="31" t="n">
        <v>219</v>
      </c>
      <c r="H539" s="19" t="n">
        <v>1</v>
      </c>
      <c r="I539" s="32" t="n">
        <v>0</v>
      </c>
      <c r="J539" s="30" t="s">
        <v>55</v>
      </c>
      <c r="K539" s="30" t="s">
        <v>47</v>
      </c>
      <c r="L539" s="30" t="s">
        <v>86</v>
      </c>
      <c r="M539" s="31" t="n">
        <f aca="false">AVERAGEIF($E$2:$E$1197,E539,$G$2:$G$1197)</f>
        <v>186.056291390729</v>
      </c>
      <c r="N539" s="19" t="str">
        <f aca="false">IF(G539&gt;M539*3,"نعم","لا")</f>
        <v>لا</v>
      </c>
      <c r="O539" s="19" t="str">
        <f aca="false">IF(OR(C539="",ISNUMBER(C539)),"لا","نعم")</f>
        <v>لا</v>
      </c>
      <c r="P539" s="19" t="str">
        <f aca="false">IF(COUNTIF($B$2:B539,B539)&gt;1,"مكرر","فريد")</f>
        <v>فريد</v>
      </c>
      <c r="Q539" s="19" t="str">
        <f aca="false">IF(COUNTBLANK(D539:L539)&gt;0,"نعم","لا")</f>
        <v>لا</v>
      </c>
    </row>
    <row r="540" customFormat="false" ht="15" hidden="false" customHeight="false" outlineLevel="0" collapsed="false">
      <c r="A540" s="19" t="n">
        <v>539</v>
      </c>
      <c r="B540" s="30" t="s">
        <v>346</v>
      </c>
      <c r="C540" s="44" t="n">
        <v>45359</v>
      </c>
      <c r="D540" s="30" t="s">
        <v>54</v>
      </c>
      <c r="E540" s="30" t="s">
        <v>105</v>
      </c>
      <c r="F540" s="30" t="s">
        <v>179</v>
      </c>
      <c r="G540" s="31" t="n">
        <v>3259</v>
      </c>
      <c r="H540" s="19" t="n">
        <v>1</v>
      </c>
      <c r="I540" s="32" t="n">
        <v>0.15</v>
      </c>
      <c r="J540" s="30" t="s">
        <v>48</v>
      </c>
      <c r="K540" s="30" t="s">
        <v>47</v>
      </c>
      <c r="L540" s="30" t="s">
        <v>99</v>
      </c>
      <c r="M540" s="31" t="n">
        <f aca="false">AVERAGEIF($E$2:$E$1197,E540,$G$2:$G$1197)</f>
        <v>2870.26771653543</v>
      </c>
      <c r="N540" s="19" t="str">
        <f aca="false">IF(G540&gt;M540*3,"نعم","لا")</f>
        <v>لا</v>
      </c>
      <c r="O540" s="19" t="str">
        <f aca="false">IF(OR(C540="",ISNUMBER(C540)),"لا","نعم")</f>
        <v>لا</v>
      </c>
      <c r="P540" s="19" t="str">
        <f aca="false">IF(COUNTIF($B$2:B540,B540)&gt;1,"مكرر","فريد")</f>
        <v>فريد</v>
      </c>
      <c r="Q540" s="19" t="str">
        <f aca="false">IF(COUNTBLANK(D540:L540)&gt;0,"نعم","لا")</f>
        <v>لا</v>
      </c>
    </row>
    <row r="541" customFormat="false" ht="15" hidden="false" customHeight="false" outlineLevel="0" collapsed="false">
      <c r="A541" s="19" t="n">
        <v>540</v>
      </c>
      <c r="B541" s="30" t="s">
        <v>1282</v>
      </c>
      <c r="C541" s="44" t="n">
        <v>45655</v>
      </c>
      <c r="D541" s="30" t="s">
        <v>60</v>
      </c>
      <c r="E541" s="30" t="s">
        <v>109</v>
      </c>
      <c r="F541" s="30" t="s">
        <v>171</v>
      </c>
      <c r="G541" s="31" t="n">
        <v>299</v>
      </c>
      <c r="H541" s="19" t="n">
        <v>1</v>
      </c>
      <c r="I541" s="32" t="n">
        <v>0</v>
      </c>
      <c r="J541" s="30" t="s">
        <v>55</v>
      </c>
      <c r="K541" s="30" t="s">
        <v>47</v>
      </c>
      <c r="L541" s="30" t="s">
        <v>86</v>
      </c>
      <c r="M541" s="31" t="n">
        <f aca="false">AVERAGEIF($E$2:$E$1197,E541,$G$2:$G$1197)</f>
        <v>186.056291390729</v>
      </c>
      <c r="N541" s="19" t="str">
        <f aca="false">IF(G541&gt;M541*3,"نعم","لا")</f>
        <v>لا</v>
      </c>
      <c r="O541" s="19" t="str">
        <f aca="false">IF(OR(C541="",ISNUMBER(C541)),"لا","نعم")</f>
        <v>لا</v>
      </c>
      <c r="P541" s="19" t="str">
        <f aca="false">IF(COUNTIF($B$2:B541,B541)&gt;1,"مكرر","فريد")</f>
        <v>فريد</v>
      </c>
      <c r="Q541" s="19" t="str">
        <f aca="false">IF(COUNTBLANK(D541:L541)&gt;0,"نعم","لا")</f>
        <v>لا</v>
      </c>
    </row>
    <row r="542" customFormat="false" ht="15" hidden="false" customHeight="false" outlineLevel="0" collapsed="false">
      <c r="A542" s="19" t="n">
        <v>541</v>
      </c>
      <c r="B542" s="30" t="s">
        <v>845</v>
      </c>
      <c r="C542" s="44" t="n">
        <v>45528</v>
      </c>
      <c r="D542" s="30" t="s">
        <v>57</v>
      </c>
      <c r="E542" s="30" t="s">
        <v>109</v>
      </c>
      <c r="F542" s="30" t="s">
        <v>110</v>
      </c>
      <c r="G542" s="31" t="n">
        <v>69</v>
      </c>
      <c r="H542" s="19" t="n">
        <v>1</v>
      </c>
      <c r="I542" s="32" t="n">
        <v>0.05</v>
      </c>
      <c r="J542" s="30" t="s">
        <v>48</v>
      </c>
      <c r="K542" s="30" t="s">
        <v>47</v>
      </c>
      <c r="L542" s="30" t="s">
        <v>81</v>
      </c>
      <c r="M542" s="31" t="n">
        <f aca="false">AVERAGEIF($E$2:$E$1197,E542,$G$2:$G$1197)</f>
        <v>186.056291390729</v>
      </c>
      <c r="N542" s="19" t="str">
        <f aca="false">IF(G542&gt;M542*3,"نعم","لا")</f>
        <v>لا</v>
      </c>
      <c r="O542" s="19" t="str">
        <f aca="false">IF(OR(C542="",ISNUMBER(C542)),"لا","نعم")</f>
        <v>لا</v>
      </c>
      <c r="P542" s="19" t="str">
        <f aca="false">IF(COUNTIF($B$2:B542,B542)&gt;1,"مكرر","فريد")</f>
        <v>فريد</v>
      </c>
      <c r="Q542" s="19" t="str">
        <f aca="false">IF(COUNTBLANK(D542:L542)&gt;0,"نعم","لا")</f>
        <v>لا</v>
      </c>
    </row>
    <row r="543" customFormat="false" ht="15" hidden="false" customHeight="false" outlineLevel="0" collapsed="false">
      <c r="A543" s="19" t="n">
        <v>542</v>
      </c>
      <c r="B543" s="30" t="s">
        <v>1149</v>
      </c>
      <c r="C543" s="44" t="n">
        <v>45618</v>
      </c>
      <c r="D543" s="30" t="s">
        <v>50</v>
      </c>
      <c r="E543" s="30" t="s">
        <v>107</v>
      </c>
      <c r="F543" s="30" t="s">
        <v>272</v>
      </c>
      <c r="G543" s="31" t="n">
        <v>5929</v>
      </c>
      <c r="H543" s="19" t="n">
        <v>2</v>
      </c>
      <c r="I543" s="32" t="n">
        <v>0.15</v>
      </c>
      <c r="J543" s="30" t="s">
        <v>52</v>
      </c>
      <c r="K543" s="30" t="s">
        <v>47</v>
      </c>
      <c r="L543" s="30" t="s">
        <v>94</v>
      </c>
      <c r="M543" s="31" t="n">
        <f aca="false">AVERAGEIF($E$2:$E$1197,E543,$G$2:$G$1197)</f>
        <v>4981.14563106796</v>
      </c>
      <c r="N543" s="19" t="str">
        <f aca="false">IF(G543&gt;M543*3,"نعم","لا")</f>
        <v>لا</v>
      </c>
      <c r="O543" s="19" t="str">
        <f aca="false">IF(OR(C543="",ISNUMBER(C543)),"لا","نعم")</f>
        <v>لا</v>
      </c>
      <c r="P543" s="19" t="str">
        <f aca="false">IF(COUNTIF($B$2:B543,B543)&gt;1,"مكرر","فريد")</f>
        <v>فريد</v>
      </c>
      <c r="Q543" s="19" t="str">
        <f aca="false">IF(COUNTBLANK(D543:L543)&gt;0,"نعم","لا")</f>
        <v>لا</v>
      </c>
    </row>
    <row r="544" customFormat="false" ht="15" hidden="false" customHeight="false" outlineLevel="0" collapsed="false">
      <c r="A544" s="19" t="n">
        <v>543</v>
      </c>
      <c r="B544" s="30" t="s">
        <v>576</v>
      </c>
      <c r="C544" s="44" t="n">
        <v>45441</v>
      </c>
      <c r="D544" s="30" t="s">
        <v>46</v>
      </c>
      <c r="E544" s="30" t="s">
        <v>109</v>
      </c>
      <c r="F544" s="30" t="s">
        <v>192</v>
      </c>
      <c r="G544" s="31" t="n">
        <v>69</v>
      </c>
      <c r="H544" s="19" t="n">
        <v>2</v>
      </c>
      <c r="I544" s="32" t="n">
        <v>0</v>
      </c>
      <c r="J544" s="30" t="s">
        <v>48</v>
      </c>
      <c r="K544" s="30" t="s">
        <v>51</v>
      </c>
      <c r="L544" s="30" t="s">
        <v>99</v>
      </c>
      <c r="M544" s="31" t="n">
        <f aca="false">AVERAGEIF($E$2:$E$1197,E544,$G$2:$G$1197)</f>
        <v>186.056291390729</v>
      </c>
      <c r="N544" s="19" t="str">
        <f aca="false">IF(G544&gt;M544*3,"نعم","لا")</f>
        <v>لا</v>
      </c>
      <c r="O544" s="19" t="str">
        <f aca="false">IF(OR(C544="",ISNUMBER(C544)),"لا","نعم")</f>
        <v>لا</v>
      </c>
      <c r="P544" s="19" t="str">
        <f aca="false">IF(COUNTIF($B$2:B544,B544)&gt;1,"مكرر","فريد")</f>
        <v>مكرر</v>
      </c>
      <c r="Q544" s="19" t="str">
        <f aca="false">IF(COUNTBLANK(D544:L544)&gt;0,"نعم","لا")</f>
        <v>لا</v>
      </c>
    </row>
    <row r="545" customFormat="false" ht="15" hidden="false" customHeight="false" outlineLevel="0" collapsed="false">
      <c r="A545" s="19" t="n">
        <v>544</v>
      </c>
      <c r="B545" s="30" t="s">
        <v>170</v>
      </c>
      <c r="C545" s="44" t="n">
        <v>45294</v>
      </c>
      <c r="D545" s="30" t="s">
        <v>57</v>
      </c>
      <c r="E545" s="30" t="s">
        <v>109</v>
      </c>
      <c r="F545" s="30" t="s">
        <v>171</v>
      </c>
      <c r="G545" s="31" t="n">
        <v>259</v>
      </c>
      <c r="H545" s="19" t="n">
        <v>1</v>
      </c>
      <c r="I545" s="32" t="n">
        <v>0</v>
      </c>
      <c r="J545" s="30" t="s">
        <v>48</v>
      </c>
      <c r="K545" s="30" t="s">
        <v>47</v>
      </c>
      <c r="L545" s="30" t="s">
        <v>76</v>
      </c>
      <c r="M545" s="31" t="n">
        <f aca="false">AVERAGEIF($E$2:$E$1197,E545,$G$2:$G$1197)</f>
        <v>186.056291390729</v>
      </c>
      <c r="N545" s="19" t="str">
        <f aca="false">IF(G545&gt;M545*3,"نعم","لا")</f>
        <v>لا</v>
      </c>
      <c r="O545" s="19" t="str">
        <f aca="false">IF(OR(C545="",ISNUMBER(C545)),"لا","نعم")</f>
        <v>لا</v>
      </c>
      <c r="P545" s="19" t="str">
        <f aca="false">IF(COUNTIF($B$2:B545,B545)&gt;1,"مكرر","فريد")</f>
        <v>فريد</v>
      </c>
      <c r="Q545" s="19" t="str">
        <f aca="false">IF(COUNTBLANK(D545:L545)&gt;0,"نعم","لا")</f>
        <v>لا</v>
      </c>
    </row>
    <row r="546" customFormat="false" ht="15" hidden="false" customHeight="false" outlineLevel="0" collapsed="false">
      <c r="A546" s="19" t="n">
        <v>545</v>
      </c>
      <c r="B546" s="30" t="s">
        <v>711</v>
      </c>
      <c r="C546" s="44" t="n">
        <v>45489</v>
      </c>
      <c r="D546" s="30" t="s">
        <v>46</v>
      </c>
      <c r="E546" s="30" t="s">
        <v>109</v>
      </c>
      <c r="F546" s="30" t="s">
        <v>192</v>
      </c>
      <c r="G546" s="31" t="n">
        <v>169</v>
      </c>
      <c r="H546" s="19" t="n">
        <v>2</v>
      </c>
      <c r="I546" s="32" t="n">
        <v>0</v>
      </c>
      <c r="J546" s="30" t="s">
        <v>48</v>
      </c>
      <c r="K546" s="30" t="s">
        <v>51</v>
      </c>
      <c r="L546" s="30" t="s">
        <v>92</v>
      </c>
      <c r="M546" s="31" t="n">
        <f aca="false">AVERAGEIF($E$2:$E$1197,E546,$G$2:$G$1197)</f>
        <v>186.056291390729</v>
      </c>
      <c r="N546" s="19" t="str">
        <f aca="false">IF(G546&gt;M546*3,"نعم","لا")</f>
        <v>لا</v>
      </c>
      <c r="O546" s="19" t="str">
        <f aca="false">IF(OR(C546="",ISNUMBER(C546)),"لا","نعم")</f>
        <v>لا</v>
      </c>
      <c r="P546" s="19" t="str">
        <f aca="false">IF(COUNTIF($B$2:B546,B546)&gt;1,"مكرر","فريد")</f>
        <v>فريد</v>
      </c>
      <c r="Q546" s="19" t="str">
        <f aca="false">IF(COUNTBLANK(D546:L546)&gt;0,"نعم","لا")</f>
        <v>لا</v>
      </c>
    </row>
    <row r="547" customFormat="false" ht="15" hidden="false" customHeight="false" outlineLevel="0" collapsed="false">
      <c r="A547" s="19" t="n">
        <v>546</v>
      </c>
      <c r="B547" s="30" t="s">
        <v>1181</v>
      </c>
      <c r="C547" s="44" t="n">
        <v>45625</v>
      </c>
      <c r="D547" s="30" t="s">
        <v>50</v>
      </c>
      <c r="E547" s="30" t="s">
        <v>113</v>
      </c>
      <c r="F547" s="30" t="s">
        <v>100</v>
      </c>
      <c r="G547" s="31" t="n">
        <v>729</v>
      </c>
      <c r="H547" s="19" t="n">
        <v>1</v>
      </c>
      <c r="I547" s="32"/>
      <c r="J547" s="30" t="s">
        <v>55</v>
      </c>
      <c r="K547" s="30" t="s">
        <v>47</v>
      </c>
      <c r="L547" s="30" t="s">
        <v>84</v>
      </c>
      <c r="M547" s="31" t="n">
        <f aca="false">AVERAGEIF($E$2:$E$1197,E547,$G$2:$G$1197)</f>
        <v>545.358823529412</v>
      </c>
      <c r="N547" s="19" t="str">
        <f aca="false">IF(G547&gt;M547*3,"نعم","لا")</f>
        <v>لا</v>
      </c>
      <c r="O547" s="19" t="str">
        <f aca="false">IF(OR(C547="",ISNUMBER(C547)),"لا","نعم")</f>
        <v>لا</v>
      </c>
      <c r="P547" s="19" t="str">
        <f aca="false">IF(COUNTIF($B$2:B547,B547)&gt;1,"مكرر","فريد")</f>
        <v>فريد</v>
      </c>
      <c r="Q547" s="19" t="str">
        <f aca="false">IF(COUNTBLANK(D547:L547)&gt;0,"نعم","لا")</f>
        <v>نعم</v>
      </c>
    </row>
    <row r="548" customFormat="false" ht="15" hidden="false" customHeight="false" outlineLevel="0" collapsed="false">
      <c r="A548" s="19" t="n">
        <v>547</v>
      </c>
      <c r="B548" s="30" t="s">
        <v>521</v>
      </c>
      <c r="C548" s="44" t="n">
        <v>45422</v>
      </c>
      <c r="D548" s="30" t="s">
        <v>60</v>
      </c>
      <c r="E548" s="30" t="s">
        <v>113</v>
      </c>
      <c r="F548" s="30" t="s">
        <v>100</v>
      </c>
      <c r="G548" s="31" t="n">
        <v>749</v>
      </c>
      <c r="H548" s="19" t="n">
        <v>2</v>
      </c>
      <c r="I548" s="32" t="n">
        <v>0.05</v>
      </c>
      <c r="J548" s="30" t="s">
        <v>48</v>
      </c>
      <c r="K548" s="30" t="s">
        <v>51</v>
      </c>
      <c r="L548" s="30" t="s">
        <v>86</v>
      </c>
      <c r="M548" s="31" t="n">
        <f aca="false">AVERAGEIF($E$2:$E$1197,E548,$G$2:$G$1197)</f>
        <v>545.358823529412</v>
      </c>
      <c r="N548" s="19" t="str">
        <f aca="false">IF(G548&gt;M548*3,"نعم","لا")</f>
        <v>لا</v>
      </c>
      <c r="O548" s="19" t="str">
        <f aca="false">IF(OR(C548="",ISNUMBER(C548)),"لا","نعم")</f>
        <v>لا</v>
      </c>
      <c r="P548" s="19" t="str">
        <f aca="false">IF(COUNTIF($B$2:B548,B548)&gt;1,"مكرر","فريد")</f>
        <v>فريد</v>
      </c>
      <c r="Q548" s="19" t="str">
        <f aca="false">IF(COUNTBLANK(D548:L548)&gt;0,"نعم","لا")</f>
        <v>لا</v>
      </c>
    </row>
    <row r="549" customFormat="false" ht="15" hidden="false" customHeight="false" outlineLevel="0" collapsed="false">
      <c r="A549" s="19" t="n">
        <v>548</v>
      </c>
      <c r="B549" s="30" t="s">
        <v>494</v>
      </c>
      <c r="C549" s="44" t="n">
        <v>45412</v>
      </c>
      <c r="D549" s="30" t="s">
        <v>46</v>
      </c>
      <c r="E549" s="30" t="s">
        <v>107</v>
      </c>
      <c r="F549" s="30" t="s">
        <v>114</v>
      </c>
      <c r="G549" s="31" t="n">
        <v>2329</v>
      </c>
      <c r="H549" s="19" t="n">
        <v>1</v>
      </c>
      <c r="I549" s="32" t="n">
        <v>0</v>
      </c>
      <c r="J549" s="30" t="s">
        <v>55</v>
      </c>
      <c r="K549" s="30" t="s">
        <v>47</v>
      </c>
      <c r="L549" s="30" t="s">
        <v>84</v>
      </c>
      <c r="M549" s="31" t="n">
        <f aca="false">AVERAGEIF($E$2:$E$1197,E549,$G$2:$G$1197)</f>
        <v>4981.14563106796</v>
      </c>
      <c r="N549" s="19" t="str">
        <f aca="false">IF(G549&gt;M549*3,"نعم","لا")</f>
        <v>لا</v>
      </c>
      <c r="O549" s="19" t="str">
        <f aca="false">IF(OR(C549="",ISNUMBER(C549)),"لا","نعم")</f>
        <v>لا</v>
      </c>
      <c r="P549" s="19" t="str">
        <f aca="false">IF(COUNTIF($B$2:B549,B549)&gt;1,"مكرر","فريد")</f>
        <v>فريد</v>
      </c>
      <c r="Q549" s="19" t="str">
        <f aca="false">IF(COUNTBLANK(D549:L549)&gt;0,"نعم","لا")</f>
        <v>لا</v>
      </c>
    </row>
    <row r="550" customFormat="false" ht="15" hidden="false" customHeight="false" outlineLevel="0" collapsed="false">
      <c r="A550" s="19" t="n">
        <v>549</v>
      </c>
      <c r="B550" s="30" t="s">
        <v>1144</v>
      </c>
      <c r="C550" s="44" t="n">
        <v>45617</v>
      </c>
      <c r="D550" s="30" t="s">
        <v>50</v>
      </c>
      <c r="E550" s="30" t="s">
        <v>107</v>
      </c>
      <c r="F550" s="30" t="s">
        <v>114</v>
      </c>
      <c r="G550" s="31" t="n">
        <v>3999</v>
      </c>
      <c r="H550" s="19" t="n">
        <v>5</v>
      </c>
      <c r="I550" s="32" t="n">
        <v>0</v>
      </c>
      <c r="J550" s="30" t="s">
        <v>55</v>
      </c>
      <c r="K550" s="30" t="s">
        <v>51</v>
      </c>
      <c r="L550" s="30" t="s">
        <v>78</v>
      </c>
      <c r="M550" s="31" t="n">
        <f aca="false">AVERAGEIF($E$2:$E$1197,E550,$G$2:$G$1197)</f>
        <v>4981.14563106796</v>
      </c>
      <c r="N550" s="19" t="str">
        <f aca="false">IF(G550&gt;M550*3,"نعم","لا")</f>
        <v>لا</v>
      </c>
      <c r="O550" s="19" t="str">
        <f aca="false">IF(OR(C550="",ISNUMBER(C550)),"لا","نعم")</f>
        <v>لا</v>
      </c>
      <c r="P550" s="19" t="str">
        <f aca="false">IF(COUNTIF($B$2:B550,B550)&gt;1,"مكرر","فريد")</f>
        <v>فريد</v>
      </c>
      <c r="Q550" s="19" t="str">
        <f aca="false">IF(COUNTBLANK(D550:L550)&gt;0,"نعم","لا")</f>
        <v>لا</v>
      </c>
    </row>
    <row r="551" customFormat="false" ht="15" hidden="false" customHeight="false" outlineLevel="0" collapsed="false">
      <c r="A551" s="19" t="n">
        <v>550</v>
      </c>
      <c r="B551" s="30" t="s">
        <v>971</v>
      </c>
      <c r="C551" s="44" t="n">
        <v>45571</v>
      </c>
      <c r="D551" s="30" t="s">
        <v>60</v>
      </c>
      <c r="E551" s="30" t="s">
        <v>107</v>
      </c>
      <c r="F551" s="30" t="s">
        <v>184</v>
      </c>
      <c r="G551" s="31" t="n">
        <v>2889</v>
      </c>
      <c r="H551" s="19" t="n">
        <v>2</v>
      </c>
      <c r="I551" s="32" t="n">
        <v>0.1</v>
      </c>
      <c r="J551" s="30" t="s">
        <v>48</v>
      </c>
      <c r="K551" s="30" t="s">
        <v>47</v>
      </c>
      <c r="L551" s="30" t="s">
        <v>89</v>
      </c>
      <c r="M551" s="31" t="n">
        <f aca="false">AVERAGEIF($E$2:$E$1197,E551,$G$2:$G$1197)</f>
        <v>4981.14563106796</v>
      </c>
      <c r="N551" s="19" t="str">
        <f aca="false">IF(G551&gt;M551*3,"نعم","لا")</f>
        <v>لا</v>
      </c>
      <c r="O551" s="19" t="str">
        <f aca="false">IF(OR(C551="",ISNUMBER(C551)),"لا","نعم")</f>
        <v>لا</v>
      </c>
      <c r="P551" s="19" t="str">
        <f aca="false">IF(COUNTIF($B$2:B551,B551)&gt;1,"مكرر","فريد")</f>
        <v>فريد</v>
      </c>
      <c r="Q551" s="19" t="str">
        <f aca="false">IF(COUNTBLANK(D551:L551)&gt;0,"نعم","لا")</f>
        <v>لا</v>
      </c>
    </row>
    <row r="552" customFormat="false" ht="15" hidden="false" customHeight="false" outlineLevel="0" collapsed="false">
      <c r="A552" s="19" t="n">
        <v>551</v>
      </c>
      <c r="B552" s="30" t="s">
        <v>425</v>
      </c>
      <c r="C552" s="30" t="s">
        <v>1423</v>
      </c>
      <c r="D552" s="30" t="s">
        <v>54</v>
      </c>
      <c r="E552" s="30" t="s">
        <v>113</v>
      </c>
      <c r="F552" s="30" t="s">
        <v>97</v>
      </c>
      <c r="G552" s="31" t="n">
        <v>569</v>
      </c>
      <c r="H552" s="19" t="n">
        <v>1</v>
      </c>
      <c r="I552" s="32" t="n">
        <v>0</v>
      </c>
      <c r="J552" s="30" t="s">
        <v>55</v>
      </c>
      <c r="K552" s="30" t="s">
        <v>47</v>
      </c>
      <c r="L552" s="30" t="s">
        <v>78</v>
      </c>
      <c r="M552" s="31" t="n">
        <f aca="false">AVERAGEIF($E$2:$E$1197,E552,$G$2:$G$1197)</f>
        <v>545.358823529412</v>
      </c>
      <c r="N552" s="19" t="str">
        <f aca="false">IF(G552&gt;M552*3,"نعم","لا")</f>
        <v>لا</v>
      </c>
      <c r="O552" s="19" t="str">
        <f aca="false">IF(OR(C552="",ISNUMBER(C552)),"لا","نعم")</f>
        <v>نعم</v>
      </c>
      <c r="P552" s="19" t="str">
        <f aca="false">IF(COUNTIF($B$2:B552,B552)&gt;1,"مكرر","فريد")</f>
        <v>فريد</v>
      </c>
      <c r="Q552" s="19" t="str">
        <f aca="false">IF(COUNTBLANK(D552:L552)&gt;0,"نعم","لا")</f>
        <v>لا</v>
      </c>
    </row>
    <row r="553" customFormat="false" ht="15" hidden="false" customHeight="false" outlineLevel="0" collapsed="false">
      <c r="A553" s="19" t="n">
        <v>552</v>
      </c>
      <c r="B553" s="30" t="s">
        <v>1177</v>
      </c>
      <c r="C553" s="44" t="n">
        <v>45624</v>
      </c>
      <c r="D553" s="30" t="s">
        <v>50</v>
      </c>
      <c r="E553" s="30" t="s">
        <v>109</v>
      </c>
      <c r="F553" s="30" t="s">
        <v>171</v>
      </c>
      <c r="G553" s="31" t="n">
        <v>339</v>
      </c>
      <c r="H553" s="19" t="n">
        <v>1</v>
      </c>
      <c r="I553" s="32" t="n">
        <v>0.1</v>
      </c>
      <c r="J553" s="30" t="s">
        <v>48</v>
      </c>
      <c r="K553" s="30" t="s">
        <v>47</v>
      </c>
      <c r="L553" s="30" t="s">
        <v>84</v>
      </c>
      <c r="M553" s="31" t="n">
        <f aca="false">AVERAGEIF($E$2:$E$1197,E553,$G$2:$G$1197)</f>
        <v>186.056291390729</v>
      </c>
      <c r="N553" s="19" t="str">
        <f aca="false">IF(G553&gt;M553*3,"نعم","لا")</f>
        <v>لا</v>
      </c>
      <c r="O553" s="19" t="str">
        <f aca="false">IF(OR(C553="",ISNUMBER(C553)),"لا","نعم")</f>
        <v>لا</v>
      </c>
      <c r="P553" s="19" t="str">
        <f aca="false">IF(COUNTIF($B$2:B553,B553)&gt;1,"مكرر","فريد")</f>
        <v>فريد</v>
      </c>
      <c r="Q553" s="19" t="str">
        <f aca="false">IF(COUNTBLANK(D553:L553)&gt;0,"نعم","لا")</f>
        <v>لا</v>
      </c>
    </row>
    <row r="554" customFormat="false" ht="15" hidden="false" customHeight="false" outlineLevel="0" collapsed="false">
      <c r="A554" s="19" t="n">
        <v>553</v>
      </c>
      <c r="B554" s="30" t="s">
        <v>391</v>
      </c>
      <c r="C554" s="44" t="n">
        <v>45373</v>
      </c>
      <c r="D554" s="30" t="s">
        <v>60</v>
      </c>
      <c r="E554" s="30" t="s">
        <v>109</v>
      </c>
      <c r="F554" s="30" t="s">
        <v>171</v>
      </c>
      <c r="G554" s="31" t="n">
        <v>109</v>
      </c>
      <c r="H554" s="19" t="n">
        <v>1</v>
      </c>
      <c r="I554" s="32" t="n">
        <v>0</v>
      </c>
      <c r="J554" s="30" t="s">
        <v>55</v>
      </c>
      <c r="K554" s="30" t="s">
        <v>47</v>
      </c>
      <c r="L554" s="30" t="s">
        <v>99</v>
      </c>
      <c r="M554" s="31" t="n">
        <f aca="false">AVERAGEIF($E$2:$E$1197,E554,$G$2:$G$1197)</f>
        <v>186.056291390729</v>
      </c>
      <c r="N554" s="19" t="str">
        <f aca="false">IF(G554&gt;M554*3,"نعم","لا")</f>
        <v>لا</v>
      </c>
      <c r="O554" s="19" t="str">
        <f aca="false">IF(OR(C554="",ISNUMBER(C554)),"لا","نعم")</f>
        <v>لا</v>
      </c>
      <c r="P554" s="19" t="str">
        <f aca="false">IF(COUNTIF($B$2:B554,B554)&gt;1,"مكرر","فريد")</f>
        <v>فريد</v>
      </c>
      <c r="Q554" s="19" t="str">
        <f aca="false">IF(COUNTBLANK(D554:L554)&gt;0,"نعم","لا")</f>
        <v>لا</v>
      </c>
    </row>
    <row r="555" customFormat="false" ht="15" hidden="false" customHeight="false" outlineLevel="0" collapsed="false">
      <c r="A555" s="19" t="n">
        <v>554</v>
      </c>
      <c r="B555" s="30" t="s">
        <v>751</v>
      </c>
      <c r="C555" s="44" t="n">
        <v>45503</v>
      </c>
      <c r="D555" s="30" t="s">
        <v>50</v>
      </c>
      <c r="E555" s="30" t="s">
        <v>109</v>
      </c>
      <c r="F555" s="30" t="s">
        <v>175</v>
      </c>
      <c r="G555" s="31" t="n">
        <v>79</v>
      </c>
      <c r="H555" s="19" t="n">
        <v>1</v>
      </c>
      <c r="I555" s="32" t="n">
        <v>0.2</v>
      </c>
      <c r="J555" s="30" t="s">
        <v>55</v>
      </c>
      <c r="K555" s="30" t="s">
        <v>47</v>
      </c>
      <c r="L555" s="30" t="s">
        <v>81</v>
      </c>
      <c r="M555" s="31" t="n">
        <f aca="false">AVERAGEIF($E$2:$E$1197,E555,$G$2:$G$1197)</f>
        <v>186.056291390729</v>
      </c>
      <c r="N555" s="19" t="str">
        <f aca="false">IF(G555&gt;M555*3,"نعم","لا")</f>
        <v>لا</v>
      </c>
      <c r="O555" s="19" t="str">
        <f aca="false">IF(OR(C555="",ISNUMBER(C555)),"لا","نعم")</f>
        <v>لا</v>
      </c>
      <c r="P555" s="19" t="str">
        <f aca="false">IF(COUNTIF($B$2:B555,B555)&gt;1,"مكرر","فريد")</f>
        <v>فريد</v>
      </c>
      <c r="Q555" s="19" t="str">
        <f aca="false">IF(COUNTBLANK(D555:L555)&gt;0,"نعم","لا")</f>
        <v>لا</v>
      </c>
    </row>
    <row r="556" customFormat="false" ht="15" hidden="false" customHeight="false" outlineLevel="0" collapsed="false">
      <c r="A556" s="19" t="n">
        <v>555</v>
      </c>
      <c r="B556" s="30" t="s">
        <v>1084</v>
      </c>
      <c r="C556" s="44" t="n">
        <v>45604</v>
      </c>
      <c r="D556" s="30" t="s">
        <v>60</v>
      </c>
      <c r="E556" s="30" t="s">
        <v>105</v>
      </c>
      <c r="F556" s="30" t="s">
        <v>79</v>
      </c>
      <c r="G556" s="31" t="n">
        <v>2789</v>
      </c>
      <c r="H556" s="19" t="n">
        <v>3</v>
      </c>
      <c r="I556" s="32" t="n">
        <v>0.1</v>
      </c>
      <c r="J556" s="30" t="s">
        <v>48</v>
      </c>
      <c r="K556" s="30" t="s">
        <v>51</v>
      </c>
      <c r="L556" s="30" t="s">
        <v>81</v>
      </c>
      <c r="M556" s="31" t="n">
        <f aca="false">AVERAGEIF($E$2:$E$1197,E556,$G$2:$G$1197)</f>
        <v>2870.26771653543</v>
      </c>
      <c r="N556" s="19" t="str">
        <f aca="false">IF(G556&gt;M556*3,"نعم","لا")</f>
        <v>لا</v>
      </c>
      <c r="O556" s="19" t="str">
        <f aca="false">IF(OR(C556="",ISNUMBER(C556)),"لا","نعم")</f>
        <v>لا</v>
      </c>
      <c r="P556" s="19" t="str">
        <f aca="false">IF(COUNTIF($B$2:B556,B556)&gt;1,"مكرر","فريد")</f>
        <v>فريد</v>
      </c>
      <c r="Q556" s="19" t="str">
        <f aca="false">IF(COUNTBLANK(D556:L556)&gt;0,"نعم","لا")</f>
        <v>لا</v>
      </c>
    </row>
    <row r="557" customFormat="false" ht="15" hidden="false" customHeight="false" outlineLevel="0" collapsed="false">
      <c r="A557" s="19" t="n">
        <v>556</v>
      </c>
      <c r="B557" s="30" t="s">
        <v>686</v>
      </c>
      <c r="C557" s="44" t="n">
        <v>45480</v>
      </c>
      <c r="D557" s="30" t="s">
        <v>50</v>
      </c>
      <c r="E557" s="30" t="s">
        <v>109</v>
      </c>
      <c r="F557" s="30" t="s">
        <v>175</v>
      </c>
      <c r="G557" s="31" t="n">
        <v>139</v>
      </c>
      <c r="H557" s="19" t="n">
        <v>1</v>
      </c>
      <c r="I557" s="32" t="n">
        <v>0.1</v>
      </c>
      <c r="J557" s="30" t="s">
        <v>52</v>
      </c>
      <c r="K557" s="30" t="s">
        <v>47</v>
      </c>
      <c r="L557" s="30" t="s">
        <v>94</v>
      </c>
      <c r="M557" s="31" t="n">
        <f aca="false">AVERAGEIF($E$2:$E$1197,E557,$G$2:$G$1197)</f>
        <v>186.056291390729</v>
      </c>
      <c r="N557" s="19" t="str">
        <f aca="false">IF(G557&gt;M557*3,"نعم","لا")</f>
        <v>لا</v>
      </c>
      <c r="O557" s="19" t="str">
        <f aca="false">IF(OR(C557="",ISNUMBER(C557)),"لا","نعم")</f>
        <v>لا</v>
      </c>
      <c r="P557" s="19" t="str">
        <f aca="false">IF(COUNTIF($B$2:B557,B557)&gt;1,"مكرر","فريد")</f>
        <v>فريد</v>
      </c>
      <c r="Q557" s="19" t="str">
        <f aca="false">IF(COUNTBLANK(D557:L557)&gt;0,"نعم","لا")</f>
        <v>لا</v>
      </c>
    </row>
    <row r="558" customFormat="false" ht="15" hidden="false" customHeight="false" outlineLevel="0" collapsed="false">
      <c r="A558" s="19" t="n">
        <v>557</v>
      </c>
      <c r="B558" s="30" t="s">
        <v>956</v>
      </c>
      <c r="C558" s="44" t="n">
        <v>45566</v>
      </c>
      <c r="D558" s="30" t="s">
        <v>46</v>
      </c>
      <c r="E558" s="30" t="s">
        <v>113</v>
      </c>
      <c r="F558" s="30" t="s">
        <v>95</v>
      </c>
      <c r="G558" s="31" t="n">
        <v>759</v>
      </c>
      <c r="H558" s="19" t="n">
        <v>1</v>
      </c>
      <c r="I558" s="32" t="n">
        <v>0</v>
      </c>
      <c r="J558" s="30" t="s">
        <v>48</v>
      </c>
      <c r="K558" s="30" t="s">
        <v>47</v>
      </c>
      <c r="L558" s="30" t="s">
        <v>78</v>
      </c>
      <c r="M558" s="31" t="n">
        <f aca="false">AVERAGEIF($E$2:$E$1197,E558,$G$2:$G$1197)</f>
        <v>545.358823529412</v>
      </c>
      <c r="N558" s="19" t="str">
        <f aca="false">IF(G558&gt;M558*3,"نعم","لا")</f>
        <v>لا</v>
      </c>
      <c r="O558" s="19" t="str">
        <f aca="false">IF(OR(C558="",ISNUMBER(C558)),"لا","نعم")</f>
        <v>لا</v>
      </c>
      <c r="P558" s="19" t="str">
        <f aca="false">IF(COUNTIF($B$2:B558,B558)&gt;1,"مكرر","فريد")</f>
        <v>فريد</v>
      </c>
      <c r="Q558" s="19" t="str">
        <f aca="false">IF(COUNTBLANK(D558:L558)&gt;0,"نعم","لا")</f>
        <v>لا</v>
      </c>
    </row>
    <row r="559" customFormat="false" ht="15" hidden="false" customHeight="false" outlineLevel="0" collapsed="false">
      <c r="A559" s="19" t="n">
        <v>558</v>
      </c>
      <c r="B559" s="30" t="s">
        <v>973</v>
      </c>
      <c r="C559" s="44" t="n">
        <v>45572</v>
      </c>
      <c r="D559" s="30" t="s">
        <v>60</v>
      </c>
      <c r="E559" s="30" t="s">
        <v>105</v>
      </c>
      <c r="F559" s="30" t="s">
        <v>90</v>
      </c>
      <c r="G559" s="31" t="n">
        <v>4159</v>
      </c>
      <c r="H559" s="19" t="n">
        <v>3</v>
      </c>
      <c r="I559" s="32" t="n">
        <v>0</v>
      </c>
      <c r="J559" s="30" t="s">
        <v>58</v>
      </c>
      <c r="K559" s="30" t="s">
        <v>47</v>
      </c>
      <c r="L559" s="30" t="s">
        <v>86</v>
      </c>
      <c r="M559" s="31" t="n">
        <f aca="false">AVERAGEIF($E$2:$E$1197,E559,$G$2:$G$1197)</f>
        <v>2870.26771653543</v>
      </c>
      <c r="N559" s="19" t="str">
        <f aca="false">IF(G559&gt;M559*3,"نعم","لا")</f>
        <v>لا</v>
      </c>
      <c r="O559" s="19" t="str">
        <f aca="false">IF(OR(C559="",ISNUMBER(C559)),"لا","نعم")</f>
        <v>لا</v>
      </c>
      <c r="P559" s="19" t="str">
        <f aca="false">IF(COUNTIF($B$2:B559,B559)&gt;1,"مكرر","فريد")</f>
        <v>فريد</v>
      </c>
      <c r="Q559" s="19" t="str">
        <f aca="false">IF(COUNTBLANK(D559:L559)&gt;0,"نعم","لا")</f>
        <v>لا</v>
      </c>
    </row>
    <row r="560" customFormat="false" ht="15" hidden="false" customHeight="false" outlineLevel="0" collapsed="false">
      <c r="A560" s="19" t="n">
        <v>559</v>
      </c>
      <c r="B560" s="30" t="s">
        <v>893</v>
      </c>
      <c r="C560" s="44" t="n">
        <v>45543</v>
      </c>
      <c r="D560" s="30" t="s">
        <v>54</v>
      </c>
      <c r="E560" s="30" t="s">
        <v>107</v>
      </c>
      <c r="F560" s="30" t="s">
        <v>115</v>
      </c>
      <c r="G560" s="31" t="n">
        <v>6599</v>
      </c>
      <c r="H560" s="19" t="n">
        <v>3</v>
      </c>
      <c r="I560" s="32" t="n">
        <v>0.05</v>
      </c>
      <c r="J560" s="30" t="s">
        <v>48</v>
      </c>
      <c r="K560" s="30" t="s">
        <v>47</v>
      </c>
      <c r="L560" s="30" t="s">
        <v>89</v>
      </c>
      <c r="M560" s="31" t="n">
        <f aca="false">AVERAGEIF($E$2:$E$1197,E560,$G$2:$G$1197)</f>
        <v>4981.14563106796</v>
      </c>
      <c r="N560" s="19" t="str">
        <f aca="false">IF(G560&gt;M560*3,"نعم","لا")</f>
        <v>لا</v>
      </c>
      <c r="O560" s="19" t="str">
        <f aca="false">IF(OR(C560="",ISNUMBER(C560)),"لا","نعم")</f>
        <v>لا</v>
      </c>
      <c r="P560" s="19" t="str">
        <f aca="false">IF(COUNTIF($B$2:B560,B560)&gt;1,"مكرر","فريد")</f>
        <v>فريد</v>
      </c>
      <c r="Q560" s="19" t="str">
        <f aca="false">IF(COUNTBLANK(D560:L560)&gt;0,"نعم","لا")</f>
        <v>لا</v>
      </c>
    </row>
    <row r="561" customFormat="false" ht="15" hidden="false" customHeight="false" outlineLevel="0" collapsed="false">
      <c r="A561" s="19" t="n">
        <v>560</v>
      </c>
      <c r="B561" s="30" t="s">
        <v>1279</v>
      </c>
      <c r="C561" s="44" t="n">
        <v>45654</v>
      </c>
      <c r="D561" s="30" t="s">
        <v>46</v>
      </c>
      <c r="E561" s="30" t="s">
        <v>109</v>
      </c>
      <c r="F561" s="30" t="s">
        <v>192</v>
      </c>
      <c r="G561" s="31" t="n">
        <v>309</v>
      </c>
      <c r="H561" s="19" t="n">
        <v>1</v>
      </c>
      <c r="I561" s="32" t="n">
        <v>0.1</v>
      </c>
      <c r="J561" s="30" t="s">
        <v>48</v>
      </c>
      <c r="K561" s="30" t="s">
        <v>47</v>
      </c>
      <c r="L561" s="30" t="s">
        <v>94</v>
      </c>
      <c r="M561" s="31" t="n">
        <f aca="false">AVERAGEIF($E$2:$E$1197,E561,$G$2:$G$1197)</f>
        <v>186.056291390729</v>
      </c>
      <c r="N561" s="19" t="str">
        <f aca="false">IF(G561&gt;M561*3,"نعم","لا")</f>
        <v>لا</v>
      </c>
      <c r="O561" s="19" t="str">
        <f aca="false">IF(OR(C561="",ISNUMBER(C561)),"لا","نعم")</f>
        <v>لا</v>
      </c>
      <c r="P561" s="19" t="str">
        <f aca="false">IF(COUNTIF($B$2:B561,B561)&gt;1,"مكرر","فريد")</f>
        <v>فريد</v>
      </c>
      <c r="Q561" s="19" t="str">
        <f aca="false">IF(COUNTBLANK(D561:L561)&gt;0,"نعم","لا")</f>
        <v>لا</v>
      </c>
    </row>
    <row r="562" customFormat="false" ht="15" hidden="false" customHeight="false" outlineLevel="0" collapsed="false">
      <c r="A562" s="19" t="n">
        <v>561</v>
      </c>
      <c r="B562" s="30" t="s">
        <v>602</v>
      </c>
      <c r="C562" s="44" t="n">
        <v>45452</v>
      </c>
      <c r="D562" s="30" t="s">
        <v>60</v>
      </c>
      <c r="E562" s="30" t="s">
        <v>109</v>
      </c>
      <c r="F562" s="30" t="s">
        <v>93</v>
      </c>
      <c r="G562" s="31" t="n">
        <v>119</v>
      </c>
      <c r="H562" s="19" t="n">
        <v>2</v>
      </c>
      <c r="I562" s="32" t="n">
        <v>0.05</v>
      </c>
      <c r="J562" s="30" t="s">
        <v>48</v>
      </c>
      <c r="K562" s="30" t="s">
        <v>47</v>
      </c>
      <c r="L562" s="30" t="s">
        <v>81</v>
      </c>
      <c r="M562" s="31" t="n">
        <f aca="false">AVERAGEIF($E$2:$E$1197,E562,$G$2:$G$1197)</f>
        <v>186.056291390729</v>
      </c>
      <c r="N562" s="19" t="str">
        <f aca="false">IF(G562&gt;M562*3,"نعم","لا")</f>
        <v>لا</v>
      </c>
      <c r="O562" s="19" t="str">
        <f aca="false">IF(OR(C562="",ISNUMBER(C562)),"لا","نعم")</f>
        <v>لا</v>
      </c>
      <c r="P562" s="19" t="str">
        <f aca="false">IF(COUNTIF($B$2:B562,B562)&gt;1,"مكرر","فريد")</f>
        <v>فريد</v>
      </c>
      <c r="Q562" s="19" t="str">
        <f aca="false">IF(COUNTBLANK(D562:L562)&gt;0,"نعم","لا")</f>
        <v>لا</v>
      </c>
    </row>
    <row r="563" customFormat="false" ht="15" hidden="false" customHeight="false" outlineLevel="0" collapsed="false">
      <c r="A563" s="19" t="n">
        <v>562</v>
      </c>
      <c r="B563" s="30" t="s">
        <v>692</v>
      </c>
      <c r="C563" s="44" t="n">
        <v>45483</v>
      </c>
      <c r="D563" s="30" t="s">
        <v>54</v>
      </c>
      <c r="E563" s="30" t="s">
        <v>105</v>
      </c>
      <c r="F563" s="30" t="s">
        <v>179</v>
      </c>
      <c r="G563" s="31" t="n">
        <v>3169</v>
      </c>
      <c r="H563" s="19" t="n">
        <v>1</v>
      </c>
      <c r="I563" s="32" t="n">
        <v>0.05</v>
      </c>
      <c r="J563" s="30" t="s">
        <v>55</v>
      </c>
      <c r="K563" s="30" t="s">
        <v>47</v>
      </c>
      <c r="L563" s="30" t="s">
        <v>78</v>
      </c>
      <c r="M563" s="31" t="n">
        <f aca="false">AVERAGEIF($E$2:$E$1197,E563,$G$2:$G$1197)</f>
        <v>2870.26771653543</v>
      </c>
      <c r="N563" s="19" t="str">
        <f aca="false">IF(G563&gt;M563*3,"نعم","لا")</f>
        <v>لا</v>
      </c>
      <c r="O563" s="19" t="str">
        <f aca="false">IF(OR(C563="",ISNUMBER(C563)),"لا","نعم")</f>
        <v>لا</v>
      </c>
      <c r="P563" s="19" t="str">
        <f aca="false">IF(COUNTIF($B$2:B563,B563)&gt;1,"مكرر","فريد")</f>
        <v>فريد</v>
      </c>
      <c r="Q563" s="19" t="str">
        <f aca="false">IF(COUNTBLANK(D563:L563)&gt;0,"نعم","لا")</f>
        <v>لا</v>
      </c>
    </row>
    <row r="564" customFormat="false" ht="15" hidden="false" customHeight="false" outlineLevel="0" collapsed="false">
      <c r="A564" s="19" t="n">
        <v>563</v>
      </c>
      <c r="B564" s="30" t="s">
        <v>1141</v>
      </c>
      <c r="C564" s="44" t="n">
        <v>45616</v>
      </c>
      <c r="D564" s="30" t="s">
        <v>1372</v>
      </c>
      <c r="E564" s="30" t="s">
        <v>111</v>
      </c>
      <c r="F564" s="30" t="s">
        <v>122</v>
      </c>
      <c r="G564" s="31" t="n">
        <v>469</v>
      </c>
      <c r="H564" s="19" t="n">
        <v>2</v>
      </c>
      <c r="I564" s="32" t="n">
        <v>0.05</v>
      </c>
      <c r="J564" s="30" t="s">
        <v>55</v>
      </c>
      <c r="K564" s="30" t="s">
        <v>47</v>
      </c>
      <c r="L564" s="30" t="s">
        <v>94</v>
      </c>
      <c r="M564" s="31" t="n">
        <f aca="false">AVERAGEIF($E$2:$E$1197,E564,$G$2:$G$1197)</f>
        <v>366.306569343066</v>
      </c>
      <c r="N564" s="19" t="str">
        <f aca="false">IF(G564&gt;M564*3,"نعم","لا")</f>
        <v>لا</v>
      </c>
      <c r="O564" s="19" t="str">
        <f aca="false">IF(OR(C564="",ISNUMBER(C564)),"لا","نعم")</f>
        <v>لا</v>
      </c>
      <c r="P564" s="19" t="str">
        <f aca="false">IF(COUNTIF($B$2:B564,B564)&gt;1,"مكرر","فريد")</f>
        <v>فريد</v>
      </c>
      <c r="Q564" s="19" t="str">
        <f aca="false">IF(COUNTBLANK(D564:L564)&gt;0,"نعم","لا")</f>
        <v>لا</v>
      </c>
    </row>
    <row r="565" customFormat="false" ht="15" hidden="false" customHeight="false" outlineLevel="0" collapsed="false">
      <c r="A565" s="19" t="n">
        <v>564</v>
      </c>
      <c r="B565" s="30" t="s">
        <v>395</v>
      </c>
      <c r="C565" s="44" t="n">
        <v>45375</v>
      </c>
      <c r="D565" s="30" t="s">
        <v>46</v>
      </c>
      <c r="E565" s="30" t="s">
        <v>105</v>
      </c>
      <c r="F565" s="30" t="s">
        <v>82</v>
      </c>
      <c r="G565" s="31" t="n">
        <v>4409</v>
      </c>
      <c r="H565" s="19" t="n">
        <v>1</v>
      </c>
      <c r="I565" s="32" t="n">
        <v>0.1</v>
      </c>
      <c r="J565" s="30" t="s">
        <v>52</v>
      </c>
      <c r="K565" s="30" t="s">
        <v>47</v>
      </c>
      <c r="L565" s="30" t="s">
        <v>84</v>
      </c>
      <c r="M565" s="31" t="n">
        <f aca="false">AVERAGEIF($E$2:$E$1197,E565,$G$2:$G$1197)</f>
        <v>2870.26771653543</v>
      </c>
      <c r="N565" s="19" t="str">
        <f aca="false">IF(G565&gt;M565*3,"نعم","لا")</f>
        <v>لا</v>
      </c>
      <c r="O565" s="19" t="str">
        <f aca="false">IF(OR(C565="",ISNUMBER(C565)),"لا","نعم")</f>
        <v>لا</v>
      </c>
      <c r="P565" s="19" t="str">
        <f aca="false">IF(COUNTIF($B$2:B565,B565)&gt;1,"مكرر","فريد")</f>
        <v>مكرر</v>
      </c>
      <c r="Q565" s="19" t="str">
        <f aca="false">IF(COUNTBLANK(D565:L565)&gt;0,"نعم","لا")</f>
        <v>لا</v>
      </c>
    </row>
    <row r="566" customFormat="false" ht="15" hidden="false" customHeight="false" outlineLevel="0" collapsed="false">
      <c r="A566" s="19" t="n">
        <v>565</v>
      </c>
      <c r="B566" s="30" t="s">
        <v>1179</v>
      </c>
      <c r="C566" s="44" t="n">
        <v>45625</v>
      </c>
      <c r="D566" s="30" t="s">
        <v>50</v>
      </c>
      <c r="E566" s="30" t="s">
        <v>107</v>
      </c>
      <c r="F566" s="30" t="s">
        <v>184</v>
      </c>
      <c r="G566" s="31" t="n">
        <v>4429</v>
      </c>
      <c r="H566" s="19" t="n">
        <v>2</v>
      </c>
      <c r="I566" s="32" t="n">
        <v>0.15</v>
      </c>
      <c r="J566" s="30" t="s">
        <v>48</v>
      </c>
      <c r="K566" s="30" t="s">
        <v>47</v>
      </c>
      <c r="L566" s="30" t="s">
        <v>76</v>
      </c>
      <c r="M566" s="31" t="n">
        <f aca="false">AVERAGEIF($E$2:$E$1197,E566,$G$2:$G$1197)</f>
        <v>4981.14563106796</v>
      </c>
      <c r="N566" s="19" t="str">
        <f aca="false">IF(G566&gt;M566*3,"نعم","لا")</f>
        <v>لا</v>
      </c>
      <c r="O566" s="19" t="str">
        <f aca="false">IF(OR(C566="",ISNUMBER(C566)),"لا","نعم")</f>
        <v>لا</v>
      </c>
      <c r="P566" s="19" t="str">
        <f aca="false">IF(COUNTIF($B$2:B566,B566)&gt;1,"مكرر","فريد")</f>
        <v>فريد</v>
      </c>
      <c r="Q566" s="19" t="str">
        <f aca="false">IF(COUNTBLANK(D566:L566)&gt;0,"نعم","لا")</f>
        <v>لا</v>
      </c>
    </row>
    <row r="567" customFormat="false" ht="15" hidden="false" customHeight="false" outlineLevel="0" collapsed="false">
      <c r="A567" s="19" t="n">
        <v>566</v>
      </c>
      <c r="B567" s="30" t="s">
        <v>1424</v>
      </c>
      <c r="C567" s="44" t="n">
        <v>45370</v>
      </c>
      <c r="D567" s="30"/>
      <c r="E567" s="30" t="s">
        <v>107</v>
      </c>
      <c r="F567" s="30" t="s">
        <v>114</v>
      </c>
      <c r="G567" s="31" t="n">
        <v>5019</v>
      </c>
      <c r="H567" s="19" t="n">
        <v>2</v>
      </c>
      <c r="I567" s="32" t="n">
        <v>0</v>
      </c>
      <c r="J567" s="30" t="s">
        <v>52</v>
      </c>
      <c r="K567" s="30" t="s">
        <v>47</v>
      </c>
      <c r="L567" s="30" t="s">
        <v>99</v>
      </c>
      <c r="M567" s="31" t="n">
        <f aca="false">AVERAGEIF($E$2:$E$1197,E567,$G$2:$G$1197)</f>
        <v>4981.14563106796</v>
      </c>
      <c r="N567" s="19" t="str">
        <f aca="false">IF(G567&gt;M567*3,"نعم","لا")</f>
        <v>لا</v>
      </c>
      <c r="O567" s="19" t="str">
        <f aca="false">IF(OR(C567="",ISNUMBER(C567)),"لا","نعم")</f>
        <v>لا</v>
      </c>
      <c r="P567" s="19" t="str">
        <f aca="false">IF(COUNTIF($B$2:B567,B567)&gt;1,"مكرر","فريد")</f>
        <v>فريد</v>
      </c>
      <c r="Q567" s="19" t="str">
        <f aca="false">IF(COUNTBLANK(D567:L567)&gt;0,"نعم","لا")</f>
        <v>نعم</v>
      </c>
    </row>
    <row r="568" customFormat="false" ht="15" hidden="false" customHeight="false" outlineLevel="0" collapsed="false">
      <c r="A568" s="19" t="n">
        <v>567</v>
      </c>
      <c r="B568" s="30" t="s">
        <v>251</v>
      </c>
      <c r="C568" s="44" t="n">
        <v>45322</v>
      </c>
      <c r="D568" s="30" t="s">
        <v>1338</v>
      </c>
      <c r="E568" s="30" t="s">
        <v>105</v>
      </c>
      <c r="F568" s="30" t="s">
        <v>90</v>
      </c>
      <c r="G568" s="31" t="n">
        <v>2949</v>
      </c>
      <c r="H568" s="19" t="n">
        <v>3</v>
      </c>
      <c r="I568" s="32" t="n">
        <v>0.1</v>
      </c>
      <c r="J568" s="30" t="s">
        <v>52</v>
      </c>
      <c r="K568" s="30" t="s">
        <v>51</v>
      </c>
      <c r="L568" s="30" t="s">
        <v>89</v>
      </c>
      <c r="M568" s="31" t="n">
        <f aca="false">AVERAGEIF($E$2:$E$1197,E568,$G$2:$G$1197)</f>
        <v>2870.26771653543</v>
      </c>
      <c r="N568" s="19" t="str">
        <f aca="false">IF(G568&gt;M568*3,"نعم","لا")</f>
        <v>لا</v>
      </c>
      <c r="O568" s="19" t="str">
        <f aca="false">IF(OR(C568="",ISNUMBER(C568)),"لا","نعم")</f>
        <v>لا</v>
      </c>
      <c r="P568" s="19" t="str">
        <f aca="false">IF(COUNTIF($B$2:B568,B568)&gt;1,"مكرر","فريد")</f>
        <v>فريد</v>
      </c>
      <c r="Q568" s="19" t="str">
        <f aca="false">IF(COUNTBLANK(D568:L568)&gt;0,"نعم","لا")</f>
        <v>لا</v>
      </c>
    </row>
    <row r="569" customFormat="false" ht="15" hidden="false" customHeight="false" outlineLevel="0" collapsed="false">
      <c r="A569" s="19" t="n">
        <v>568</v>
      </c>
      <c r="B569" s="30" t="s">
        <v>320</v>
      </c>
      <c r="C569" s="44" t="n">
        <v>45349</v>
      </c>
      <c r="D569" s="30" t="s">
        <v>54</v>
      </c>
      <c r="E569" s="30" t="s">
        <v>113</v>
      </c>
      <c r="F569" s="30" t="s">
        <v>95</v>
      </c>
      <c r="G569" s="31" t="n">
        <v>99</v>
      </c>
      <c r="H569" s="19" t="n">
        <v>1</v>
      </c>
      <c r="I569" s="32" t="n">
        <v>0</v>
      </c>
      <c r="J569" s="30" t="s">
        <v>58</v>
      </c>
      <c r="K569" s="30" t="s">
        <v>47</v>
      </c>
      <c r="L569" s="30" t="s">
        <v>94</v>
      </c>
      <c r="M569" s="31" t="n">
        <f aca="false">AVERAGEIF($E$2:$E$1197,E569,$G$2:$G$1197)</f>
        <v>545.358823529412</v>
      </c>
      <c r="N569" s="19" t="str">
        <f aca="false">IF(G569&gt;M569*3,"نعم","لا")</f>
        <v>لا</v>
      </c>
      <c r="O569" s="19" t="str">
        <f aca="false">IF(OR(C569="",ISNUMBER(C569)),"لا","نعم")</f>
        <v>لا</v>
      </c>
      <c r="P569" s="19" t="str">
        <f aca="false">IF(COUNTIF($B$2:B569,B569)&gt;1,"مكرر","فريد")</f>
        <v>فريد</v>
      </c>
      <c r="Q569" s="19" t="str">
        <f aca="false">IF(COUNTBLANK(D569:L569)&gt;0,"نعم","لا")</f>
        <v>لا</v>
      </c>
    </row>
    <row r="570" customFormat="false" ht="15" hidden="false" customHeight="false" outlineLevel="0" collapsed="false">
      <c r="A570" s="19" t="n">
        <v>569</v>
      </c>
      <c r="B570" s="30" t="s">
        <v>1425</v>
      </c>
      <c r="C570" s="30" t="s">
        <v>1426</v>
      </c>
      <c r="D570" s="30" t="s">
        <v>46</v>
      </c>
      <c r="E570" s="30" t="s">
        <v>105</v>
      </c>
      <c r="F570" s="30" t="s">
        <v>90</v>
      </c>
      <c r="G570" s="31" t="n">
        <v>3719</v>
      </c>
      <c r="H570" s="19" t="n">
        <v>1</v>
      </c>
      <c r="I570" s="32" t="n">
        <v>0.05</v>
      </c>
      <c r="J570" s="30" t="s">
        <v>48</v>
      </c>
      <c r="K570" s="30" t="s">
        <v>47</v>
      </c>
      <c r="L570" s="30" t="s">
        <v>94</v>
      </c>
      <c r="M570" s="31" t="n">
        <f aca="false">AVERAGEIF($E$2:$E$1197,E570,$G$2:$G$1197)</f>
        <v>2870.26771653543</v>
      </c>
      <c r="N570" s="19" t="str">
        <f aca="false">IF(G570&gt;M570*3,"نعم","لا")</f>
        <v>لا</v>
      </c>
      <c r="O570" s="19" t="str">
        <f aca="false">IF(OR(C570="",ISNUMBER(C570)),"لا","نعم")</f>
        <v>نعم</v>
      </c>
      <c r="P570" s="19" t="str">
        <f aca="false">IF(COUNTIF($B$2:B570,B570)&gt;1,"مكرر","فريد")</f>
        <v>فريد</v>
      </c>
      <c r="Q570" s="19" t="str">
        <f aca="false">IF(COUNTBLANK(D570:L570)&gt;0,"نعم","لا")</f>
        <v>لا</v>
      </c>
    </row>
    <row r="571" customFormat="false" ht="15" hidden="false" customHeight="false" outlineLevel="0" collapsed="false">
      <c r="A571" s="19" t="n">
        <v>570</v>
      </c>
      <c r="B571" s="30" t="s">
        <v>1280</v>
      </c>
      <c r="C571" s="44" t="n">
        <v>45654</v>
      </c>
      <c r="D571" s="30" t="s">
        <v>60</v>
      </c>
      <c r="E571" s="30" t="s">
        <v>107</v>
      </c>
      <c r="F571" s="30" t="s">
        <v>114</v>
      </c>
      <c r="G571" s="31" t="n">
        <v>2909</v>
      </c>
      <c r="H571" s="19" t="n">
        <v>2</v>
      </c>
      <c r="I571" s="32" t="n">
        <v>0</v>
      </c>
      <c r="J571" s="30" t="s">
        <v>52</v>
      </c>
      <c r="K571" s="30" t="s">
        <v>47</v>
      </c>
      <c r="L571" s="30" t="s">
        <v>92</v>
      </c>
      <c r="M571" s="31" t="n">
        <f aca="false">AVERAGEIF($E$2:$E$1197,E571,$G$2:$G$1197)</f>
        <v>4981.14563106796</v>
      </c>
      <c r="N571" s="19" t="str">
        <f aca="false">IF(G571&gt;M571*3,"نعم","لا")</f>
        <v>لا</v>
      </c>
      <c r="O571" s="19" t="str">
        <f aca="false">IF(OR(C571="",ISNUMBER(C571)),"لا","نعم")</f>
        <v>لا</v>
      </c>
      <c r="P571" s="19" t="str">
        <f aca="false">IF(COUNTIF($B$2:B571,B571)&gt;1,"مكرر","فريد")</f>
        <v>فريد</v>
      </c>
      <c r="Q571" s="19" t="str">
        <f aca="false">IF(COUNTBLANK(D571:L571)&gt;0,"نعم","لا")</f>
        <v>لا</v>
      </c>
    </row>
    <row r="572" customFormat="false" ht="15" hidden="false" customHeight="false" outlineLevel="0" collapsed="false">
      <c r="A572" s="19" t="n">
        <v>571</v>
      </c>
      <c r="B572" s="30" t="s">
        <v>741</v>
      </c>
      <c r="C572" s="44" t="n">
        <v>45498</v>
      </c>
      <c r="D572" s="30" t="s">
        <v>46</v>
      </c>
      <c r="E572" s="30" t="s">
        <v>109</v>
      </c>
      <c r="F572" s="30" t="s">
        <v>175</v>
      </c>
      <c r="G572" s="31" t="n">
        <v>109</v>
      </c>
      <c r="H572" s="19" t="n">
        <v>1</v>
      </c>
      <c r="I572" s="32" t="n">
        <v>0.1</v>
      </c>
      <c r="J572" s="30" t="s">
        <v>52</v>
      </c>
      <c r="K572" s="30" t="s">
        <v>47</v>
      </c>
      <c r="L572" s="30" t="s">
        <v>96</v>
      </c>
      <c r="M572" s="31" t="n">
        <f aca="false">AVERAGEIF($E$2:$E$1197,E572,$G$2:$G$1197)</f>
        <v>186.056291390729</v>
      </c>
      <c r="N572" s="19" t="str">
        <f aca="false">IF(G572&gt;M572*3,"نعم","لا")</f>
        <v>لا</v>
      </c>
      <c r="O572" s="19" t="str">
        <f aca="false">IF(OR(C572="",ISNUMBER(C572)),"لا","نعم")</f>
        <v>لا</v>
      </c>
      <c r="P572" s="19" t="str">
        <f aca="false">IF(COUNTIF($B$2:B572,B572)&gt;1,"مكرر","فريد")</f>
        <v>فريد</v>
      </c>
      <c r="Q572" s="19" t="str">
        <f aca="false">IF(COUNTBLANK(D572:L572)&gt;0,"نعم","لا")</f>
        <v>لا</v>
      </c>
    </row>
    <row r="573" customFormat="false" ht="15" hidden="false" customHeight="false" outlineLevel="0" collapsed="false">
      <c r="A573" s="19" t="n">
        <v>572</v>
      </c>
      <c r="B573" s="30" t="s">
        <v>306</v>
      </c>
      <c r="C573" s="44" t="n">
        <v>45342</v>
      </c>
      <c r="D573" s="30" t="s">
        <v>60</v>
      </c>
      <c r="E573" s="30" t="s">
        <v>107</v>
      </c>
      <c r="F573" s="30" t="s">
        <v>115</v>
      </c>
      <c r="G573" s="31" t="n">
        <v>3779</v>
      </c>
      <c r="H573" s="19" t="n">
        <v>1</v>
      </c>
      <c r="I573" s="32" t="n">
        <v>0.1</v>
      </c>
      <c r="J573" s="30" t="s">
        <v>52</v>
      </c>
      <c r="K573" s="30" t="s">
        <v>47</v>
      </c>
      <c r="L573" s="30" t="s">
        <v>89</v>
      </c>
      <c r="M573" s="31" t="n">
        <f aca="false">AVERAGEIF($E$2:$E$1197,E573,$G$2:$G$1197)</f>
        <v>4981.14563106796</v>
      </c>
      <c r="N573" s="19" t="str">
        <f aca="false">IF(G573&gt;M573*3,"نعم","لا")</f>
        <v>لا</v>
      </c>
      <c r="O573" s="19" t="str">
        <f aca="false">IF(OR(C573="",ISNUMBER(C573)),"لا","نعم")</f>
        <v>لا</v>
      </c>
      <c r="P573" s="19" t="str">
        <f aca="false">IF(COUNTIF($B$2:B573,B573)&gt;1,"مكرر","فريد")</f>
        <v>فريد</v>
      </c>
      <c r="Q573" s="19" t="str">
        <f aca="false">IF(COUNTBLANK(D573:L573)&gt;0,"نعم","لا")</f>
        <v>لا</v>
      </c>
    </row>
    <row r="574" customFormat="false" ht="15" hidden="false" customHeight="false" outlineLevel="0" collapsed="false">
      <c r="A574" s="19" t="n">
        <v>573</v>
      </c>
      <c r="B574" s="30" t="s">
        <v>975</v>
      </c>
      <c r="C574" s="44" t="n">
        <v>45573</v>
      </c>
      <c r="D574" s="30" t="s">
        <v>46</v>
      </c>
      <c r="E574" s="30" t="s">
        <v>113</v>
      </c>
      <c r="F574" s="30" t="s">
        <v>121</v>
      </c>
      <c r="G574" s="31" t="n">
        <v>199</v>
      </c>
      <c r="H574" s="19" t="n">
        <v>1</v>
      </c>
      <c r="I574" s="32" t="n">
        <v>0</v>
      </c>
      <c r="J574" s="30" t="s">
        <v>48</v>
      </c>
      <c r="K574" s="30" t="s">
        <v>47</v>
      </c>
      <c r="L574" s="30" t="s">
        <v>81</v>
      </c>
      <c r="M574" s="31" t="n">
        <f aca="false">AVERAGEIF($E$2:$E$1197,E574,$G$2:$G$1197)</f>
        <v>545.358823529412</v>
      </c>
      <c r="N574" s="19" t="str">
        <f aca="false">IF(G574&gt;M574*3,"نعم","لا")</f>
        <v>لا</v>
      </c>
      <c r="O574" s="19" t="str">
        <f aca="false">IF(OR(C574="",ISNUMBER(C574)),"لا","نعم")</f>
        <v>لا</v>
      </c>
      <c r="P574" s="19" t="str">
        <f aca="false">IF(COUNTIF($B$2:B574,B574)&gt;1,"مكرر","فريد")</f>
        <v>فريد</v>
      </c>
      <c r="Q574" s="19" t="str">
        <f aca="false">IF(COUNTBLANK(D574:L574)&gt;0,"نعم","لا")</f>
        <v>لا</v>
      </c>
    </row>
    <row r="575" customFormat="false" ht="15" hidden="false" customHeight="false" outlineLevel="0" collapsed="false">
      <c r="A575" s="19" t="n">
        <v>574</v>
      </c>
      <c r="B575" s="30" t="s">
        <v>571</v>
      </c>
      <c r="C575" s="44" t="n">
        <v>45438</v>
      </c>
      <c r="D575" s="30" t="s">
        <v>57</v>
      </c>
      <c r="E575" s="30" t="s">
        <v>105</v>
      </c>
      <c r="F575" s="30" t="s">
        <v>85</v>
      </c>
      <c r="G575" s="31" t="n">
        <v>2529</v>
      </c>
      <c r="H575" s="19" t="n">
        <v>2</v>
      </c>
      <c r="I575" s="32" t="n">
        <v>0</v>
      </c>
      <c r="J575" s="30" t="s">
        <v>55</v>
      </c>
      <c r="K575" s="30" t="s">
        <v>51</v>
      </c>
      <c r="L575" s="30" t="s">
        <v>94</v>
      </c>
      <c r="M575" s="31" t="n">
        <f aca="false">AVERAGEIF($E$2:$E$1197,E575,$G$2:$G$1197)</f>
        <v>2870.26771653543</v>
      </c>
      <c r="N575" s="19" t="str">
        <f aca="false">IF(G575&gt;M575*3,"نعم","لا")</f>
        <v>لا</v>
      </c>
      <c r="O575" s="19" t="str">
        <f aca="false">IF(OR(C575="",ISNUMBER(C575)),"لا","نعم")</f>
        <v>لا</v>
      </c>
      <c r="P575" s="19" t="str">
        <f aca="false">IF(COUNTIF($B$2:B575,B575)&gt;1,"مكرر","فريد")</f>
        <v>فريد</v>
      </c>
      <c r="Q575" s="19" t="str">
        <f aca="false">IF(COUNTBLANK(D575:L575)&gt;0,"نعم","لا")</f>
        <v>لا</v>
      </c>
    </row>
    <row r="576" customFormat="false" ht="15" hidden="false" customHeight="false" outlineLevel="0" collapsed="false">
      <c r="A576" s="19" t="n">
        <v>575</v>
      </c>
      <c r="B576" s="30" t="s">
        <v>817</v>
      </c>
      <c r="C576" s="44" t="n">
        <v>45521</v>
      </c>
      <c r="D576" s="30" t="s">
        <v>50</v>
      </c>
      <c r="E576" s="30" t="s">
        <v>109</v>
      </c>
      <c r="F576" s="30" t="s">
        <v>192</v>
      </c>
      <c r="G576" s="31" t="n">
        <v>189</v>
      </c>
      <c r="H576" s="19" t="n">
        <v>1</v>
      </c>
      <c r="I576" s="32" t="n">
        <v>0.1</v>
      </c>
      <c r="J576" s="30" t="s">
        <v>48</v>
      </c>
      <c r="K576" s="30" t="s">
        <v>47</v>
      </c>
      <c r="L576" s="30" t="s">
        <v>92</v>
      </c>
      <c r="M576" s="31" t="n">
        <f aca="false">AVERAGEIF($E$2:$E$1197,E576,$G$2:$G$1197)</f>
        <v>186.056291390729</v>
      </c>
      <c r="N576" s="19" t="str">
        <f aca="false">IF(G576&gt;M576*3,"نعم","لا")</f>
        <v>لا</v>
      </c>
      <c r="O576" s="19" t="str">
        <f aca="false">IF(OR(C576="",ISNUMBER(C576)),"لا","نعم")</f>
        <v>لا</v>
      </c>
      <c r="P576" s="19" t="str">
        <f aca="false">IF(COUNTIF($B$2:B576,B576)&gt;1,"مكرر","فريد")</f>
        <v>فريد</v>
      </c>
      <c r="Q576" s="19" t="str">
        <f aca="false">IF(COUNTBLANK(D576:L576)&gt;0,"نعم","لا")</f>
        <v>لا</v>
      </c>
    </row>
    <row r="577" customFormat="false" ht="15" hidden="false" customHeight="false" outlineLevel="0" collapsed="false">
      <c r="A577" s="19" t="n">
        <v>576</v>
      </c>
      <c r="B577" s="30" t="s">
        <v>665</v>
      </c>
      <c r="C577" s="44" t="n">
        <v>45473</v>
      </c>
      <c r="D577" s="30" t="s">
        <v>57</v>
      </c>
      <c r="E577" s="30" t="s">
        <v>107</v>
      </c>
      <c r="F577" s="30" t="s">
        <v>272</v>
      </c>
      <c r="G577" s="31" t="n">
        <v>5589</v>
      </c>
      <c r="H577" s="19" t="n">
        <v>8</v>
      </c>
      <c r="I577" s="32" t="n">
        <v>0</v>
      </c>
      <c r="J577" s="30" t="s">
        <v>48</v>
      </c>
      <c r="K577" s="30" t="s">
        <v>51</v>
      </c>
      <c r="L577" s="30" t="s">
        <v>84</v>
      </c>
      <c r="M577" s="31" t="n">
        <f aca="false">AVERAGEIF($E$2:$E$1197,E577,$G$2:$G$1197)</f>
        <v>4981.14563106796</v>
      </c>
      <c r="N577" s="19" t="str">
        <f aca="false">IF(G577&gt;M577*3,"نعم","لا")</f>
        <v>لا</v>
      </c>
      <c r="O577" s="19" t="str">
        <f aca="false">IF(OR(C577="",ISNUMBER(C577)),"لا","نعم")</f>
        <v>لا</v>
      </c>
      <c r="P577" s="19" t="str">
        <f aca="false">IF(COUNTIF($B$2:B577,B577)&gt;1,"مكرر","فريد")</f>
        <v>فريد</v>
      </c>
      <c r="Q577" s="19" t="str">
        <f aca="false">IF(COUNTBLANK(D577:L577)&gt;0,"نعم","لا")</f>
        <v>لا</v>
      </c>
    </row>
    <row r="578" customFormat="false" ht="15" hidden="false" customHeight="false" outlineLevel="0" collapsed="false">
      <c r="A578" s="19" t="n">
        <v>577</v>
      </c>
      <c r="B578" s="30" t="s">
        <v>1016</v>
      </c>
      <c r="C578" s="44" t="n">
        <v>45588</v>
      </c>
      <c r="D578" s="30" t="s">
        <v>57</v>
      </c>
      <c r="E578" s="30" t="s">
        <v>109</v>
      </c>
      <c r="F578" s="30" t="s">
        <v>192</v>
      </c>
      <c r="G578" s="31" t="n">
        <v>109</v>
      </c>
      <c r="H578" s="19" t="n">
        <v>5</v>
      </c>
      <c r="I578" s="32" t="n">
        <v>0.05</v>
      </c>
      <c r="J578" s="30" t="s">
        <v>48</v>
      </c>
      <c r="K578" s="30" t="s">
        <v>51</v>
      </c>
      <c r="L578" s="30" t="s">
        <v>99</v>
      </c>
      <c r="M578" s="31" t="n">
        <f aca="false">AVERAGEIF($E$2:$E$1197,E578,$G$2:$G$1197)</f>
        <v>186.056291390729</v>
      </c>
      <c r="N578" s="19" t="str">
        <f aca="false">IF(G578&gt;M578*3,"نعم","لا")</f>
        <v>لا</v>
      </c>
      <c r="O578" s="19" t="str">
        <f aca="false">IF(OR(C578="",ISNUMBER(C578)),"لا","نعم")</f>
        <v>لا</v>
      </c>
      <c r="P578" s="19" t="str">
        <f aca="false">IF(COUNTIF($B$2:B578,B578)&gt;1,"مكرر","فريد")</f>
        <v>فريد</v>
      </c>
      <c r="Q578" s="19" t="str">
        <f aca="false">IF(COUNTBLANK(D578:L578)&gt;0,"نعم","لا")</f>
        <v>لا</v>
      </c>
    </row>
    <row r="579" customFormat="false" ht="15" hidden="false" customHeight="false" outlineLevel="0" collapsed="false">
      <c r="A579" s="19" t="n">
        <v>578</v>
      </c>
      <c r="B579" s="30" t="s">
        <v>664</v>
      </c>
      <c r="C579" s="44" t="n">
        <v>45473</v>
      </c>
      <c r="D579" s="30" t="s">
        <v>50</v>
      </c>
      <c r="E579" s="30" t="s">
        <v>107</v>
      </c>
      <c r="F579" s="30" t="s">
        <v>272</v>
      </c>
      <c r="G579" s="31" t="n">
        <v>6469</v>
      </c>
      <c r="H579" s="19" t="n">
        <v>2</v>
      </c>
      <c r="I579" s="32" t="n">
        <v>0.15</v>
      </c>
      <c r="J579" s="30" t="s">
        <v>58</v>
      </c>
      <c r="K579" s="30" t="s">
        <v>47</v>
      </c>
      <c r="L579" s="30" t="s">
        <v>99</v>
      </c>
      <c r="M579" s="31" t="n">
        <f aca="false">AVERAGEIF($E$2:$E$1197,E579,$G$2:$G$1197)</f>
        <v>4981.14563106796</v>
      </c>
      <c r="N579" s="19" t="str">
        <f aca="false">IF(G579&gt;M579*3,"نعم","لا")</f>
        <v>لا</v>
      </c>
      <c r="O579" s="19" t="str">
        <f aca="false">IF(OR(C579="",ISNUMBER(C579)),"لا","نعم")</f>
        <v>لا</v>
      </c>
      <c r="P579" s="19" t="str">
        <f aca="false">IF(COUNTIF($B$2:B579,B579)&gt;1,"مكرر","فريد")</f>
        <v>فريد</v>
      </c>
      <c r="Q579" s="19" t="str">
        <f aca="false">IF(COUNTBLANK(D579:L579)&gt;0,"نعم","لا")</f>
        <v>لا</v>
      </c>
    </row>
    <row r="580" customFormat="false" ht="15" hidden="false" customHeight="false" outlineLevel="0" collapsed="false">
      <c r="A580" s="19" t="n">
        <v>579</v>
      </c>
      <c r="B580" s="30" t="s">
        <v>995</v>
      </c>
      <c r="C580" s="44" t="n">
        <v>45581</v>
      </c>
      <c r="D580" s="30" t="s">
        <v>46</v>
      </c>
      <c r="E580" s="30" t="s">
        <v>107</v>
      </c>
      <c r="F580" s="30" t="s">
        <v>272</v>
      </c>
      <c r="G580" s="31" t="n">
        <v>6569</v>
      </c>
      <c r="H580" s="19" t="n">
        <v>2</v>
      </c>
      <c r="I580" s="32" t="n">
        <v>0</v>
      </c>
      <c r="J580" s="30" t="s">
        <v>52</v>
      </c>
      <c r="K580" s="30" t="s">
        <v>47</v>
      </c>
      <c r="L580" s="30" t="s">
        <v>81</v>
      </c>
      <c r="M580" s="31" t="n">
        <f aca="false">AVERAGEIF($E$2:$E$1197,E580,$G$2:$G$1197)</f>
        <v>4981.14563106796</v>
      </c>
      <c r="N580" s="19" t="str">
        <f aca="false">IF(G580&gt;M580*3,"نعم","لا")</f>
        <v>لا</v>
      </c>
      <c r="O580" s="19" t="str">
        <f aca="false">IF(OR(C580="",ISNUMBER(C580)),"لا","نعم")</f>
        <v>لا</v>
      </c>
      <c r="P580" s="19" t="str">
        <f aca="false">IF(COUNTIF($B$2:B580,B580)&gt;1,"مكرر","فريد")</f>
        <v>فريد</v>
      </c>
      <c r="Q580" s="19" t="str">
        <f aca="false">IF(COUNTBLANK(D580:L580)&gt;0,"نعم","لا")</f>
        <v>لا</v>
      </c>
    </row>
    <row r="581" customFormat="false" ht="15" hidden="false" customHeight="false" outlineLevel="0" collapsed="false">
      <c r="A581" s="19" t="n">
        <v>580</v>
      </c>
      <c r="B581" s="30" t="s">
        <v>510</v>
      </c>
      <c r="C581" s="30" t="s">
        <v>1427</v>
      </c>
      <c r="D581" s="30" t="s">
        <v>46</v>
      </c>
      <c r="E581" s="30" t="s">
        <v>109</v>
      </c>
      <c r="F581" s="30" t="s">
        <v>171</v>
      </c>
      <c r="G581" s="31" t="n">
        <v>279</v>
      </c>
      <c r="H581" s="19" t="n">
        <v>6</v>
      </c>
      <c r="I581" s="32" t="n">
        <v>0</v>
      </c>
      <c r="J581" s="30" t="s">
        <v>52</v>
      </c>
      <c r="K581" s="30" t="s">
        <v>51</v>
      </c>
      <c r="L581" s="30" t="s">
        <v>94</v>
      </c>
      <c r="M581" s="31" t="n">
        <f aca="false">AVERAGEIF($E$2:$E$1197,E581,$G$2:$G$1197)</f>
        <v>186.056291390729</v>
      </c>
      <c r="N581" s="19" t="str">
        <f aca="false">IF(G581&gt;M581*3,"نعم","لا")</f>
        <v>لا</v>
      </c>
      <c r="O581" s="19" t="str">
        <f aca="false">IF(OR(C581="",ISNUMBER(C581)),"لا","نعم")</f>
        <v>نعم</v>
      </c>
      <c r="P581" s="19" t="str">
        <f aca="false">IF(COUNTIF($B$2:B581,B581)&gt;1,"مكرر","فريد")</f>
        <v>فريد</v>
      </c>
      <c r="Q581" s="19" t="str">
        <f aca="false">IF(COUNTBLANK(D581:L581)&gt;0,"نعم","لا")</f>
        <v>لا</v>
      </c>
    </row>
    <row r="582" customFormat="false" ht="15" hidden="false" customHeight="false" outlineLevel="0" collapsed="false">
      <c r="A582" s="19" t="n">
        <v>581</v>
      </c>
      <c r="B582" s="30" t="s">
        <v>548</v>
      </c>
      <c r="C582" s="30" t="s">
        <v>1428</v>
      </c>
      <c r="D582" s="30" t="s">
        <v>46</v>
      </c>
      <c r="E582" s="30" t="s">
        <v>105</v>
      </c>
      <c r="F582" s="30" t="s">
        <v>90</v>
      </c>
      <c r="G582" s="31" t="n">
        <v>3879</v>
      </c>
      <c r="H582" s="19" t="n">
        <v>4</v>
      </c>
      <c r="I582" s="32" t="n">
        <v>0</v>
      </c>
      <c r="J582" s="30" t="s">
        <v>48</v>
      </c>
      <c r="K582" s="30" t="s">
        <v>51</v>
      </c>
      <c r="L582" s="30" t="s">
        <v>89</v>
      </c>
      <c r="M582" s="31" t="n">
        <f aca="false">AVERAGEIF($E$2:$E$1197,E582,$G$2:$G$1197)</f>
        <v>2870.26771653543</v>
      </c>
      <c r="N582" s="19" t="str">
        <f aca="false">IF(G582&gt;M582*3,"نعم","لا")</f>
        <v>لا</v>
      </c>
      <c r="O582" s="19" t="str">
        <f aca="false">IF(OR(C582="",ISNUMBER(C582)),"لا","نعم")</f>
        <v>نعم</v>
      </c>
      <c r="P582" s="19" t="str">
        <f aca="false">IF(COUNTIF($B$2:B582,B582)&gt;1,"مكرر","فريد")</f>
        <v>فريد</v>
      </c>
      <c r="Q582" s="19" t="str">
        <f aca="false">IF(COUNTBLANK(D582:L582)&gt;0,"نعم","لا")</f>
        <v>لا</v>
      </c>
    </row>
    <row r="583" customFormat="false" ht="15" hidden="false" customHeight="false" outlineLevel="0" collapsed="false">
      <c r="A583" s="19" t="n">
        <v>582</v>
      </c>
      <c r="B583" s="30" t="s">
        <v>168</v>
      </c>
      <c r="C583" s="44" t="n">
        <v>45292</v>
      </c>
      <c r="D583" s="30" t="s">
        <v>57</v>
      </c>
      <c r="E583" s="30" t="s">
        <v>105</v>
      </c>
      <c r="F583" s="30" t="s">
        <v>85</v>
      </c>
      <c r="G583" s="31" t="n">
        <v>1509</v>
      </c>
      <c r="H583" s="19" t="n">
        <v>1</v>
      </c>
      <c r="I583" s="32" t="n">
        <v>0</v>
      </c>
      <c r="J583" s="30" t="s">
        <v>48</v>
      </c>
      <c r="K583" s="30" t="s">
        <v>47</v>
      </c>
      <c r="L583" s="30" t="s">
        <v>81</v>
      </c>
      <c r="M583" s="31" t="n">
        <f aca="false">AVERAGEIF($E$2:$E$1197,E583,$G$2:$G$1197)</f>
        <v>2870.26771653543</v>
      </c>
      <c r="N583" s="19" t="str">
        <f aca="false">IF(G583&gt;M583*3,"نعم","لا")</f>
        <v>لا</v>
      </c>
      <c r="O583" s="19" t="str">
        <f aca="false">IF(OR(C583="",ISNUMBER(C583)),"لا","نعم")</f>
        <v>لا</v>
      </c>
      <c r="P583" s="19" t="str">
        <f aca="false">IF(COUNTIF($B$2:B583,B583)&gt;1,"مكرر","فريد")</f>
        <v>فريد</v>
      </c>
      <c r="Q583" s="19" t="str">
        <f aca="false">IF(COUNTBLANK(D583:L583)&gt;0,"نعم","لا")</f>
        <v>لا</v>
      </c>
    </row>
    <row r="584" customFormat="false" ht="15" hidden="false" customHeight="false" outlineLevel="0" collapsed="false">
      <c r="A584" s="19" t="n">
        <v>583</v>
      </c>
      <c r="B584" s="30" t="s">
        <v>522</v>
      </c>
      <c r="C584" s="44" t="n">
        <v>45422</v>
      </c>
      <c r="D584" s="30" t="s">
        <v>60</v>
      </c>
      <c r="E584" s="30" t="s">
        <v>105</v>
      </c>
      <c r="F584" s="30" t="s">
        <v>82</v>
      </c>
      <c r="G584" s="31" t="n">
        <v>2499</v>
      </c>
      <c r="H584" s="19" t="n">
        <v>1</v>
      </c>
      <c r="I584" s="32" t="n">
        <v>0</v>
      </c>
      <c r="J584" s="30" t="s">
        <v>55</v>
      </c>
      <c r="K584" s="30" t="s">
        <v>47</v>
      </c>
      <c r="L584" s="30" t="s">
        <v>76</v>
      </c>
      <c r="M584" s="31" t="n">
        <f aca="false">AVERAGEIF($E$2:$E$1197,E584,$G$2:$G$1197)</f>
        <v>2870.26771653543</v>
      </c>
      <c r="N584" s="19" t="str">
        <f aca="false">IF(G584&gt;M584*3,"نعم","لا")</f>
        <v>لا</v>
      </c>
      <c r="O584" s="19" t="str">
        <f aca="false">IF(OR(C584="",ISNUMBER(C584)),"لا","نعم")</f>
        <v>لا</v>
      </c>
      <c r="P584" s="19" t="str">
        <f aca="false">IF(COUNTIF($B$2:B584,B584)&gt;1,"مكرر","فريد")</f>
        <v>فريد</v>
      </c>
      <c r="Q584" s="19" t="str">
        <f aca="false">IF(COUNTBLANK(D584:L584)&gt;0,"نعم","لا")</f>
        <v>لا</v>
      </c>
    </row>
    <row r="585" customFormat="false" ht="15" hidden="false" customHeight="false" outlineLevel="0" collapsed="false">
      <c r="A585" s="19" t="n">
        <v>584</v>
      </c>
      <c r="B585" s="30" t="s">
        <v>1281</v>
      </c>
      <c r="C585" s="44" t="n">
        <v>45654</v>
      </c>
      <c r="D585" s="30" t="s">
        <v>46</v>
      </c>
      <c r="E585" s="30" t="s">
        <v>109</v>
      </c>
      <c r="F585" s="30" t="s">
        <v>93</v>
      </c>
      <c r="G585" s="31" t="n">
        <v>159</v>
      </c>
      <c r="H585" s="19" t="n">
        <v>2</v>
      </c>
      <c r="I585" s="32" t="n">
        <v>0.05</v>
      </c>
      <c r="J585" s="30" t="s">
        <v>58</v>
      </c>
      <c r="K585" s="30" t="s">
        <v>47</v>
      </c>
      <c r="L585" s="30" t="s">
        <v>86</v>
      </c>
      <c r="M585" s="31" t="n">
        <f aca="false">AVERAGEIF($E$2:$E$1197,E585,$G$2:$G$1197)</f>
        <v>186.056291390729</v>
      </c>
      <c r="N585" s="19" t="str">
        <f aca="false">IF(G585&gt;M585*3,"نعم","لا")</f>
        <v>لا</v>
      </c>
      <c r="O585" s="19" t="str">
        <f aca="false">IF(OR(C585="",ISNUMBER(C585)),"لا","نعم")</f>
        <v>لا</v>
      </c>
      <c r="P585" s="19" t="str">
        <f aca="false">IF(COUNTIF($B$2:B585,B585)&gt;1,"مكرر","فريد")</f>
        <v>فريد</v>
      </c>
      <c r="Q585" s="19" t="str">
        <f aca="false">IF(COUNTBLANK(D585:L585)&gt;0,"نعم","لا")</f>
        <v>لا</v>
      </c>
    </row>
    <row r="586" customFormat="false" ht="15" hidden="false" customHeight="false" outlineLevel="0" collapsed="false">
      <c r="A586" s="19" t="n">
        <v>585</v>
      </c>
      <c r="B586" s="30" t="s">
        <v>637</v>
      </c>
      <c r="C586" s="44" t="n">
        <v>45464</v>
      </c>
      <c r="D586" s="30" t="s">
        <v>54</v>
      </c>
      <c r="E586" s="30" t="s">
        <v>105</v>
      </c>
      <c r="F586" s="30" t="s">
        <v>1429</v>
      </c>
      <c r="G586" s="31" t="n">
        <v>2049</v>
      </c>
      <c r="H586" s="19" t="n">
        <v>3</v>
      </c>
      <c r="I586" s="32" t="n">
        <v>0.1</v>
      </c>
      <c r="J586" s="30" t="s">
        <v>52</v>
      </c>
      <c r="K586" s="30" t="s">
        <v>47</v>
      </c>
      <c r="L586" s="30" t="s">
        <v>84</v>
      </c>
      <c r="M586" s="31" t="n">
        <f aca="false">AVERAGEIF($E$2:$E$1197,E586,$G$2:$G$1197)</f>
        <v>2870.26771653543</v>
      </c>
      <c r="N586" s="19" t="str">
        <f aca="false">IF(G586&gt;M586*3,"نعم","لا")</f>
        <v>لا</v>
      </c>
      <c r="O586" s="19" t="str">
        <f aca="false">IF(OR(C586="",ISNUMBER(C586)),"لا","نعم")</f>
        <v>لا</v>
      </c>
      <c r="P586" s="19" t="str">
        <f aca="false">IF(COUNTIF($B$2:B586,B586)&gt;1,"مكرر","فريد")</f>
        <v>فريد</v>
      </c>
      <c r="Q586" s="19" t="str">
        <f aca="false">IF(COUNTBLANK(D586:L586)&gt;0,"نعم","لا")</f>
        <v>لا</v>
      </c>
    </row>
    <row r="587" customFormat="false" ht="15" hidden="false" customHeight="false" outlineLevel="0" collapsed="false">
      <c r="A587" s="19" t="n">
        <v>586</v>
      </c>
      <c r="B587" s="30" t="s">
        <v>920</v>
      </c>
      <c r="C587" s="44" t="n">
        <v>45554</v>
      </c>
      <c r="D587" s="30" t="s">
        <v>54</v>
      </c>
      <c r="E587" s="30" t="s">
        <v>113</v>
      </c>
      <c r="F587" s="30" t="s">
        <v>95</v>
      </c>
      <c r="G587" s="31" t="n">
        <v>509</v>
      </c>
      <c r="H587" s="19" t="n">
        <v>3</v>
      </c>
      <c r="I587" s="32" t="n">
        <v>0.05</v>
      </c>
      <c r="J587" s="30" t="s">
        <v>48</v>
      </c>
      <c r="K587" s="30" t="s">
        <v>47</v>
      </c>
      <c r="L587" s="30" t="s">
        <v>86</v>
      </c>
      <c r="M587" s="31" t="n">
        <f aca="false">AVERAGEIF($E$2:$E$1197,E587,$G$2:$G$1197)</f>
        <v>545.358823529412</v>
      </c>
      <c r="N587" s="19" t="str">
        <f aca="false">IF(G587&gt;M587*3,"نعم","لا")</f>
        <v>لا</v>
      </c>
      <c r="O587" s="19" t="str">
        <f aca="false">IF(OR(C587="",ISNUMBER(C587)),"لا","نعم")</f>
        <v>لا</v>
      </c>
      <c r="P587" s="19" t="str">
        <f aca="false">IF(COUNTIF($B$2:B587,B587)&gt;1,"مكرر","فريد")</f>
        <v>فريد</v>
      </c>
      <c r="Q587" s="19" t="str">
        <f aca="false">IF(COUNTBLANK(D587:L587)&gt;0,"نعم","لا")</f>
        <v>لا</v>
      </c>
    </row>
    <row r="588" customFormat="false" ht="15" hidden="false" customHeight="false" outlineLevel="0" collapsed="false">
      <c r="A588" s="19" t="n">
        <v>587</v>
      </c>
      <c r="B588" s="30" t="s">
        <v>646</v>
      </c>
      <c r="C588" s="44" t="n">
        <v>45466</v>
      </c>
      <c r="D588" s="30" t="s">
        <v>1353</v>
      </c>
      <c r="E588" s="30" t="s">
        <v>109</v>
      </c>
      <c r="F588" s="30" t="s">
        <v>192</v>
      </c>
      <c r="G588" s="31" t="n">
        <v>249</v>
      </c>
      <c r="H588" s="19" t="n">
        <v>2</v>
      </c>
      <c r="I588" s="32" t="n">
        <v>0</v>
      </c>
      <c r="J588" s="30" t="s">
        <v>48</v>
      </c>
      <c r="K588" s="30" t="s">
        <v>47</v>
      </c>
      <c r="L588" s="30" t="s">
        <v>81</v>
      </c>
      <c r="M588" s="31" t="n">
        <f aca="false">AVERAGEIF($E$2:$E$1197,E588,$G$2:$G$1197)</f>
        <v>186.056291390729</v>
      </c>
      <c r="N588" s="19" t="str">
        <f aca="false">IF(G588&gt;M588*3,"نعم","لا")</f>
        <v>لا</v>
      </c>
      <c r="O588" s="19" t="str">
        <f aca="false">IF(OR(C588="",ISNUMBER(C588)),"لا","نعم")</f>
        <v>لا</v>
      </c>
      <c r="P588" s="19" t="str">
        <f aca="false">IF(COUNTIF($B$2:B588,B588)&gt;1,"مكرر","فريد")</f>
        <v>مكرر</v>
      </c>
      <c r="Q588" s="19" t="str">
        <f aca="false">IF(COUNTBLANK(D588:L588)&gt;0,"نعم","لا")</f>
        <v>لا</v>
      </c>
    </row>
    <row r="589" customFormat="false" ht="15" hidden="false" customHeight="false" outlineLevel="0" collapsed="false">
      <c r="A589" s="19" t="n">
        <v>588</v>
      </c>
      <c r="B589" s="30" t="s">
        <v>341</v>
      </c>
      <c r="C589" s="30" t="s">
        <v>1430</v>
      </c>
      <c r="D589" s="30" t="s">
        <v>60</v>
      </c>
      <c r="E589" s="30" t="s">
        <v>107</v>
      </c>
      <c r="F589" s="30" t="s">
        <v>184</v>
      </c>
      <c r="G589" s="31" t="n">
        <v>4149</v>
      </c>
      <c r="H589" s="19" t="n">
        <v>1</v>
      </c>
      <c r="I589" s="32" t="n">
        <v>0.05</v>
      </c>
      <c r="J589" s="30" t="s">
        <v>52</v>
      </c>
      <c r="K589" s="30" t="s">
        <v>47</v>
      </c>
      <c r="L589" s="30" t="s">
        <v>89</v>
      </c>
      <c r="M589" s="31" t="n">
        <f aca="false">AVERAGEIF($E$2:$E$1197,E589,$G$2:$G$1197)</f>
        <v>4981.14563106796</v>
      </c>
      <c r="N589" s="19" t="str">
        <f aca="false">IF(G589&gt;M589*3,"نعم","لا")</f>
        <v>لا</v>
      </c>
      <c r="O589" s="19" t="str">
        <f aca="false">IF(OR(C589="",ISNUMBER(C589)),"لا","نعم")</f>
        <v>نعم</v>
      </c>
      <c r="P589" s="19" t="str">
        <f aca="false">IF(COUNTIF($B$2:B589,B589)&gt;1,"مكرر","فريد")</f>
        <v>فريد</v>
      </c>
      <c r="Q589" s="19" t="str">
        <f aca="false">IF(COUNTBLANK(D589:L589)&gt;0,"نعم","لا")</f>
        <v>لا</v>
      </c>
    </row>
    <row r="590" customFormat="false" ht="15" hidden="false" customHeight="false" outlineLevel="0" collapsed="false">
      <c r="A590" s="19" t="n">
        <v>589</v>
      </c>
      <c r="B590" s="30" t="s">
        <v>612</v>
      </c>
      <c r="C590" s="44" t="n">
        <v>45455</v>
      </c>
      <c r="D590" s="30" t="s">
        <v>60</v>
      </c>
      <c r="E590" s="30" t="s">
        <v>105</v>
      </c>
      <c r="F590" s="30" t="s">
        <v>179</v>
      </c>
      <c r="G590" s="31" t="n">
        <v>1889</v>
      </c>
      <c r="H590" s="19" t="n">
        <v>1</v>
      </c>
      <c r="I590" s="32" t="n">
        <v>0</v>
      </c>
      <c r="J590" s="30" t="s">
        <v>58</v>
      </c>
      <c r="K590" s="30" t="s">
        <v>47</v>
      </c>
      <c r="L590" s="30" t="s">
        <v>94</v>
      </c>
      <c r="M590" s="31" t="n">
        <f aca="false">AVERAGEIF($E$2:$E$1197,E590,$G$2:$G$1197)</f>
        <v>2870.26771653543</v>
      </c>
      <c r="N590" s="19" t="str">
        <f aca="false">IF(G590&gt;M590*3,"نعم","لا")</f>
        <v>لا</v>
      </c>
      <c r="O590" s="19" t="str">
        <f aca="false">IF(OR(C590="",ISNUMBER(C590)),"لا","نعم")</f>
        <v>لا</v>
      </c>
      <c r="P590" s="19" t="str">
        <f aca="false">IF(COUNTIF($B$2:B590,B590)&gt;1,"مكرر","فريد")</f>
        <v>فريد</v>
      </c>
      <c r="Q590" s="19" t="str">
        <f aca="false">IF(COUNTBLANK(D590:L590)&gt;0,"نعم","لا")</f>
        <v>لا</v>
      </c>
    </row>
    <row r="591" customFormat="false" ht="15" hidden="false" customHeight="false" outlineLevel="0" collapsed="false">
      <c r="A591" s="19" t="n">
        <v>590</v>
      </c>
      <c r="B591" s="30" t="s">
        <v>296</v>
      </c>
      <c r="C591" s="44" t="n">
        <v>45338</v>
      </c>
      <c r="D591" s="30" t="s">
        <v>57</v>
      </c>
      <c r="E591" s="30" t="s">
        <v>111</v>
      </c>
      <c r="F591" s="30" t="s">
        <v>108</v>
      </c>
      <c r="G591" s="31" t="n">
        <v>199</v>
      </c>
      <c r="H591" s="19" t="n">
        <v>1</v>
      </c>
      <c r="I591" s="32" t="n">
        <v>0.2</v>
      </c>
      <c r="J591" s="30" t="s">
        <v>48</v>
      </c>
      <c r="K591" s="30" t="s">
        <v>47</v>
      </c>
      <c r="L591" s="30" t="s">
        <v>99</v>
      </c>
      <c r="M591" s="31" t="n">
        <f aca="false">AVERAGEIF($E$2:$E$1197,E591,$G$2:$G$1197)</f>
        <v>366.306569343066</v>
      </c>
      <c r="N591" s="19" t="str">
        <f aca="false">IF(G591&gt;M591*3,"نعم","لا")</f>
        <v>لا</v>
      </c>
      <c r="O591" s="19" t="str">
        <f aca="false">IF(OR(C591="",ISNUMBER(C591)),"لا","نعم")</f>
        <v>لا</v>
      </c>
      <c r="P591" s="19" t="str">
        <f aca="false">IF(COUNTIF($B$2:B591,B591)&gt;1,"مكرر","فريد")</f>
        <v>فريد</v>
      </c>
      <c r="Q591" s="19" t="str">
        <f aca="false">IF(COUNTBLANK(D591:L591)&gt;0,"نعم","لا")</f>
        <v>لا</v>
      </c>
    </row>
    <row r="592" customFormat="false" ht="15" hidden="false" customHeight="false" outlineLevel="0" collapsed="false">
      <c r="A592" s="19" t="n">
        <v>591</v>
      </c>
      <c r="B592" s="30" t="s">
        <v>789</v>
      </c>
      <c r="C592" s="44" t="n">
        <v>45513</v>
      </c>
      <c r="D592" s="30" t="s">
        <v>46</v>
      </c>
      <c r="E592" s="30" t="s">
        <v>111</v>
      </c>
      <c r="F592" s="30" t="s">
        <v>122</v>
      </c>
      <c r="G592" s="31" t="n">
        <v>119</v>
      </c>
      <c r="H592" s="19" t="n">
        <v>2</v>
      </c>
      <c r="I592" s="32" t="n">
        <v>0.15</v>
      </c>
      <c r="J592" s="30" t="s">
        <v>48</v>
      </c>
      <c r="K592" s="30" t="s">
        <v>51</v>
      </c>
      <c r="L592" s="30" t="s">
        <v>89</v>
      </c>
      <c r="M592" s="31" t="n">
        <f aca="false">AVERAGEIF($E$2:$E$1197,E592,$G$2:$G$1197)</f>
        <v>366.306569343066</v>
      </c>
      <c r="N592" s="19" t="str">
        <f aca="false">IF(G592&gt;M592*3,"نعم","لا")</f>
        <v>لا</v>
      </c>
      <c r="O592" s="19" t="str">
        <f aca="false">IF(OR(C592="",ISNUMBER(C592)),"لا","نعم")</f>
        <v>لا</v>
      </c>
      <c r="P592" s="19" t="str">
        <f aca="false">IF(COUNTIF($B$2:B592,B592)&gt;1,"مكرر","فريد")</f>
        <v>فريد</v>
      </c>
      <c r="Q592" s="19" t="str">
        <f aca="false">IF(COUNTBLANK(D592:L592)&gt;0,"نعم","لا")</f>
        <v>لا</v>
      </c>
    </row>
    <row r="593" customFormat="false" ht="15" hidden="false" customHeight="false" outlineLevel="0" collapsed="false">
      <c r="A593" s="19" t="n">
        <v>592</v>
      </c>
      <c r="B593" s="30" t="s">
        <v>691</v>
      </c>
      <c r="C593" s="44" t="n">
        <v>45482</v>
      </c>
      <c r="D593" s="30" t="s">
        <v>46</v>
      </c>
      <c r="E593" s="30" t="s">
        <v>105</v>
      </c>
      <c r="F593" s="30" t="s">
        <v>90</v>
      </c>
      <c r="G593" s="31" t="n">
        <v>4379</v>
      </c>
      <c r="H593" s="19" t="n">
        <v>2</v>
      </c>
      <c r="I593" s="32" t="n">
        <v>0.2</v>
      </c>
      <c r="J593" s="30" t="s">
        <v>48</v>
      </c>
      <c r="K593" s="30" t="s">
        <v>47</v>
      </c>
      <c r="L593" s="30" t="s">
        <v>89</v>
      </c>
      <c r="M593" s="31" t="n">
        <f aca="false">AVERAGEIF($E$2:$E$1197,E593,$G$2:$G$1197)</f>
        <v>2870.26771653543</v>
      </c>
      <c r="N593" s="19" t="str">
        <f aca="false">IF(G593&gt;M593*3,"نعم","لا")</f>
        <v>لا</v>
      </c>
      <c r="O593" s="19" t="str">
        <f aca="false">IF(OR(C593="",ISNUMBER(C593)),"لا","نعم")</f>
        <v>لا</v>
      </c>
      <c r="P593" s="19" t="str">
        <f aca="false">IF(COUNTIF($B$2:B593,B593)&gt;1,"مكرر","فريد")</f>
        <v>فريد</v>
      </c>
      <c r="Q593" s="19" t="str">
        <f aca="false">IF(COUNTBLANK(D593:L593)&gt;0,"نعم","لا")</f>
        <v>لا</v>
      </c>
    </row>
    <row r="594" customFormat="false" ht="15" hidden="false" customHeight="false" outlineLevel="0" collapsed="false">
      <c r="A594" s="19" t="n">
        <v>593</v>
      </c>
      <c r="B594" s="30" t="s">
        <v>260</v>
      </c>
      <c r="C594" s="44" t="n">
        <v>45326</v>
      </c>
      <c r="D594" s="30" t="s">
        <v>50</v>
      </c>
      <c r="E594" s="30" t="s">
        <v>113</v>
      </c>
      <c r="F594" s="30" t="s">
        <v>121</v>
      </c>
      <c r="G594" s="31" t="n">
        <v>669</v>
      </c>
      <c r="H594" s="19" t="n">
        <v>2</v>
      </c>
      <c r="I594" s="32" t="n">
        <v>0.1</v>
      </c>
      <c r="J594" s="30" t="s">
        <v>52</v>
      </c>
      <c r="K594" s="30" t="s">
        <v>47</v>
      </c>
      <c r="L594" s="30" t="s">
        <v>92</v>
      </c>
      <c r="M594" s="31" t="n">
        <f aca="false">AVERAGEIF($E$2:$E$1197,E594,$G$2:$G$1197)</f>
        <v>545.358823529412</v>
      </c>
      <c r="N594" s="19" t="str">
        <f aca="false">IF(G594&gt;M594*3,"نعم","لا")</f>
        <v>لا</v>
      </c>
      <c r="O594" s="19" t="str">
        <f aca="false">IF(OR(C594="",ISNUMBER(C594)),"لا","نعم")</f>
        <v>لا</v>
      </c>
      <c r="P594" s="19" t="str">
        <f aca="false">IF(COUNTIF($B$2:B594,B594)&gt;1,"مكرر","فريد")</f>
        <v>فريد</v>
      </c>
      <c r="Q594" s="19" t="str">
        <f aca="false">IF(COUNTBLANK(D594:L594)&gt;0,"نعم","لا")</f>
        <v>لا</v>
      </c>
    </row>
    <row r="595" customFormat="false" ht="15" hidden="false" customHeight="false" outlineLevel="0" collapsed="false">
      <c r="A595" s="19" t="n">
        <v>594</v>
      </c>
      <c r="B595" s="30" t="s">
        <v>369</v>
      </c>
      <c r="C595" s="44" t="n">
        <v>45365</v>
      </c>
      <c r="D595" s="30" t="s">
        <v>46</v>
      </c>
      <c r="E595" s="30" t="s">
        <v>113</v>
      </c>
      <c r="F595" s="30" t="s">
        <v>121</v>
      </c>
      <c r="G595" s="31" t="n">
        <v>559</v>
      </c>
      <c r="H595" s="19" t="n">
        <v>1</v>
      </c>
      <c r="I595" s="32" t="n">
        <v>0</v>
      </c>
      <c r="J595" s="30" t="s">
        <v>48</v>
      </c>
      <c r="K595" s="30" t="s">
        <v>47</v>
      </c>
      <c r="L595" s="30" t="s">
        <v>86</v>
      </c>
      <c r="M595" s="31" t="n">
        <f aca="false">AVERAGEIF($E$2:$E$1197,E595,$G$2:$G$1197)</f>
        <v>545.358823529412</v>
      </c>
      <c r="N595" s="19" t="str">
        <f aca="false">IF(G595&gt;M595*3,"نعم","لا")</f>
        <v>لا</v>
      </c>
      <c r="O595" s="19" t="str">
        <f aca="false">IF(OR(C595="",ISNUMBER(C595)),"لا","نعم")</f>
        <v>لا</v>
      </c>
      <c r="P595" s="19" t="str">
        <f aca="false">IF(COUNTIF($B$2:B595,B595)&gt;1,"مكرر","فريد")</f>
        <v>مكرر</v>
      </c>
      <c r="Q595" s="19" t="str">
        <f aca="false">IF(COUNTBLANK(D595:L595)&gt;0,"نعم","لا")</f>
        <v>لا</v>
      </c>
    </row>
    <row r="596" customFormat="false" ht="15" hidden="false" customHeight="false" outlineLevel="0" collapsed="false">
      <c r="A596" s="19" t="n">
        <v>595</v>
      </c>
      <c r="B596" s="30" t="s">
        <v>349</v>
      </c>
      <c r="C596" s="44" t="n">
        <v>45361</v>
      </c>
      <c r="D596" s="30" t="s">
        <v>60</v>
      </c>
      <c r="E596" s="30" t="s">
        <v>113</v>
      </c>
      <c r="F596" s="30" t="s">
        <v>95</v>
      </c>
      <c r="G596" s="31" t="n">
        <v>619</v>
      </c>
      <c r="H596" s="19" t="n">
        <v>1</v>
      </c>
      <c r="I596" s="32" t="n">
        <v>0.05</v>
      </c>
      <c r="J596" s="30" t="s">
        <v>52</v>
      </c>
      <c r="K596" s="30" t="s">
        <v>47</v>
      </c>
      <c r="L596" s="30" t="s">
        <v>86</v>
      </c>
      <c r="M596" s="31" t="n">
        <f aca="false">AVERAGEIF($E$2:$E$1197,E596,$G$2:$G$1197)</f>
        <v>545.358823529412</v>
      </c>
      <c r="N596" s="19" t="str">
        <f aca="false">IF(G596&gt;M596*3,"نعم","لا")</f>
        <v>لا</v>
      </c>
      <c r="O596" s="19" t="str">
        <f aca="false">IF(OR(C596="",ISNUMBER(C596)),"لا","نعم")</f>
        <v>لا</v>
      </c>
      <c r="P596" s="19" t="str">
        <f aca="false">IF(COUNTIF($B$2:B596,B596)&gt;1,"مكرر","فريد")</f>
        <v>فريد</v>
      </c>
      <c r="Q596" s="19" t="str">
        <f aca="false">IF(COUNTBLANK(D596:L596)&gt;0,"نعم","لا")</f>
        <v>لا</v>
      </c>
    </row>
    <row r="597" customFormat="false" ht="15" hidden="false" customHeight="false" outlineLevel="0" collapsed="false">
      <c r="A597" s="19" t="n">
        <v>596</v>
      </c>
      <c r="B597" s="30" t="s">
        <v>808</v>
      </c>
      <c r="C597" s="44" t="n">
        <v>45518</v>
      </c>
      <c r="D597" s="30" t="s">
        <v>60</v>
      </c>
      <c r="E597" s="30" t="s">
        <v>105</v>
      </c>
      <c r="F597" s="30" t="s">
        <v>82</v>
      </c>
      <c r="G597" s="31" t="n">
        <v>2679</v>
      </c>
      <c r="H597" s="19" t="n">
        <v>1</v>
      </c>
      <c r="I597" s="32" t="n">
        <v>0</v>
      </c>
      <c r="J597" s="30" t="s">
        <v>48</v>
      </c>
      <c r="K597" s="30" t="s">
        <v>47</v>
      </c>
      <c r="L597" s="30" t="s">
        <v>92</v>
      </c>
      <c r="M597" s="31" t="n">
        <f aca="false">AVERAGEIF($E$2:$E$1197,E597,$G$2:$G$1197)</f>
        <v>2870.26771653543</v>
      </c>
      <c r="N597" s="19" t="str">
        <f aca="false">IF(G597&gt;M597*3,"نعم","لا")</f>
        <v>لا</v>
      </c>
      <c r="O597" s="19" t="str">
        <f aca="false">IF(OR(C597="",ISNUMBER(C597)),"لا","نعم")</f>
        <v>لا</v>
      </c>
      <c r="P597" s="19" t="str">
        <f aca="false">IF(COUNTIF($B$2:B597,B597)&gt;1,"مكرر","فريد")</f>
        <v>فريد</v>
      </c>
      <c r="Q597" s="19" t="str">
        <f aca="false">IF(COUNTBLANK(D597:L597)&gt;0,"نعم","لا")</f>
        <v>لا</v>
      </c>
    </row>
    <row r="598" customFormat="false" ht="15" hidden="false" customHeight="false" outlineLevel="0" collapsed="false">
      <c r="A598" s="19" t="n">
        <v>597</v>
      </c>
      <c r="B598" s="30" t="s">
        <v>1136</v>
      </c>
      <c r="C598" s="44" t="n">
        <v>45615</v>
      </c>
      <c r="D598" s="30" t="s">
        <v>1390</v>
      </c>
      <c r="E598" s="30" t="s">
        <v>105</v>
      </c>
      <c r="F598" s="30" t="s">
        <v>85</v>
      </c>
      <c r="G598" s="31" t="n">
        <v>1809</v>
      </c>
      <c r="H598" s="19" t="n">
        <v>1</v>
      </c>
      <c r="I598" s="32" t="n">
        <v>0.1</v>
      </c>
      <c r="J598" s="30" t="s">
        <v>52</v>
      </c>
      <c r="K598" s="30" t="s">
        <v>47</v>
      </c>
      <c r="L598" s="30" t="s">
        <v>86</v>
      </c>
      <c r="M598" s="31" t="n">
        <f aca="false">AVERAGEIF($E$2:$E$1197,E598,$G$2:$G$1197)</f>
        <v>2870.26771653543</v>
      </c>
      <c r="N598" s="19" t="str">
        <f aca="false">IF(G598&gt;M598*3,"نعم","لا")</f>
        <v>لا</v>
      </c>
      <c r="O598" s="19" t="str">
        <f aca="false">IF(OR(C598="",ISNUMBER(C598)),"لا","نعم")</f>
        <v>لا</v>
      </c>
      <c r="P598" s="19" t="str">
        <f aca="false">IF(COUNTIF($B$2:B598,B598)&gt;1,"مكرر","فريد")</f>
        <v>فريد</v>
      </c>
      <c r="Q598" s="19" t="str">
        <f aca="false">IF(COUNTBLANK(D598:L598)&gt;0,"نعم","لا")</f>
        <v>لا</v>
      </c>
    </row>
    <row r="599" customFormat="false" ht="15" hidden="false" customHeight="false" outlineLevel="0" collapsed="false">
      <c r="A599" s="19" t="n">
        <v>598</v>
      </c>
      <c r="B599" s="30" t="s">
        <v>417</v>
      </c>
      <c r="C599" s="44" t="n">
        <v>45380</v>
      </c>
      <c r="D599" s="30" t="s">
        <v>1337</v>
      </c>
      <c r="E599" s="30" t="s">
        <v>105</v>
      </c>
      <c r="F599" s="30" t="s">
        <v>179</v>
      </c>
      <c r="G599" s="31" t="n">
        <v>1099</v>
      </c>
      <c r="H599" s="19" t="n">
        <v>1</v>
      </c>
      <c r="I599" s="32" t="n">
        <v>0</v>
      </c>
      <c r="J599" s="30" t="s">
        <v>55</v>
      </c>
      <c r="K599" s="30" t="s">
        <v>47</v>
      </c>
      <c r="L599" s="30" t="s">
        <v>92</v>
      </c>
      <c r="M599" s="31" t="n">
        <f aca="false">AVERAGEIF($E$2:$E$1197,E599,$G$2:$G$1197)</f>
        <v>2870.26771653543</v>
      </c>
      <c r="N599" s="19" t="str">
        <f aca="false">IF(G599&gt;M599*3,"نعم","لا")</f>
        <v>لا</v>
      </c>
      <c r="O599" s="19" t="str">
        <f aca="false">IF(OR(C599="",ISNUMBER(C599)),"لا","نعم")</f>
        <v>لا</v>
      </c>
      <c r="P599" s="19" t="str">
        <f aca="false">IF(COUNTIF($B$2:B599,B599)&gt;1,"مكرر","فريد")</f>
        <v>فريد</v>
      </c>
      <c r="Q599" s="19" t="str">
        <f aca="false">IF(COUNTBLANK(D599:L599)&gt;0,"نعم","لا")</f>
        <v>لا</v>
      </c>
    </row>
    <row r="600" customFormat="false" ht="15" hidden="false" customHeight="false" outlineLevel="0" collapsed="false">
      <c r="A600" s="19" t="n">
        <v>599</v>
      </c>
      <c r="B600" s="30" t="s">
        <v>240</v>
      </c>
      <c r="C600" s="30" t="s">
        <v>1431</v>
      </c>
      <c r="D600" s="30" t="s">
        <v>54</v>
      </c>
      <c r="E600" s="30" t="s">
        <v>105</v>
      </c>
      <c r="F600" s="30" t="s">
        <v>85</v>
      </c>
      <c r="G600" s="31" t="n">
        <v>2339</v>
      </c>
      <c r="H600" s="19" t="n">
        <v>1</v>
      </c>
      <c r="I600" s="32" t="n">
        <v>0.05</v>
      </c>
      <c r="J600" s="30" t="s">
        <v>58</v>
      </c>
      <c r="K600" s="30" t="s">
        <v>47</v>
      </c>
      <c r="L600" s="30" t="s">
        <v>86</v>
      </c>
      <c r="M600" s="31" t="n">
        <f aca="false">AVERAGEIF($E$2:$E$1197,E600,$G$2:$G$1197)</f>
        <v>2870.26771653543</v>
      </c>
      <c r="N600" s="19" t="str">
        <f aca="false">IF(G600&gt;M600*3,"نعم","لا")</f>
        <v>لا</v>
      </c>
      <c r="O600" s="19" t="str">
        <f aca="false">IF(OR(C600="",ISNUMBER(C600)),"لا","نعم")</f>
        <v>نعم</v>
      </c>
      <c r="P600" s="19" t="str">
        <f aca="false">IF(COUNTIF($B$2:B600,B600)&gt;1,"مكرر","فريد")</f>
        <v>فريد</v>
      </c>
      <c r="Q600" s="19" t="str">
        <f aca="false">IF(COUNTBLANK(D600:L600)&gt;0,"نعم","لا")</f>
        <v>لا</v>
      </c>
    </row>
    <row r="601" customFormat="false" ht="15" hidden="false" customHeight="false" outlineLevel="0" collapsed="false">
      <c r="A601" s="19" t="n">
        <v>600</v>
      </c>
      <c r="B601" s="30" t="s">
        <v>300</v>
      </c>
      <c r="C601" s="44" t="n">
        <v>45341</v>
      </c>
      <c r="D601" s="30" t="s">
        <v>50</v>
      </c>
      <c r="E601" s="30" t="s">
        <v>111</v>
      </c>
      <c r="F601" s="30" t="s">
        <v>122</v>
      </c>
      <c r="G601" s="31" t="n">
        <v>449</v>
      </c>
      <c r="H601" s="19" t="n">
        <v>1</v>
      </c>
      <c r="I601" s="32" t="n">
        <v>0</v>
      </c>
      <c r="J601" s="30" t="s">
        <v>48</v>
      </c>
      <c r="K601" s="30" t="s">
        <v>47</v>
      </c>
      <c r="L601" s="30" t="s">
        <v>84</v>
      </c>
      <c r="M601" s="31" t="n">
        <f aca="false">AVERAGEIF($E$2:$E$1197,E601,$G$2:$G$1197)</f>
        <v>366.306569343066</v>
      </c>
      <c r="N601" s="19" t="str">
        <f aca="false">IF(G601&gt;M601*3,"نعم","لا")</f>
        <v>لا</v>
      </c>
      <c r="O601" s="19" t="str">
        <f aca="false">IF(OR(C601="",ISNUMBER(C601)),"لا","نعم")</f>
        <v>لا</v>
      </c>
      <c r="P601" s="19" t="str">
        <f aca="false">IF(COUNTIF($B$2:B601,B601)&gt;1,"مكرر","فريد")</f>
        <v>فريد</v>
      </c>
      <c r="Q601" s="19" t="str">
        <f aca="false">IF(COUNTBLANK(D601:L601)&gt;0,"نعم","لا")</f>
        <v>لا</v>
      </c>
    </row>
    <row r="602" customFormat="false" ht="15" hidden="false" customHeight="false" outlineLevel="0" collapsed="false">
      <c r="A602" s="19" t="n">
        <v>601</v>
      </c>
      <c r="B602" s="30" t="s">
        <v>465</v>
      </c>
      <c r="C602" s="44" t="n">
        <v>45397</v>
      </c>
      <c r="D602" s="30" t="s">
        <v>46</v>
      </c>
      <c r="E602" s="30" t="s">
        <v>113</v>
      </c>
      <c r="F602" s="30" t="s">
        <v>95</v>
      </c>
      <c r="G602" s="31" t="n">
        <v>79</v>
      </c>
      <c r="H602" s="19" t="n">
        <v>2</v>
      </c>
      <c r="I602" s="32" t="n">
        <v>0.1</v>
      </c>
      <c r="J602" s="30" t="s">
        <v>58</v>
      </c>
      <c r="K602" s="30" t="s">
        <v>47</v>
      </c>
      <c r="L602" s="30" t="s">
        <v>81</v>
      </c>
      <c r="M602" s="31" t="n">
        <f aca="false">AVERAGEIF($E$2:$E$1197,E602,$G$2:$G$1197)</f>
        <v>545.358823529412</v>
      </c>
      <c r="N602" s="19" t="str">
        <f aca="false">IF(G602&gt;M602*3,"نعم","لا")</f>
        <v>لا</v>
      </c>
      <c r="O602" s="19" t="str">
        <f aca="false">IF(OR(C602="",ISNUMBER(C602)),"لا","نعم")</f>
        <v>لا</v>
      </c>
      <c r="P602" s="19" t="str">
        <f aca="false">IF(COUNTIF($B$2:B602,B602)&gt;1,"مكرر","فريد")</f>
        <v>فريد</v>
      </c>
      <c r="Q602" s="19" t="str">
        <f aca="false">IF(COUNTBLANK(D602:L602)&gt;0,"نعم","لا")</f>
        <v>لا</v>
      </c>
    </row>
    <row r="603" customFormat="false" ht="15" hidden="false" customHeight="false" outlineLevel="0" collapsed="false">
      <c r="A603" s="19" t="n">
        <v>602</v>
      </c>
      <c r="B603" s="30" t="s">
        <v>1125</v>
      </c>
      <c r="C603" s="44" t="n">
        <v>45613</v>
      </c>
      <c r="D603" s="30" t="s">
        <v>46</v>
      </c>
      <c r="E603" s="30" t="s">
        <v>109</v>
      </c>
      <c r="F603" s="30" t="s">
        <v>175</v>
      </c>
      <c r="G603" s="31" t="n">
        <v>199</v>
      </c>
      <c r="H603" s="19" t="n">
        <v>1</v>
      </c>
      <c r="I603" s="32" t="n">
        <v>0</v>
      </c>
      <c r="J603" s="30" t="s">
        <v>52</v>
      </c>
      <c r="K603" s="30" t="s">
        <v>51</v>
      </c>
      <c r="L603" s="30" t="s">
        <v>81</v>
      </c>
      <c r="M603" s="31" t="n">
        <f aca="false">AVERAGEIF($E$2:$E$1197,E603,$G$2:$G$1197)</f>
        <v>186.056291390729</v>
      </c>
      <c r="N603" s="19" t="str">
        <f aca="false">IF(G603&gt;M603*3,"نعم","لا")</f>
        <v>لا</v>
      </c>
      <c r="O603" s="19" t="str">
        <f aca="false">IF(OR(C603="",ISNUMBER(C603)),"لا","نعم")</f>
        <v>لا</v>
      </c>
      <c r="P603" s="19" t="str">
        <f aca="false">IF(COUNTIF($B$2:B603,B603)&gt;1,"مكرر","فريد")</f>
        <v>فريد</v>
      </c>
      <c r="Q603" s="19" t="str">
        <f aca="false">IF(COUNTBLANK(D603:L603)&gt;0,"نعم","لا")</f>
        <v>لا</v>
      </c>
    </row>
    <row r="604" customFormat="false" ht="15" hidden="false" customHeight="false" outlineLevel="0" collapsed="false">
      <c r="A604" s="19" t="n">
        <v>603</v>
      </c>
      <c r="B604" s="30" t="s">
        <v>491</v>
      </c>
      <c r="C604" s="44" t="n">
        <v>45410</v>
      </c>
      <c r="D604" s="30" t="s">
        <v>46</v>
      </c>
      <c r="E604" s="30" t="s">
        <v>109</v>
      </c>
      <c r="F604" s="30" t="s">
        <v>175</v>
      </c>
      <c r="G604" s="31" t="n">
        <v>229</v>
      </c>
      <c r="H604" s="19" t="n">
        <v>1</v>
      </c>
      <c r="I604" s="32" t="n">
        <v>0</v>
      </c>
      <c r="J604" s="30" t="s">
        <v>58</v>
      </c>
      <c r="K604" s="30" t="s">
        <v>47</v>
      </c>
      <c r="L604" s="30" t="s">
        <v>84</v>
      </c>
      <c r="M604" s="31" t="n">
        <f aca="false">AVERAGEIF($E$2:$E$1197,E604,$G$2:$G$1197)</f>
        <v>186.056291390729</v>
      </c>
      <c r="N604" s="19" t="str">
        <f aca="false">IF(G604&gt;M604*3,"نعم","لا")</f>
        <v>لا</v>
      </c>
      <c r="O604" s="19" t="str">
        <f aca="false">IF(OR(C604="",ISNUMBER(C604)),"لا","نعم")</f>
        <v>لا</v>
      </c>
      <c r="P604" s="19" t="str">
        <f aca="false">IF(COUNTIF($B$2:B604,B604)&gt;1,"مكرر","فريد")</f>
        <v>فريد</v>
      </c>
      <c r="Q604" s="19" t="str">
        <f aca="false">IF(COUNTBLANK(D604:L604)&gt;0,"نعم","لا")</f>
        <v>لا</v>
      </c>
    </row>
    <row r="605" customFormat="false" ht="15" hidden="false" customHeight="false" outlineLevel="0" collapsed="false">
      <c r="A605" s="19" t="n">
        <v>604</v>
      </c>
      <c r="B605" s="30" t="s">
        <v>1209</v>
      </c>
      <c r="C605" s="44" t="n">
        <v>45633</v>
      </c>
      <c r="D605" s="30" t="s">
        <v>46</v>
      </c>
      <c r="E605" s="30" t="s">
        <v>109</v>
      </c>
      <c r="F605" s="30" t="s">
        <v>93</v>
      </c>
      <c r="G605" s="31" t="n">
        <v>299</v>
      </c>
      <c r="H605" s="19" t="n">
        <v>2</v>
      </c>
      <c r="I605" s="32" t="n">
        <v>0</v>
      </c>
      <c r="J605" s="30" t="s">
        <v>55</v>
      </c>
      <c r="K605" s="30" t="s">
        <v>47</v>
      </c>
      <c r="L605" s="30" t="s">
        <v>81</v>
      </c>
      <c r="M605" s="31" t="n">
        <f aca="false">AVERAGEIF($E$2:$E$1197,E605,$G$2:$G$1197)</f>
        <v>186.056291390729</v>
      </c>
      <c r="N605" s="19" t="str">
        <f aca="false">IF(G605&gt;M605*3,"نعم","لا")</f>
        <v>لا</v>
      </c>
      <c r="O605" s="19" t="str">
        <f aca="false">IF(OR(C605="",ISNUMBER(C605)),"لا","نعم")</f>
        <v>لا</v>
      </c>
      <c r="P605" s="19" t="str">
        <f aca="false">IF(COUNTIF($B$2:B605,B605)&gt;1,"مكرر","فريد")</f>
        <v>فريد</v>
      </c>
      <c r="Q605" s="19" t="str">
        <f aca="false">IF(COUNTBLANK(D605:L605)&gt;0,"نعم","لا")</f>
        <v>لا</v>
      </c>
    </row>
    <row r="606" customFormat="false" ht="15" hidden="false" customHeight="false" outlineLevel="0" collapsed="false">
      <c r="A606" s="19" t="n">
        <v>605</v>
      </c>
      <c r="B606" s="30" t="s">
        <v>659</v>
      </c>
      <c r="C606" s="44" t="n">
        <v>45472</v>
      </c>
      <c r="D606" s="30" t="s">
        <v>46</v>
      </c>
      <c r="E606" s="30" t="s">
        <v>107</v>
      </c>
      <c r="F606" s="30" t="s">
        <v>272</v>
      </c>
      <c r="G606" s="31" t="n">
        <v>4009</v>
      </c>
      <c r="H606" s="19" t="n">
        <v>1</v>
      </c>
      <c r="I606" s="32" t="n">
        <v>0.15</v>
      </c>
      <c r="J606" s="30" t="s">
        <v>48</v>
      </c>
      <c r="K606" s="30" t="s">
        <v>47</v>
      </c>
      <c r="L606" s="30" t="s">
        <v>89</v>
      </c>
      <c r="M606" s="31" t="n">
        <f aca="false">AVERAGEIF($E$2:$E$1197,E606,$G$2:$G$1197)</f>
        <v>4981.14563106796</v>
      </c>
      <c r="N606" s="19" t="str">
        <f aca="false">IF(G606&gt;M606*3,"نعم","لا")</f>
        <v>لا</v>
      </c>
      <c r="O606" s="19" t="str">
        <f aca="false">IF(OR(C606="",ISNUMBER(C606)),"لا","نعم")</f>
        <v>لا</v>
      </c>
      <c r="P606" s="19" t="str">
        <f aca="false">IF(COUNTIF($B$2:B606,B606)&gt;1,"مكرر","فريد")</f>
        <v>فريد</v>
      </c>
      <c r="Q606" s="19" t="str">
        <f aca="false">IF(COUNTBLANK(D606:L606)&gt;0,"نعم","لا")</f>
        <v>لا</v>
      </c>
    </row>
    <row r="607" customFormat="false" ht="15" hidden="false" customHeight="false" outlineLevel="0" collapsed="false">
      <c r="A607" s="19" t="n">
        <v>606</v>
      </c>
      <c r="B607" s="30" t="s">
        <v>809</v>
      </c>
      <c r="C607" s="30" t="s">
        <v>1432</v>
      </c>
      <c r="D607" s="30" t="s">
        <v>50</v>
      </c>
      <c r="E607" s="30" t="s">
        <v>109</v>
      </c>
      <c r="F607" s="30" t="s">
        <v>171</v>
      </c>
      <c r="G607" s="31" t="n">
        <v>249</v>
      </c>
      <c r="H607" s="19" t="n">
        <v>1</v>
      </c>
      <c r="I607" s="32" t="n">
        <v>0</v>
      </c>
      <c r="J607" s="30" t="s">
        <v>52</v>
      </c>
      <c r="K607" s="30" t="s">
        <v>47</v>
      </c>
      <c r="L607" s="30" t="s">
        <v>84</v>
      </c>
      <c r="M607" s="31" t="n">
        <f aca="false">AVERAGEIF($E$2:$E$1197,E607,$G$2:$G$1197)</f>
        <v>186.056291390729</v>
      </c>
      <c r="N607" s="19" t="str">
        <f aca="false">IF(G607&gt;M607*3,"نعم","لا")</f>
        <v>لا</v>
      </c>
      <c r="O607" s="19" t="str">
        <f aca="false">IF(OR(C607="",ISNUMBER(C607)),"لا","نعم")</f>
        <v>نعم</v>
      </c>
      <c r="P607" s="19" t="str">
        <f aca="false">IF(COUNTIF($B$2:B607,B607)&gt;1,"مكرر","فريد")</f>
        <v>فريد</v>
      </c>
      <c r="Q607" s="19" t="str">
        <f aca="false">IF(COUNTBLANK(D607:L607)&gt;0,"نعم","لا")</f>
        <v>لا</v>
      </c>
    </row>
    <row r="608" customFormat="false" ht="15" hidden="false" customHeight="false" outlineLevel="0" collapsed="false">
      <c r="A608" s="19" t="n">
        <v>607</v>
      </c>
      <c r="B608" s="30" t="s">
        <v>1056</v>
      </c>
      <c r="C608" s="30" t="s">
        <v>1433</v>
      </c>
      <c r="D608" s="30" t="s">
        <v>50</v>
      </c>
      <c r="E608" s="30" t="s">
        <v>105</v>
      </c>
      <c r="F608" s="30" t="s">
        <v>79</v>
      </c>
      <c r="G608" s="31" t="n">
        <v>1669</v>
      </c>
      <c r="H608" s="19" t="n">
        <v>6</v>
      </c>
      <c r="I608" s="32" t="n">
        <v>0.1</v>
      </c>
      <c r="J608" s="30" t="s">
        <v>52</v>
      </c>
      <c r="K608" s="30" t="s">
        <v>51</v>
      </c>
      <c r="L608" s="30" t="s">
        <v>78</v>
      </c>
      <c r="M608" s="31" t="n">
        <f aca="false">AVERAGEIF($E$2:$E$1197,E608,$G$2:$G$1197)</f>
        <v>2870.26771653543</v>
      </c>
      <c r="N608" s="19" t="str">
        <f aca="false">IF(G608&gt;M608*3,"نعم","لا")</f>
        <v>لا</v>
      </c>
      <c r="O608" s="19" t="str">
        <f aca="false">IF(OR(C608="",ISNUMBER(C608)),"لا","نعم")</f>
        <v>نعم</v>
      </c>
      <c r="P608" s="19" t="str">
        <f aca="false">IF(COUNTIF($B$2:B608,B608)&gt;1,"مكرر","فريد")</f>
        <v>فريد</v>
      </c>
      <c r="Q608" s="19" t="str">
        <f aca="false">IF(COUNTBLANK(D608:L608)&gt;0,"نعم","لا")</f>
        <v>لا</v>
      </c>
    </row>
    <row r="609" customFormat="false" ht="15" hidden="false" customHeight="false" outlineLevel="0" collapsed="false">
      <c r="A609" s="19" t="n">
        <v>608</v>
      </c>
      <c r="B609" s="30" t="s">
        <v>655</v>
      </c>
      <c r="C609" s="30" t="s">
        <v>1434</v>
      </c>
      <c r="D609" s="30" t="s">
        <v>50</v>
      </c>
      <c r="E609" s="30" t="s">
        <v>105</v>
      </c>
      <c r="F609" s="30" t="s">
        <v>79</v>
      </c>
      <c r="G609" s="31" t="n">
        <v>2429</v>
      </c>
      <c r="H609" s="19" t="n">
        <v>1</v>
      </c>
      <c r="I609" s="32" t="n">
        <v>0.05</v>
      </c>
      <c r="J609" s="30" t="s">
        <v>52</v>
      </c>
      <c r="K609" s="30" t="s">
        <v>47</v>
      </c>
      <c r="L609" s="30" t="s">
        <v>81</v>
      </c>
      <c r="M609" s="31" t="n">
        <f aca="false">AVERAGEIF($E$2:$E$1197,E609,$G$2:$G$1197)</f>
        <v>2870.26771653543</v>
      </c>
      <c r="N609" s="19" t="str">
        <f aca="false">IF(G609&gt;M609*3,"نعم","لا")</f>
        <v>لا</v>
      </c>
      <c r="O609" s="19" t="str">
        <f aca="false">IF(OR(C609="",ISNUMBER(C609)),"لا","نعم")</f>
        <v>نعم</v>
      </c>
      <c r="P609" s="19" t="str">
        <f aca="false">IF(COUNTIF($B$2:B609,B609)&gt;1,"مكرر","فريد")</f>
        <v>فريد</v>
      </c>
      <c r="Q609" s="19" t="str">
        <f aca="false">IF(COUNTBLANK(D609:L609)&gt;0,"نعم","لا")</f>
        <v>لا</v>
      </c>
    </row>
    <row r="610" customFormat="false" ht="15" hidden="false" customHeight="false" outlineLevel="0" collapsed="false">
      <c r="A610" s="19" t="n">
        <v>609</v>
      </c>
      <c r="B610" s="30" t="s">
        <v>504</v>
      </c>
      <c r="C610" s="44" t="n">
        <v>45416</v>
      </c>
      <c r="D610" s="30" t="s">
        <v>46</v>
      </c>
      <c r="E610" s="30" t="s">
        <v>113</v>
      </c>
      <c r="F610" s="30" t="s">
        <v>95</v>
      </c>
      <c r="G610" s="31" t="n">
        <v>619</v>
      </c>
      <c r="H610" s="19" t="n">
        <v>2</v>
      </c>
      <c r="I610" s="32" t="n">
        <v>0.05</v>
      </c>
      <c r="J610" s="30" t="s">
        <v>52</v>
      </c>
      <c r="K610" s="30" t="s">
        <v>51</v>
      </c>
      <c r="L610" s="30" t="s">
        <v>92</v>
      </c>
      <c r="M610" s="31" t="n">
        <f aca="false">AVERAGEIF($E$2:$E$1197,E610,$G$2:$G$1197)</f>
        <v>545.358823529412</v>
      </c>
      <c r="N610" s="19" t="str">
        <f aca="false">IF(G610&gt;M610*3,"نعم","لا")</f>
        <v>لا</v>
      </c>
      <c r="O610" s="19" t="str">
        <f aca="false">IF(OR(C610="",ISNUMBER(C610)),"لا","نعم")</f>
        <v>لا</v>
      </c>
      <c r="P610" s="19" t="str">
        <f aca="false">IF(COUNTIF($B$2:B610,B610)&gt;1,"مكرر","فريد")</f>
        <v>فريد</v>
      </c>
      <c r="Q610" s="19" t="str">
        <f aca="false">IF(COUNTBLANK(D610:L610)&gt;0,"نعم","لا")</f>
        <v>لا</v>
      </c>
    </row>
    <row r="611" customFormat="false" ht="15" hidden="false" customHeight="false" outlineLevel="0" collapsed="false">
      <c r="A611" s="19" t="n">
        <v>610</v>
      </c>
      <c r="B611" s="30" t="s">
        <v>1099</v>
      </c>
      <c r="C611" s="44" t="n">
        <v>45607</v>
      </c>
      <c r="D611" s="30" t="s">
        <v>46</v>
      </c>
      <c r="E611" s="30" t="s">
        <v>113</v>
      </c>
      <c r="F611" s="30" t="s">
        <v>100</v>
      </c>
      <c r="G611" s="31" t="n">
        <v>609</v>
      </c>
      <c r="H611" s="19" t="n">
        <v>3</v>
      </c>
      <c r="I611" s="32" t="n">
        <v>0.05</v>
      </c>
      <c r="J611" s="30" t="s">
        <v>58</v>
      </c>
      <c r="K611" s="30" t="s">
        <v>51</v>
      </c>
      <c r="L611" s="30" t="s">
        <v>76</v>
      </c>
      <c r="M611" s="31" t="n">
        <f aca="false">AVERAGEIF($E$2:$E$1197,E611,$G$2:$G$1197)</f>
        <v>545.358823529412</v>
      </c>
      <c r="N611" s="19" t="str">
        <f aca="false">IF(G611&gt;M611*3,"نعم","لا")</f>
        <v>لا</v>
      </c>
      <c r="O611" s="19" t="str">
        <f aca="false">IF(OR(C611="",ISNUMBER(C611)),"لا","نعم")</f>
        <v>لا</v>
      </c>
      <c r="P611" s="19" t="str">
        <f aca="false">IF(COUNTIF($B$2:B611,B611)&gt;1,"مكرر","فريد")</f>
        <v>فريد</v>
      </c>
      <c r="Q611" s="19" t="str">
        <f aca="false">IF(COUNTBLANK(D611:L611)&gt;0,"نعم","لا")</f>
        <v>لا</v>
      </c>
    </row>
    <row r="612" customFormat="false" ht="15" hidden="false" customHeight="false" outlineLevel="0" collapsed="false">
      <c r="A612" s="19" t="n">
        <v>611</v>
      </c>
      <c r="B612" s="30" t="s">
        <v>333</v>
      </c>
      <c r="C612" s="44" t="n">
        <v>45357</v>
      </c>
      <c r="D612" s="30" t="s">
        <v>50</v>
      </c>
      <c r="E612" s="30" t="s">
        <v>109</v>
      </c>
      <c r="F612" s="30" t="s">
        <v>175</v>
      </c>
      <c r="G612" s="31" t="n">
        <v>159</v>
      </c>
      <c r="H612" s="19" t="n">
        <v>3</v>
      </c>
      <c r="I612" s="32" t="n">
        <v>0.15</v>
      </c>
      <c r="J612" s="30" t="s">
        <v>52</v>
      </c>
      <c r="K612" s="30" t="s">
        <v>47</v>
      </c>
      <c r="L612" s="30" t="s">
        <v>86</v>
      </c>
      <c r="M612" s="31" t="n">
        <f aca="false">AVERAGEIF($E$2:$E$1197,E612,$G$2:$G$1197)</f>
        <v>186.056291390729</v>
      </c>
      <c r="N612" s="19" t="str">
        <f aca="false">IF(G612&gt;M612*3,"نعم","لا")</f>
        <v>لا</v>
      </c>
      <c r="O612" s="19" t="str">
        <f aca="false">IF(OR(C612="",ISNUMBER(C612)),"لا","نعم")</f>
        <v>لا</v>
      </c>
      <c r="P612" s="19" t="str">
        <f aca="false">IF(COUNTIF($B$2:B612,B612)&gt;1,"مكرر","فريد")</f>
        <v>فريد</v>
      </c>
      <c r="Q612" s="19" t="str">
        <f aca="false">IF(COUNTBLANK(D612:L612)&gt;0,"نعم","لا")</f>
        <v>لا</v>
      </c>
    </row>
    <row r="613" customFormat="false" ht="15" hidden="false" customHeight="false" outlineLevel="0" collapsed="false">
      <c r="A613" s="19" t="n">
        <v>612</v>
      </c>
      <c r="B613" s="30" t="s">
        <v>198</v>
      </c>
      <c r="C613" s="44" t="n">
        <v>45301</v>
      </c>
      <c r="D613" s="30" t="s">
        <v>50</v>
      </c>
      <c r="E613" s="30" t="s">
        <v>109</v>
      </c>
      <c r="F613" s="30" t="s">
        <v>192</v>
      </c>
      <c r="G613" s="31" t="n">
        <v>129</v>
      </c>
      <c r="H613" s="19" t="n">
        <v>1</v>
      </c>
      <c r="I613" s="32" t="n">
        <v>0.05</v>
      </c>
      <c r="J613" s="30" t="s">
        <v>55</v>
      </c>
      <c r="K613" s="30" t="s">
        <v>47</v>
      </c>
      <c r="L613" s="30" t="s">
        <v>78</v>
      </c>
      <c r="M613" s="31" t="n">
        <f aca="false">AVERAGEIF($E$2:$E$1197,E613,$G$2:$G$1197)</f>
        <v>186.056291390729</v>
      </c>
      <c r="N613" s="19" t="str">
        <f aca="false">IF(G613&gt;M613*3,"نعم","لا")</f>
        <v>لا</v>
      </c>
      <c r="O613" s="19" t="str">
        <f aca="false">IF(OR(C613="",ISNUMBER(C613)),"لا","نعم")</f>
        <v>لا</v>
      </c>
      <c r="P613" s="19" t="str">
        <f aca="false">IF(COUNTIF($B$2:B613,B613)&gt;1,"مكرر","فريد")</f>
        <v>فريد</v>
      </c>
      <c r="Q613" s="19" t="str">
        <f aca="false">IF(COUNTBLANK(D613:L613)&gt;0,"نعم","لا")</f>
        <v>لا</v>
      </c>
    </row>
    <row r="614" customFormat="false" ht="15" hidden="false" customHeight="false" outlineLevel="0" collapsed="false">
      <c r="A614" s="19" t="n">
        <v>613</v>
      </c>
      <c r="B614" s="30" t="s">
        <v>679</v>
      </c>
      <c r="C614" s="44" t="n">
        <v>45477</v>
      </c>
      <c r="D614" s="30" t="s">
        <v>60</v>
      </c>
      <c r="E614" s="30" t="s">
        <v>109</v>
      </c>
      <c r="F614" s="30" t="s">
        <v>93</v>
      </c>
      <c r="G614" s="31" t="n">
        <v>309</v>
      </c>
      <c r="H614" s="19" t="n">
        <v>1</v>
      </c>
      <c r="I614" s="32" t="n">
        <v>0</v>
      </c>
      <c r="J614" s="30" t="s">
        <v>48</v>
      </c>
      <c r="K614" s="30" t="s">
        <v>47</v>
      </c>
      <c r="L614" s="30" t="s">
        <v>92</v>
      </c>
      <c r="M614" s="31" t="n">
        <f aca="false">AVERAGEIF($E$2:$E$1197,E614,$G$2:$G$1197)</f>
        <v>186.056291390729</v>
      </c>
      <c r="N614" s="19" t="str">
        <f aca="false">IF(G614&gt;M614*3,"نعم","لا")</f>
        <v>لا</v>
      </c>
      <c r="O614" s="19" t="str">
        <f aca="false">IF(OR(C614="",ISNUMBER(C614)),"لا","نعم")</f>
        <v>لا</v>
      </c>
      <c r="P614" s="19" t="str">
        <f aca="false">IF(COUNTIF($B$2:B614,B614)&gt;1,"مكرر","فريد")</f>
        <v>فريد</v>
      </c>
      <c r="Q614" s="19" t="str">
        <f aca="false">IF(COUNTBLANK(D614:L614)&gt;0,"نعم","لا")</f>
        <v>لا</v>
      </c>
    </row>
    <row r="615" customFormat="false" ht="15" hidden="false" customHeight="false" outlineLevel="0" collapsed="false">
      <c r="A615" s="19" t="n">
        <v>614</v>
      </c>
      <c r="B615" s="30" t="s">
        <v>363</v>
      </c>
      <c r="C615" s="44" t="n">
        <v>45364</v>
      </c>
      <c r="D615" s="30" t="s">
        <v>50</v>
      </c>
      <c r="E615" s="30" t="s">
        <v>107</v>
      </c>
      <c r="F615" s="30" t="s">
        <v>114</v>
      </c>
      <c r="G615" s="31" t="n">
        <v>5309</v>
      </c>
      <c r="H615" s="19" t="n">
        <v>1</v>
      </c>
      <c r="I615" s="32" t="n">
        <v>0</v>
      </c>
      <c r="J615" s="30" t="s">
        <v>52</v>
      </c>
      <c r="K615" s="30" t="s">
        <v>47</v>
      </c>
      <c r="L615" s="30" t="s">
        <v>78</v>
      </c>
      <c r="M615" s="31" t="n">
        <f aca="false">AVERAGEIF($E$2:$E$1197,E615,$G$2:$G$1197)</f>
        <v>4981.14563106796</v>
      </c>
      <c r="N615" s="19" t="str">
        <f aca="false">IF(G615&gt;M615*3,"نعم","لا")</f>
        <v>لا</v>
      </c>
      <c r="O615" s="19" t="str">
        <f aca="false">IF(OR(C615="",ISNUMBER(C615)),"لا","نعم")</f>
        <v>لا</v>
      </c>
      <c r="P615" s="19" t="str">
        <f aca="false">IF(COUNTIF($B$2:B615,B615)&gt;1,"مكرر","فريد")</f>
        <v>فريد</v>
      </c>
      <c r="Q615" s="19" t="str">
        <f aca="false">IF(COUNTBLANK(D615:L615)&gt;0,"نعم","لا")</f>
        <v>لا</v>
      </c>
    </row>
    <row r="616" customFormat="false" ht="15" hidden="false" customHeight="false" outlineLevel="0" collapsed="false">
      <c r="A616" s="19" t="n">
        <v>615</v>
      </c>
      <c r="B616" s="30" t="s">
        <v>1011</v>
      </c>
      <c r="C616" s="30" t="s">
        <v>1435</v>
      </c>
      <c r="D616" s="30" t="s">
        <v>54</v>
      </c>
      <c r="E616" s="30" t="s">
        <v>105</v>
      </c>
      <c r="F616" s="30" t="s">
        <v>85</v>
      </c>
      <c r="G616" s="31" t="n">
        <v>3269</v>
      </c>
      <c r="H616" s="19" t="n">
        <v>1</v>
      </c>
      <c r="I616" s="32" t="n">
        <v>0</v>
      </c>
      <c r="J616" s="30" t="s">
        <v>1360</v>
      </c>
      <c r="K616" s="30" t="s">
        <v>47</v>
      </c>
      <c r="L616" s="30" t="s">
        <v>94</v>
      </c>
      <c r="M616" s="31" t="n">
        <f aca="false">AVERAGEIF($E$2:$E$1197,E616,$G$2:$G$1197)</f>
        <v>2870.26771653543</v>
      </c>
      <c r="N616" s="19" t="str">
        <f aca="false">IF(G616&gt;M616*3,"نعم","لا")</f>
        <v>لا</v>
      </c>
      <c r="O616" s="19" t="str">
        <f aca="false">IF(OR(C616="",ISNUMBER(C616)),"لا","نعم")</f>
        <v>نعم</v>
      </c>
      <c r="P616" s="19" t="str">
        <f aca="false">IF(COUNTIF($B$2:B616,B616)&gt;1,"مكرر","فريد")</f>
        <v>فريد</v>
      </c>
      <c r="Q616" s="19" t="str">
        <f aca="false">IF(COUNTBLANK(D616:L616)&gt;0,"نعم","لا")</f>
        <v>لا</v>
      </c>
    </row>
    <row r="617" customFormat="false" ht="15" hidden="false" customHeight="false" outlineLevel="0" collapsed="false">
      <c r="A617" s="19" t="n">
        <v>616</v>
      </c>
      <c r="B617" s="30" t="s">
        <v>334</v>
      </c>
      <c r="C617" s="44" t="n">
        <v>45357</v>
      </c>
      <c r="D617" s="30" t="s">
        <v>57</v>
      </c>
      <c r="E617" s="30" t="s">
        <v>109</v>
      </c>
      <c r="F617" s="30" t="s">
        <v>175</v>
      </c>
      <c r="G617" s="31" t="n">
        <v>89</v>
      </c>
      <c r="H617" s="19" t="n">
        <v>1</v>
      </c>
      <c r="I617" s="32" t="n">
        <v>0.05</v>
      </c>
      <c r="J617" s="30" t="s">
        <v>48</v>
      </c>
      <c r="K617" s="30" t="s">
        <v>47</v>
      </c>
      <c r="L617" s="30" t="s">
        <v>81</v>
      </c>
      <c r="M617" s="31" t="n">
        <f aca="false">AVERAGEIF($E$2:$E$1197,E617,$G$2:$G$1197)</f>
        <v>186.056291390729</v>
      </c>
      <c r="N617" s="19" t="str">
        <f aca="false">IF(G617&gt;M617*3,"نعم","لا")</f>
        <v>لا</v>
      </c>
      <c r="O617" s="19" t="str">
        <f aca="false">IF(OR(C617="",ISNUMBER(C617)),"لا","نعم")</f>
        <v>لا</v>
      </c>
      <c r="P617" s="19" t="str">
        <f aca="false">IF(COUNTIF($B$2:B617,B617)&gt;1,"مكرر","فريد")</f>
        <v>فريد</v>
      </c>
      <c r="Q617" s="19" t="str">
        <f aca="false">IF(COUNTBLANK(D617:L617)&gt;0,"نعم","لا")</f>
        <v>لا</v>
      </c>
    </row>
    <row r="618" customFormat="false" ht="15" hidden="false" customHeight="false" outlineLevel="0" collapsed="false">
      <c r="A618" s="19" t="n">
        <v>617</v>
      </c>
      <c r="B618" s="30" t="s">
        <v>855</v>
      </c>
      <c r="C618" s="44" t="n">
        <v>45531</v>
      </c>
      <c r="D618" s="30" t="s">
        <v>46</v>
      </c>
      <c r="E618" s="30" t="s">
        <v>105</v>
      </c>
      <c r="F618" s="30" t="s">
        <v>85</v>
      </c>
      <c r="G618" s="31" t="n">
        <v>3389</v>
      </c>
      <c r="H618" s="19" t="n">
        <v>2</v>
      </c>
      <c r="I618" s="32" t="n">
        <v>0.1</v>
      </c>
      <c r="J618" s="30" t="s">
        <v>48</v>
      </c>
      <c r="K618" s="30" t="s">
        <v>47</v>
      </c>
      <c r="L618" s="30" t="s">
        <v>86</v>
      </c>
      <c r="M618" s="31" t="n">
        <f aca="false">AVERAGEIF($E$2:$E$1197,E618,$G$2:$G$1197)</f>
        <v>2870.26771653543</v>
      </c>
      <c r="N618" s="19" t="str">
        <f aca="false">IF(G618&gt;M618*3,"نعم","لا")</f>
        <v>لا</v>
      </c>
      <c r="O618" s="19" t="str">
        <f aca="false">IF(OR(C618="",ISNUMBER(C618)),"لا","نعم")</f>
        <v>لا</v>
      </c>
      <c r="P618" s="19" t="str">
        <f aca="false">IF(COUNTIF($B$2:B618,B618)&gt;1,"مكرر","فريد")</f>
        <v>فريد</v>
      </c>
      <c r="Q618" s="19" t="str">
        <f aca="false">IF(COUNTBLANK(D618:L618)&gt;0,"نعم","لا")</f>
        <v>لا</v>
      </c>
    </row>
    <row r="619" customFormat="false" ht="15" hidden="false" customHeight="false" outlineLevel="0" collapsed="false">
      <c r="A619" s="19" t="n">
        <v>618</v>
      </c>
      <c r="B619" s="30" t="s">
        <v>343</v>
      </c>
      <c r="C619" s="44" t="n">
        <v>45358</v>
      </c>
      <c r="D619" s="30" t="s">
        <v>50</v>
      </c>
      <c r="E619" s="30" t="s">
        <v>109</v>
      </c>
      <c r="F619" s="30" t="s">
        <v>1399</v>
      </c>
      <c r="G619" s="31" t="n">
        <v>269</v>
      </c>
      <c r="H619" s="19" t="n">
        <v>3</v>
      </c>
      <c r="I619" s="32" t="n">
        <v>0</v>
      </c>
      <c r="J619" s="30" t="s">
        <v>48</v>
      </c>
      <c r="K619" s="30" t="s">
        <v>51</v>
      </c>
      <c r="L619" s="30" t="s">
        <v>84</v>
      </c>
      <c r="M619" s="31" t="n">
        <f aca="false">AVERAGEIF($E$2:$E$1197,E619,$G$2:$G$1197)</f>
        <v>186.056291390729</v>
      </c>
      <c r="N619" s="19" t="str">
        <f aca="false">IF(G619&gt;M619*3,"نعم","لا")</f>
        <v>لا</v>
      </c>
      <c r="O619" s="19" t="str">
        <f aca="false">IF(OR(C619="",ISNUMBER(C619)),"لا","نعم")</f>
        <v>لا</v>
      </c>
      <c r="P619" s="19" t="str">
        <f aca="false">IF(COUNTIF($B$2:B619,B619)&gt;1,"مكرر","فريد")</f>
        <v>فريد</v>
      </c>
      <c r="Q619" s="19" t="str">
        <f aca="false">IF(COUNTBLANK(D619:L619)&gt;0,"نعم","لا")</f>
        <v>لا</v>
      </c>
    </row>
    <row r="620" customFormat="false" ht="15" hidden="false" customHeight="false" outlineLevel="0" collapsed="false">
      <c r="A620" s="19" t="n">
        <v>619</v>
      </c>
      <c r="B620" s="30" t="s">
        <v>676</v>
      </c>
      <c r="C620" s="44" t="n">
        <v>45477</v>
      </c>
      <c r="D620" s="30" t="s">
        <v>57</v>
      </c>
      <c r="E620" s="30" t="s">
        <v>111</v>
      </c>
      <c r="F620" s="30" t="s">
        <v>120</v>
      </c>
      <c r="G620" s="31" t="n">
        <v>469</v>
      </c>
      <c r="H620" s="19" t="n">
        <v>1</v>
      </c>
      <c r="I620" s="32" t="n">
        <v>0</v>
      </c>
      <c r="J620" s="30" t="s">
        <v>58</v>
      </c>
      <c r="K620" s="30" t="s">
        <v>47</v>
      </c>
      <c r="L620" s="30" t="s">
        <v>86</v>
      </c>
      <c r="M620" s="31" t="n">
        <f aca="false">AVERAGEIF($E$2:$E$1197,E620,$G$2:$G$1197)</f>
        <v>366.306569343066</v>
      </c>
      <c r="N620" s="19" t="str">
        <f aca="false">IF(G620&gt;M620*3,"نعم","لا")</f>
        <v>لا</v>
      </c>
      <c r="O620" s="19" t="str">
        <f aca="false">IF(OR(C620="",ISNUMBER(C620)),"لا","نعم")</f>
        <v>لا</v>
      </c>
      <c r="P620" s="19" t="str">
        <f aca="false">IF(COUNTIF($B$2:B620,B620)&gt;1,"مكرر","فريد")</f>
        <v>فريد</v>
      </c>
      <c r="Q620" s="19" t="str">
        <f aca="false">IF(COUNTBLANK(D620:L620)&gt;0,"نعم","لا")</f>
        <v>لا</v>
      </c>
    </row>
    <row r="621" customFormat="false" ht="15" hidden="false" customHeight="false" outlineLevel="0" collapsed="false">
      <c r="A621" s="19" t="n">
        <v>620</v>
      </c>
      <c r="B621" s="30" t="s">
        <v>1059</v>
      </c>
      <c r="C621" s="44" t="n">
        <v>45599</v>
      </c>
      <c r="D621" s="30" t="s">
        <v>60</v>
      </c>
      <c r="E621" s="30" t="s">
        <v>107</v>
      </c>
      <c r="F621" s="30" t="s">
        <v>184</v>
      </c>
      <c r="G621" s="31" t="n">
        <v>3939</v>
      </c>
      <c r="H621" s="19" t="n">
        <v>1</v>
      </c>
      <c r="I621" s="32" t="n">
        <v>0</v>
      </c>
      <c r="J621" s="30" t="s">
        <v>52</v>
      </c>
      <c r="K621" s="30"/>
      <c r="L621" s="30" t="s">
        <v>78</v>
      </c>
      <c r="M621" s="31" t="n">
        <f aca="false">AVERAGEIF($E$2:$E$1197,E621,$G$2:$G$1197)</f>
        <v>4981.14563106796</v>
      </c>
      <c r="N621" s="19" t="str">
        <f aca="false">IF(G621&gt;M621*3,"نعم","لا")</f>
        <v>لا</v>
      </c>
      <c r="O621" s="19" t="str">
        <f aca="false">IF(OR(C621="",ISNUMBER(C621)),"لا","نعم")</f>
        <v>لا</v>
      </c>
      <c r="P621" s="19" t="str">
        <f aca="false">IF(COUNTIF($B$2:B621,B621)&gt;1,"مكرر","فريد")</f>
        <v>فريد</v>
      </c>
      <c r="Q621" s="19" t="str">
        <f aca="false">IF(COUNTBLANK(D621:L621)&gt;0,"نعم","لا")</f>
        <v>نعم</v>
      </c>
    </row>
    <row r="622" customFormat="false" ht="15" hidden="false" customHeight="false" outlineLevel="0" collapsed="false">
      <c r="A622" s="19" t="n">
        <v>621</v>
      </c>
      <c r="B622" s="30" t="s">
        <v>1076</v>
      </c>
      <c r="C622" s="44" t="n">
        <v>45603</v>
      </c>
      <c r="D622" s="30" t="s">
        <v>46</v>
      </c>
      <c r="E622" s="30" t="s">
        <v>109</v>
      </c>
      <c r="F622" s="30" t="s">
        <v>110</v>
      </c>
      <c r="G622" s="31" t="n">
        <v>239</v>
      </c>
      <c r="H622" s="19" t="n">
        <v>8</v>
      </c>
      <c r="I622" s="32" t="n">
        <v>0</v>
      </c>
      <c r="J622" s="30" t="s">
        <v>1348</v>
      </c>
      <c r="K622" s="30" t="s">
        <v>51</v>
      </c>
      <c r="L622" s="30" t="s">
        <v>76</v>
      </c>
      <c r="M622" s="31" t="n">
        <f aca="false">AVERAGEIF($E$2:$E$1197,E622,$G$2:$G$1197)</f>
        <v>186.056291390729</v>
      </c>
      <c r="N622" s="19" t="str">
        <f aca="false">IF(G622&gt;M622*3,"نعم","لا")</f>
        <v>لا</v>
      </c>
      <c r="O622" s="19" t="str">
        <f aca="false">IF(OR(C622="",ISNUMBER(C622)),"لا","نعم")</f>
        <v>لا</v>
      </c>
      <c r="P622" s="19" t="str">
        <f aca="false">IF(COUNTIF($B$2:B622,B622)&gt;1,"مكرر","فريد")</f>
        <v>فريد</v>
      </c>
      <c r="Q622" s="19" t="str">
        <f aca="false">IF(COUNTBLANK(D622:L622)&gt;0,"نعم","لا")</f>
        <v>لا</v>
      </c>
    </row>
    <row r="623" customFormat="false" ht="15" hidden="false" customHeight="false" outlineLevel="0" collapsed="false">
      <c r="A623" s="19" t="n">
        <v>622</v>
      </c>
      <c r="B623" s="30" t="s">
        <v>653</v>
      </c>
      <c r="C623" s="30" t="s">
        <v>1436</v>
      </c>
      <c r="D623" s="30" t="s">
        <v>50</v>
      </c>
      <c r="E623" s="30" t="s">
        <v>105</v>
      </c>
      <c r="F623" s="30" t="s">
        <v>90</v>
      </c>
      <c r="G623" s="31" t="n">
        <v>1969</v>
      </c>
      <c r="H623" s="19" t="n">
        <v>1</v>
      </c>
      <c r="I623" s="32" t="n">
        <v>0.2</v>
      </c>
      <c r="J623" s="30" t="s">
        <v>58</v>
      </c>
      <c r="K623" s="30" t="s">
        <v>47</v>
      </c>
      <c r="L623" s="30" t="s">
        <v>94</v>
      </c>
      <c r="M623" s="31" t="n">
        <f aca="false">AVERAGEIF($E$2:$E$1197,E623,$G$2:$G$1197)</f>
        <v>2870.26771653543</v>
      </c>
      <c r="N623" s="19" t="str">
        <f aca="false">IF(G623&gt;M623*3,"نعم","لا")</f>
        <v>لا</v>
      </c>
      <c r="O623" s="19" t="str">
        <f aca="false">IF(OR(C623="",ISNUMBER(C623)),"لا","نعم")</f>
        <v>نعم</v>
      </c>
      <c r="P623" s="19" t="str">
        <f aca="false">IF(COUNTIF($B$2:B623,B623)&gt;1,"مكرر","فريد")</f>
        <v>فريد</v>
      </c>
      <c r="Q623" s="19" t="str">
        <f aca="false">IF(COUNTBLANK(D623:L623)&gt;0,"نعم","لا")</f>
        <v>لا</v>
      </c>
    </row>
    <row r="624" customFormat="false" ht="15" hidden="false" customHeight="false" outlineLevel="0" collapsed="false">
      <c r="A624" s="19" t="n">
        <v>623</v>
      </c>
      <c r="B624" s="30" t="s">
        <v>244</v>
      </c>
      <c r="C624" s="44" t="n">
        <v>45320</v>
      </c>
      <c r="D624" s="30" t="s">
        <v>57</v>
      </c>
      <c r="E624" s="30" t="s">
        <v>109</v>
      </c>
      <c r="F624" s="30" t="s">
        <v>171</v>
      </c>
      <c r="G624" s="31" t="n">
        <v>279</v>
      </c>
      <c r="H624" s="19" t="n">
        <v>2</v>
      </c>
      <c r="I624" s="32" t="n">
        <v>0.05</v>
      </c>
      <c r="J624" s="30" t="s">
        <v>48</v>
      </c>
      <c r="K624" s="30" t="s">
        <v>47</v>
      </c>
      <c r="L624" s="30" t="s">
        <v>89</v>
      </c>
      <c r="M624" s="31" t="n">
        <f aca="false">AVERAGEIF($E$2:$E$1197,E624,$G$2:$G$1197)</f>
        <v>186.056291390729</v>
      </c>
      <c r="N624" s="19" t="str">
        <f aca="false">IF(G624&gt;M624*3,"نعم","لا")</f>
        <v>لا</v>
      </c>
      <c r="O624" s="19" t="str">
        <f aca="false">IF(OR(C624="",ISNUMBER(C624)),"لا","نعم")</f>
        <v>لا</v>
      </c>
      <c r="P624" s="19" t="str">
        <f aca="false">IF(COUNTIF($B$2:B624,B624)&gt;1,"مكرر","فريد")</f>
        <v>فريد</v>
      </c>
      <c r="Q624" s="19" t="str">
        <f aca="false">IF(COUNTBLANK(D624:L624)&gt;0,"نعم","لا")</f>
        <v>لا</v>
      </c>
    </row>
    <row r="625" customFormat="false" ht="15" hidden="false" customHeight="false" outlineLevel="0" collapsed="false">
      <c r="A625" s="19" t="n">
        <v>624</v>
      </c>
      <c r="B625" s="30" t="s">
        <v>1115</v>
      </c>
      <c r="C625" s="30" t="s">
        <v>1437</v>
      </c>
      <c r="D625" s="30" t="s">
        <v>50</v>
      </c>
      <c r="E625" s="30" t="s">
        <v>109</v>
      </c>
      <c r="F625" s="30" t="s">
        <v>175</v>
      </c>
      <c r="G625" s="31" t="n">
        <v>179</v>
      </c>
      <c r="H625" s="19" t="n">
        <v>1</v>
      </c>
      <c r="I625" s="32" t="n">
        <v>0</v>
      </c>
      <c r="J625" s="30" t="s">
        <v>48</v>
      </c>
      <c r="K625" s="30" t="s">
        <v>47</v>
      </c>
      <c r="L625" s="30" t="s">
        <v>78</v>
      </c>
      <c r="M625" s="31" t="n">
        <f aca="false">AVERAGEIF($E$2:$E$1197,E625,$G$2:$G$1197)</f>
        <v>186.056291390729</v>
      </c>
      <c r="N625" s="19" t="str">
        <f aca="false">IF(G625&gt;M625*3,"نعم","لا")</f>
        <v>لا</v>
      </c>
      <c r="O625" s="19" t="str">
        <f aca="false">IF(OR(C625="",ISNUMBER(C625)),"لا","نعم")</f>
        <v>نعم</v>
      </c>
      <c r="P625" s="19" t="str">
        <f aca="false">IF(COUNTIF($B$2:B625,B625)&gt;1,"مكرر","فريد")</f>
        <v>فريد</v>
      </c>
      <c r="Q625" s="19" t="str">
        <f aca="false">IF(COUNTBLANK(D625:L625)&gt;0,"نعم","لا")</f>
        <v>لا</v>
      </c>
    </row>
    <row r="626" customFormat="false" ht="15" hidden="false" customHeight="false" outlineLevel="0" collapsed="false">
      <c r="A626" s="19" t="n">
        <v>625</v>
      </c>
      <c r="B626" s="30" t="s">
        <v>1438</v>
      </c>
      <c r="C626" s="30" t="s">
        <v>1439</v>
      </c>
      <c r="D626" s="30" t="s">
        <v>46</v>
      </c>
      <c r="E626" s="30" t="s">
        <v>105</v>
      </c>
      <c r="F626" s="30" t="s">
        <v>82</v>
      </c>
      <c r="G626" s="31" t="n">
        <v>2649</v>
      </c>
      <c r="H626" s="19" t="n">
        <v>5</v>
      </c>
      <c r="I626" s="32" t="n">
        <v>0</v>
      </c>
      <c r="J626" s="30" t="s">
        <v>48</v>
      </c>
      <c r="K626" s="30" t="s">
        <v>51</v>
      </c>
      <c r="L626" s="30" t="s">
        <v>99</v>
      </c>
      <c r="M626" s="31" t="n">
        <f aca="false">AVERAGEIF($E$2:$E$1197,E626,$G$2:$G$1197)</f>
        <v>2870.26771653543</v>
      </c>
      <c r="N626" s="19" t="str">
        <f aca="false">IF(G626&gt;M626*3,"نعم","لا")</f>
        <v>لا</v>
      </c>
      <c r="O626" s="19" t="str">
        <f aca="false">IF(OR(C626="",ISNUMBER(C626)),"لا","نعم")</f>
        <v>نعم</v>
      </c>
      <c r="P626" s="19" t="str">
        <f aca="false">IF(COUNTIF($B$2:B626,B626)&gt;1,"مكرر","فريد")</f>
        <v>فريد</v>
      </c>
      <c r="Q626" s="19" t="str">
        <f aca="false">IF(COUNTBLANK(D626:L626)&gt;0,"نعم","لا")</f>
        <v>لا</v>
      </c>
    </row>
    <row r="627" customFormat="false" ht="15" hidden="false" customHeight="false" outlineLevel="0" collapsed="false">
      <c r="A627" s="19" t="n">
        <v>626</v>
      </c>
      <c r="B627" s="30" t="s">
        <v>401</v>
      </c>
      <c r="C627" s="30" t="s">
        <v>1440</v>
      </c>
      <c r="D627" s="30" t="s">
        <v>46</v>
      </c>
      <c r="E627" s="30" t="s">
        <v>113</v>
      </c>
      <c r="F627" s="30" t="s">
        <v>100</v>
      </c>
      <c r="G627" s="31" t="n">
        <v>299</v>
      </c>
      <c r="H627" s="19" t="n">
        <v>1</v>
      </c>
      <c r="I627" s="32" t="n">
        <v>0.05</v>
      </c>
      <c r="J627" s="30" t="s">
        <v>58</v>
      </c>
      <c r="K627" s="30" t="s">
        <v>47</v>
      </c>
      <c r="L627" s="30" t="s">
        <v>94</v>
      </c>
      <c r="M627" s="31" t="n">
        <f aca="false">AVERAGEIF($E$2:$E$1197,E627,$G$2:$G$1197)</f>
        <v>545.358823529412</v>
      </c>
      <c r="N627" s="19" t="str">
        <f aca="false">IF(G627&gt;M627*3,"نعم","لا")</f>
        <v>لا</v>
      </c>
      <c r="O627" s="19" t="str">
        <f aca="false">IF(OR(C627="",ISNUMBER(C627)),"لا","نعم")</f>
        <v>نعم</v>
      </c>
      <c r="P627" s="19" t="str">
        <f aca="false">IF(COUNTIF($B$2:B627,B627)&gt;1,"مكرر","فريد")</f>
        <v>فريد</v>
      </c>
      <c r="Q627" s="19" t="str">
        <f aca="false">IF(COUNTBLANK(D627:L627)&gt;0,"نعم","لا")</f>
        <v>لا</v>
      </c>
    </row>
    <row r="628" customFormat="false" ht="15" hidden="false" customHeight="false" outlineLevel="0" collapsed="false">
      <c r="A628" s="19" t="n">
        <v>627</v>
      </c>
      <c r="B628" s="30" t="s">
        <v>384</v>
      </c>
      <c r="C628" s="44" t="n">
        <v>45371</v>
      </c>
      <c r="D628" s="30" t="s">
        <v>46</v>
      </c>
      <c r="E628" s="30" t="s">
        <v>111</v>
      </c>
      <c r="F628" s="30" t="s">
        <v>120</v>
      </c>
      <c r="G628" s="31" t="n">
        <v>219</v>
      </c>
      <c r="H628" s="19" t="n">
        <v>1</v>
      </c>
      <c r="I628" s="32" t="n">
        <v>0</v>
      </c>
      <c r="J628" s="30" t="s">
        <v>52</v>
      </c>
      <c r="K628" s="30" t="s">
        <v>47</v>
      </c>
      <c r="L628" s="30" t="s">
        <v>81</v>
      </c>
      <c r="M628" s="31" t="n">
        <f aca="false">AVERAGEIF($E$2:$E$1197,E628,$G$2:$G$1197)</f>
        <v>366.306569343066</v>
      </c>
      <c r="N628" s="19" t="str">
        <f aca="false">IF(G628&gt;M628*3,"نعم","لا")</f>
        <v>لا</v>
      </c>
      <c r="O628" s="19" t="str">
        <f aca="false">IF(OR(C628="",ISNUMBER(C628)),"لا","نعم")</f>
        <v>لا</v>
      </c>
      <c r="P628" s="19" t="str">
        <f aca="false">IF(COUNTIF($B$2:B628,B628)&gt;1,"مكرر","فريد")</f>
        <v>فريد</v>
      </c>
      <c r="Q628" s="19" t="str">
        <f aca="false">IF(COUNTBLANK(D628:L628)&gt;0,"نعم","لا")</f>
        <v>لا</v>
      </c>
    </row>
    <row r="629" customFormat="false" ht="15" hidden="false" customHeight="false" outlineLevel="0" collapsed="false">
      <c r="A629" s="19" t="n">
        <v>628</v>
      </c>
      <c r="B629" s="30" t="s">
        <v>1085</v>
      </c>
      <c r="C629" s="30" t="s">
        <v>1441</v>
      </c>
      <c r="D629" s="30" t="s">
        <v>60</v>
      </c>
      <c r="E629" s="30" t="s">
        <v>105</v>
      </c>
      <c r="F629" s="30" t="s">
        <v>82</v>
      </c>
      <c r="G629" s="31" t="n">
        <v>4249</v>
      </c>
      <c r="H629" s="19" t="n">
        <v>6</v>
      </c>
      <c r="I629" s="32" t="n">
        <v>0</v>
      </c>
      <c r="J629" s="30" t="s">
        <v>55</v>
      </c>
      <c r="K629" s="30" t="s">
        <v>51</v>
      </c>
      <c r="L629" s="30" t="s">
        <v>81</v>
      </c>
      <c r="M629" s="31" t="n">
        <f aca="false">AVERAGEIF($E$2:$E$1197,E629,$G$2:$G$1197)</f>
        <v>2870.26771653543</v>
      </c>
      <c r="N629" s="19" t="str">
        <f aca="false">IF(G629&gt;M629*3,"نعم","لا")</f>
        <v>لا</v>
      </c>
      <c r="O629" s="19" t="str">
        <f aca="false">IF(OR(C629="",ISNUMBER(C629)),"لا","نعم")</f>
        <v>نعم</v>
      </c>
      <c r="P629" s="19" t="str">
        <f aca="false">IF(COUNTIF($B$2:B629,B629)&gt;1,"مكرر","فريد")</f>
        <v>فريد</v>
      </c>
      <c r="Q629" s="19" t="str">
        <f aca="false">IF(COUNTBLANK(D629:L629)&gt;0,"نعم","لا")</f>
        <v>لا</v>
      </c>
    </row>
    <row r="630" customFormat="false" ht="15" hidden="false" customHeight="false" outlineLevel="0" collapsed="false">
      <c r="A630" s="19" t="n">
        <v>629</v>
      </c>
      <c r="B630" s="30" t="s">
        <v>303</v>
      </c>
      <c r="C630" s="44" t="n">
        <v>45342</v>
      </c>
      <c r="D630" s="30" t="s">
        <v>57</v>
      </c>
      <c r="E630" s="30" t="s">
        <v>111</v>
      </c>
      <c r="F630" s="30" t="s">
        <v>118</v>
      </c>
      <c r="G630" s="31" t="n">
        <v>119</v>
      </c>
      <c r="H630" s="19" t="n">
        <v>1</v>
      </c>
      <c r="I630" s="32" t="n">
        <v>0</v>
      </c>
      <c r="J630" s="30" t="s">
        <v>52</v>
      </c>
      <c r="K630" s="30" t="s">
        <v>47</v>
      </c>
      <c r="L630" s="30" t="s">
        <v>78</v>
      </c>
      <c r="M630" s="31" t="n">
        <f aca="false">AVERAGEIF($E$2:$E$1197,E630,$G$2:$G$1197)</f>
        <v>366.306569343066</v>
      </c>
      <c r="N630" s="19" t="str">
        <f aca="false">IF(G630&gt;M630*3,"نعم","لا")</f>
        <v>لا</v>
      </c>
      <c r="O630" s="19" t="str">
        <f aca="false">IF(OR(C630="",ISNUMBER(C630)),"لا","نعم")</f>
        <v>لا</v>
      </c>
      <c r="P630" s="19" t="str">
        <f aca="false">IF(COUNTIF($B$2:B630,B630)&gt;1,"مكرر","فريد")</f>
        <v>فريد</v>
      </c>
      <c r="Q630" s="19" t="str">
        <f aca="false">IF(COUNTBLANK(D630:L630)&gt;0,"نعم","لا")</f>
        <v>لا</v>
      </c>
    </row>
    <row r="631" customFormat="false" ht="15" hidden="false" customHeight="false" outlineLevel="0" collapsed="false">
      <c r="A631" s="19" t="n">
        <v>630</v>
      </c>
      <c r="B631" s="30" t="s">
        <v>875</v>
      </c>
      <c r="C631" s="44" t="n">
        <v>45536</v>
      </c>
      <c r="D631" s="30" t="s">
        <v>57</v>
      </c>
      <c r="E631" s="30" t="s">
        <v>107</v>
      </c>
      <c r="F631" s="30" t="s">
        <v>115</v>
      </c>
      <c r="G631" s="31" t="n">
        <v>7019</v>
      </c>
      <c r="H631" s="19" t="n">
        <v>1</v>
      </c>
      <c r="I631" s="32" t="n">
        <v>0.05</v>
      </c>
      <c r="J631" s="30" t="s">
        <v>55</v>
      </c>
      <c r="K631" s="30" t="s">
        <v>47</v>
      </c>
      <c r="L631" s="30" t="s">
        <v>94</v>
      </c>
      <c r="M631" s="31" t="n">
        <f aca="false">AVERAGEIF($E$2:$E$1197,E631,$G$2:$G$1197)</f>
        <v>4981.14563106796</v>
      </c>
      <c r="N631" s="19" t="str">
        <f aca="false">IF(G631&gt;M631*3,"نعم","لا")</f>
        <v>لا</v>
      </c>
      <c r="O631" s="19" t="str">
        <f aca="false">IF(OR(C631="",ISNUMBER(C631)),"لا","نعم")</f>
        <v>لا</v>
      </c>
      <c r="P631" s="19" t="str">
        <f aca="false">IF(COUNTIF($B$2:B631,B631)&gt;1,"مكرر","فريد")</f>
        <v>فريد</v>
      </c>
      <c r="Q631" s="19" t="str">
        <f aca="false">IF(COUNTBLANK(D631:L631)&gt;0,"نعم","لا")</f>
        <v>لا</v>
      </c>
    </row>
    <row r="632" customFormat="false" ht="15" hidden="false" customHeight="false" outlineLevel="0" collapsed="false">
      <c r="A632" s="19" t="n">
        <v>631</v>
      </c>
      <c r="B632" s="30" t="s">
        <v>1081</v>
      </c>
      <c r="C632" s="44" t="n">
        <v>45604</v>
      </c>
      <c r="D632" s="30" t="s">
        <v>46</v>
      </c>
      <c r="E632" s="30" t="s">
        <v>105</v>
      </c>
      <c r="F632" s="30" t="s">
        <v>85</v>
      </c>
      <c r="G632" s="31" t="n">
        <v>2429</v>
      </c>
      <c r="H632" s="19" t="n">
        <v>1</v>
      </c>
      <c r="I632" s="32" t="n">
        <v>0</v>
      </c>
      <c r="J632" s="30" t="s">
        <v>52</v>
      </c>
      <c r="K632" s="30" t="s">
        <v>47</v>
      </c>
      <c r="L632" s="30" t="s">
        <v>76</v>
      </c>
      <c r="M632" s="31" t="n">
        <f aca="false">AVERAGEIF($E$2:$E$1197,E632,$G$2:$G$1197)</f>
        <v>2870.26771653543</v>
      </c>
      <c r="N632" s="19" t="str">
        <f aca="false">IF(G632&gt;M632*3,"نعم","لا")</f>
        <v>لا</v>
      </c>
      <c r="O632" s="19" t="str">
        <f aca="false">IF(OR(C632="",ISNUMBER(C632)),"لا","نعم")</f>
        <v>لا</v>
      </c>
      <c r="P632" s="19" t="str">
        <f aca="false">IF(COUNTIF($B$2:B632,B632)&gt;1,"مكرر","فريد")</f>
        <v>فريد</v>
      </c>
      <c r="Q632" s="19" t="str">
        <f aca="false">IF(COUNTBLANK(D632:L632)&gt;0,"نعم","لا")</f>
        <v>لا</v>
      </c>
    </row>
    <row r="633" customFormat="false" ht="15" hidden="false" customHeight="false" outlineLevel="0" collapsed="false">
      <c r="A633" s="19" t="n">
        <v>632</v>
      </c>
      <c r="B633" s="30" t="s">
        <v>351</v>
      </c>
      <c r="C633" s="44" t="n">
        <v>45362</v>
      </c>
      <c r="D633" s="30" t="s">
        <v>57</v>
      </c>
      <c r="E633" s="30" t="s">
        <v>111</v>
      </c>
      <c r="F633" s="30" t="s">
        <v>108</v>
      </c>
      <c r="G633" s="31" t="n">
        <v>129</v>
      </c>
      <c r="H633" s="19" t="n">
        <v>1</v>
      </c>
      <c r="I633" s="32" t="n">
        <v>0</v>
      </c>
      <c r="J633" s="30" t="s">
        <v>48</v>
      </c>
      <c r="K633" s="30" t="s">
        <v>47</v>
      </c>
      <c r="L633" s="30" t="s">
        <v>99</v>
      </c>
      <c r="M633" s="31" t="n">
        <f aca="false">AVERAGEIF($E$2:$E$1197,E633,$G$2:$G$1197)</f>
        <v>366.306569343066</v>
      </c>
      <c r="N633" s="19" t="str">
        <f aca="false">IF(G633&gt;M633*3,"نعم","لا")</f>
        <v>لا</v>
      </c>
      <c r="O633" s="19" t="str">
        <f aca="false">IF(OR(C633="",ISNUMBER(C633)),"لا","نعم")</f>
        <v>لا</v>
      </c>
      <c r="P633" s="19" t="str">
        <f aca="false">IF(COUNTIF($B$2:B633,B633)&gt;1,"مكرر","فريد")</f>
        <v>فريد</v>
      </c>
      <c r="Q633" s="19" t="str">
        <f aca="false">IF(COUNTBLANK(D633:L633)&gt;0,"نعم","لا")</f>
        <v>لا</v>
      </c>
    </row>
    <row r="634" customFormat="false" ht="15" hidden="false" customHeight="false" outlineLevel="0" collapsed="false">
      <c r="A634" s="19" t="n">
        <v>633</v>
      </c>
      <c r="B634" s="30" t="s">
        <v>212</v>
      </c>
      <c r="C634" s="44" t="n">
        <v>45306</v>
      </c>
      <c r="D634" s="30" t="s">
        <v>54</v>
      </c>
      <c r="E634" s="30" t="s">
        <v>113</v>
      </c>
      <c r="F634" s="30" t="s">
        <v>97</v>
      </c>
      <c r="G634" s="31" t="n">
        <v>779</v>
      </c>
      <c r="H634" s="19" t="n">
        <v>1</v>
      </c>
      <c r="I634" s="32" t="n">
        <v>0.1</v>
      </c>
      <c r="J634" s="30" t="s">
        <v>52</v>
      </c>
      <c r="K634" s="30" t="s">
        <v>47</v>
      </c>
      <c r="L634" s="30" t="s">
        <v>86</v>
      </c>
      <c r="M634" s="31" t="n">
        <f aca="false">AVERAGEIF($E$2:$E$1197,E634,$G$2:$G$1197)</f>
        <v>545.358823529412</v>
      </c>
      <c r="N634" s="19" t="str">
        <f aca="false">IF(G634&gt;M634*3,"نعم","لا")</f>
        <v>لا</v>
      </c>
      <c r="O634" s="19" t="str">
        <f aca="false">IF(OR(C634="",ISNUMBER(C634)),"لا","نعم")</f>
        <v>لا</v>
      </c>
      <c r="P634" s="19" t="str">
        <f aca="false">IF(COUNTIF($B$2:B634,B634)&gt;1,"مكرر","فريد")</f>
        <v>فريد</v>
      </c>
      <c r="Q634" s="19" t="str">
        <f aca="false">IF(COUNTBLANK(D634:L634)&gt;0,"نعم","لا")</f>
        <v>لا</v>
      </c>
    </row>
    <row r="635" customFormat="false" ht="15" hidden="false" customHeight="false" outlineLevel="0" collapsed="false">
      <c r="A635" s="19" t="n">
        <v>634</v>
      </c>
      <c r="B635" s="30" t="s">
        <v>279</v>
      </c>
      <c r="C635" s="44" t="n">
        <v>45332</v>
      </c>
      <c r="D635" s="30" t="s">
        <v>60</v>
      </c>
      <c r="E635" s="30" t="s">
        <v>109</v>
      </c>
      <c r="F635" s="30" t="s">
        <v>171</v>
      </c>
      <c r="G635" s="31" t="n">
        <v>289</v>
      </c>
      <c r="H635" s="19" t="n">
        <v>4</v>
      </c>
      <c r="I635" s="32" t="n">
        <v>0.05</v>
      </c>
      <c r="J635" s="30" t="s">
        <v>52</v>
      </c>
      <c r="K635" s="30" t="s">
        <v>51</v>
      </c>
      <c r="L635" s="30" t="s">
        <v>94</v>
      </c>
      <c r="M635" s="31" t="n">
        <f aca="false">AVERAGEIF($E$2:$E$1197,E635,$G$2:$G$1197)</f>
        <v>186.056291390729</v>
      </c>
      <c r="N635" s="19" t="str">
        <f aca="false">IF(G635&gt;M635*3,"نعم","لا")</f>
        <v>لا</v>
      </c>
      <c r="O635" s="19" t="str">
        <f aca="false">IF(OR(C635="",ISNUMBER(C635)),"لا","نعم")</f>
        <v>لا</v>
      </c>
      <c r="P635" s="19" t="str">
        <f aca="false">IF(COUNTIF($B$2:B635,B635)&gt;1,"مكرر","فريد")</f>
        <v>فريد</v>
      </c>
      <c r="Q635" s="19" t="str">
        <f aca="false">IF(COUNTBLANK(D635:L635)&gt;0,"نعم","لا")</f>
        <v>لا</v>
      </c>
    </row>
    <row r="636" customFormat="false" ht="15" hidden="false" customHeight="false" outlineLevel="0" collapsed="false">
      <c r="A636" s="19" t="n">
        <v>635</v>
      </c>
      <c r="B636" s="30" t="s">
        <v>990</v>
      </c>
      <c r="C636" s="44" t="n">
        <v>45577</v>
      </c>
      <c r="D636" s="30" t="s">
        <v>50</v>
      </c>
      <c r="E636" s="30" t="s">
        <v>109</v>
      </c>
      <c r="F636" s="30" t="s">
        <v>171</v>
      </c>
      <c r="G636" s="31" t="n">
        <v>39</v>
      </c>
      <c r="H636" s="19" t="n">
        <v>2</v>
      </c>
      <c r="I636" s="32" t="n">
        <v>0</v>
      </c>
      <c r="J636" s="30" t="s">
        <v>48</v>
      </c>
      <c r="K636" s="30" t="s">
        <v>47</v>
      </c>
      <c r="L636" s="30" t="s">
        <v>86</v>
      </c>
      <c r="M636" s="31" t="n">
        <f aca="false">AVERAGEIF($E$2:$E$1197,E636,$G$2:$G$1197)</f>
        <v>186.056291390729</v>
      </c>
      <c r="N636" s="19" t="str">
        <f aca="false">IF(G636&gt;M636*3,"نعم","لا")</f>
        <v>لا</v>
      </c>
      <c r="O636" s="19" t="str">
        <f aca="false">IF(OR(C636="",ISNUMBER(C636)),"لا","نعم")</f>
        <v>لا</v>
      </c>
      <c r="P636" s="19" t="str">
        <f aca="false">IF(COUNTIF($B$2:B636,B636)&gt;1,"مكرر","فريد")</f>
        <v>فريد</v>
      </c>
      <c r="Q636" s="19" t="str">
        <f aca="false">IF(COUNTBLANK(D636:L636)&gt;0,"نعم","لا")</f>
        <v>لا</v>
      </c>
    </row>
    <row r="637" customFormat="false" ht="15" hidden="false" customHeight="false" outlineLevel="0" collapsed="false">
      <c r="A637" s="19" t="n">
        <v>636</v>
      </c>
      <c r="B637" s="30" t="s">
        <v>726</v>
      </c>
      <c r="C637" s="44" t="n">
        <v>45495</v>
      </c>
      <c r="D637" s="30" t="s">
        <v>60</v>
      </c>
      <c r="E637" s="30" t="s">
        <v>109</v>
      </c>
      <c r="F637" s="30" t="s">
        <v>110</v>
      </c>
      <c r="G637" s="31" t="n">
        <v>49</v>
      </c>
      <c r="H637" s="19" t="n">
        <v>2</v>
      </c>
      <c r="I637" s="32" t="n">
        <v>0.1</v>
      </c>
      <c r="J637" s="30" t="s">
        <v>52</v>
      </c>
      <c r="K637" s="30" t="s">
        <v>47</v>
      </c>
      <c r="L637" s="30" t="s">
        <v>96</v>
      </c>
      <c r="M637" s="31" t="n">
        <f aca="false">AVERAGEIF($E$2:$E$1197,E637,$G$2:$G$1197)</f>
        <v>186.056291390729</v>
      </c>
      <c r="N637" s="19" t="str">
        <f aca="false">IF(G637&gt;M637*3,"نعم","لا")</f>
        <v>لا</v>
      </c>
      <c r="O637" s="19" t="str">
        <f aca="false">IF(OR(C637="",ISNUMBER(C637)),"لا","نعم")</f>
        <v>لا</v>
      </c>
      <c r="P637" s="19" t="str">
        <f aca="false">IF(COUNTIF($B$2:B637,B637)&gt;1,"مكرر","فريد")</f>
        <v>فريد</v>
      </c>
      <c r="Q637" s="19" t="str">
        <f aca="false">IF(COUNTBLANK(D637:L637)&gt;0,"نعم","لا")</f>
        <v>لا</v>
      </c>
    </row>
    <row r="638" customFormat="false" ht="15" hidden="false" customHeight="false" outlineLevel="0" collapsed="false">
      <c r="A638" s="19" t="n">
        <v>637</v>
      </c>
      <c r="B638" s="30" t="s">
        <v>1207</v>
      </c>
      <c r="C638" s="44" t="n">
        <v>45633</v>
      </c>
      <c r="D638" s="30" t="s">
        <v>46</v>
      </c>
      <c r="E638" s="30" t="s">
        <v>105</v>
      </c>
      <c r="F638" s="30" t="s">
        <v>179</v>
      </c>
      <c r="G638" s="31" t="n">
        <v>1569</v>
      </c>
      <c r="H638" s="19" t="n">
        <v>2</v>
      </c>
      <c r="I638" s="32" t="n">
        <v>0</v>
      </c>
      <c r="J638" s="30" t="s">
        <v>52</v>
      </c>
      <c r="K638" s="30" t="s">
        <v>47</v>
      </c>
      <c r="L638" s="30" t="s">
        <v>92</v>
      </c>
      <c r="M638" s="31" t="n">
        <f aca="false">AVERAGEIF($E$2:$E$1197,E638,$G$2:$G$1197)</f>
        <v>2870.26771653543</v>
      </c>
      <c r="N638" s="19" t="str">
        <f aca="false">IF(G638&gt;M638*3,"نعم","لا")</f>
        <v>لا</v>
      </c>
      <c r="O638" s="19" t="str">
        <f aca="false">IF(OR(C638="",ISNUMBER(C638)),"لا","نعم")</f>
        <v>لا</v>
      </c>
      <c r="P638" s="19" t="str">
        <f aca="false">IF(COUNTIF($B$2:B638,B638)&gt;1,"مكرر","فريد")</f>
        <v>فريد</v>
      </c>
      <c r="Q638" s="19" t="str">
        <f aca="false">IF(COUNTBLANK(D638:L638)&gt;0,"نعم","لا")</f>
        <v>لا</v>
      </c>
    </row>
    <row r="639" customFormat="false" ht="15" hidden="false" customHeight="false" outlineLevel="0" collapsed="false">
      <c r="A639" s="19" t="n">
        <v>638</v>
      </c>
      <c r="B639" s="30" t="s">
        <v>1138</v>
      </c>
      <c r="C639" s="44" t="n">
        <v>45615</v>
      </c>
      <c r="D639" s="30" t="s">
        <v>54</v>
      </c>
      <c r="E639" s="30" t="s">
        <v>113</v>
      </c>
      <c r="F639" s="30" t="s">
        <v>95</v>
      </c>
      <c r="G639" s="31" t="n">
        <v>229</v>
      </c>
      <c r="H639" s="19" t="n">
        <v>1</v>
      </c>
      <c r="I639" s="32" t="n">
        <v>0.15</v>
      </c>
      <c r="J639" s="30" t="s">
        <v>48</v>
      </c>
      <c r="K639" s="30" t="s">
        <v>51</v>
      </c>
      <c r="L639" s="30" t="s">
        <v>94</v>
      </c>
      <c r="M639" s="31" t="n">
        <f aca="false">AVERAGEIF($E$2:$E$1197,E639,$G$2:$G$1197)</f>
        <v>545.358823529412</v>
      </c>
      <c r="N639" s="19" t="str">
        <f aca="false">IF(G639&gt;M639*3,"نعم","لا")</f>
        <v>لا</v>
      </c>
      <c r="O639" s="19" t="str">
        <f aca="false">IF(OR(C639="",ISNUMBER(C639)),"لا","نعم")</f>
        <v>لا</v>
      </c>
      <c r="P639" s="19" t="str">
        <f aca="false">IF(COUNTIF($B$2:B639,B639)&gt;1,"مكرر","فريد")</f>
        <v>فريد</v>
      </c>
      <c r="Q639" s="19" t="str">
        <f aca="false">IF(COUNTBLANK(D639:L639)&gt;0,"نعم","لا")</f>
        <v>لا</v>
      </c>
    </row>
    <row r="640" customFormat="false" ht="15" hidden="false" customHeight="false" outlineLevel="0" collapsed="false">
      <c r="A640" s="19" t="n">
        <v>639</v>
      </c>
      <c r="B640" s="30" t="s">
        <v>1215</v>
      </c>
      <c r="C640" s="44" t="n">
        <v>45635</v>
      </c>
      <c r="D640" s="30" t="s">
        <v>60</v>
      </c>
      <c r="E640" s="30" t="s">
        <v>107</v>
      </c>
      <c r="F640" s="30" t="s">
        <v>115</v>
      </c>
      <c r="G640" s="31" t="n">
        <v>4809</v>
      </c>
      <c r="H640" s="19" t="n">
        <v>3</v>
      </c>
      <c r="I640" s="32" t="n">
        <v>0.2</v>
      </c>
      <c r="J640" s="30" t="s">
        <v>52</v>
      </c>
      <c r="K640" s="30" t="s">
        <v>47</v>
      </c>
      <c r="L640" s="30" t="s">
        <v>92</v>
      </c>
      <c r="M640" s="31" t="n">
        <f aca="false">AVERAGEIF($E$2:$E$1197,E640,$G$2:$G$1197)</f>
        <v>4981.14563106796</v>
      </c>
      <c r="N640" s="19" t="str">
        <f aca="false">IF(G640&gt;M640*3,"نعم","لا")</f>
        <v>لا</v>
      </c>
      <c r="O640" s="19" t="str">
        <f aca="false">IF(OR(C640="",ISNUMBER(C640)),"لا","نعم")</f>
        <v>لا</v>
      </c>
      <c r="P640" s="19" t="str">
        <f aca="false">IF(COUNTIF($B$2:B640,B640)&gt;1,"مكرر","فريد")</f>
        <v>مكرر</v>
      </c>
      <c r="Q640" s="19" t="str">
        <f aca="false">IF(COUNTBLANK(D640:L640)&gt;0,"نعم","لا")</f>
        <v>لا</v>
      </c>
    </row>
    <row r="641" customFormat="false" ht="15" hidden="false" customHeight="false" outlineLevel="0" collapsed="false">
      <c r="A641" s="19" t="n">
        <v>640</v>
      </c>
      <c r="B641" s="30" t="s">
        <v>644</v>
      </c>
      <c r="C641" s="44" t="n">
        <v>45466</v>
      </c>
      <c r="D641" s="30" t="s">
        <v>57</v>
      </c>
      <c r="E641" s="30" t="s">
        <v>107</v>
      </c>
      <c r="F641" s="30" t="s">
        <v>115</v>
      </c>
      <c r="G641" s="31" t="n">
        <v>6319</v>
      </c>
      <c r="H641" s="19" t="n">
        <v>4</v>
      </c>
      <c r="I641" s="32" t="n">
        <v>0.1</v>
      </c>
      <c r="J641" s="30" t="s">
        <v>55</v>
      </c>
      <c r="K641" s="30" t="s">
        <v>51</v>
      </c>
      <c r="L641" s="30" t="s">
        <v>76</v>
      </c>
      <c r="M641" s="31" t="n">
        <f aca="false">AVERAGEIF($E$2:$E$1197,E641,$G$2:$G$1197)</f>
        <v>4981.14563106796</v>
      </c>
      <c r="N641" s="19" t="str">
        <f aca="false">IF(G641&gt;M641*3,"نعم","لا")</f>
        <v>لا</v>
      </c>
      <c r="O641" s="19" t="str">
        <f aca="false">IF(OR(C641="",ISNUMBER(C641)),"لا","نعم")</f>
        <v>لا</v>
      </c>
      <c r="P641" s="19" t="str">
        <f aca="false">IF(COUNTIF($B$2:B641,B641)&gt;1,"مكرر","فريد")</f>
        <v>فريد</v>
      </c>
      <c r="Q641" s="19" t="str">
        <f aca="false">IF(COUNTBLANK(D641:L641)&gt;0,"نعم","لا")</f>
        <v>لا</v>
      </c>
    </row>
    <row r="642" customFormat="false" ht="15" hidden="false" customHeight="false" outlineLevel="0" collapsed="false">
      <c r="A642" s="19" t="n">
        <v>641</v>
      </c>
      <c r="B642" s="30" t="s">
        <v>630</v>
      </c>
      <c r="C642" s="44" t="n">
        <v>45461</v>
      </c>
      <c r="D642" s="30" t="s">
        <v>50</v>
      </c>
      <c r="E642" s="30" t="s">
        <v>105</v>
      </c>
      <c r="F642" s="30" t="s">
        <v>79</v>
      </c>
      <c r="G642" s="31" t="n">
        <v>4439</v>
      </c>
      <c r="H642" s="19" t="n">
        <v>1</v>
      </c>
      <c r="I642" s="32" t="n">
        <v>0.05</v>
      </c>
      <c r="J642" s="30" t="s">
        <v>48</v>
      </c>
      <c r="K642" s="30" t="s">
        <v>47</v>
      </c>
      <c r="L642" s="30" t="s">
        <v>81</v>
      </c>
      <c r="M642" s="31" t="n">
        <f aca="false">AVERAGEIF($E$2:$E$1197,E642,$G$2:$G$1197)</f>
        <v>2870.26771653543</v>
      </c>
      <c r="N642" s="19" t="str">
        <f aca="false">IF(G642&gt;M642*3,"نعم","لا")</f>
        <v>لا</v>
      </c>
      <c r="O642" s="19" t="str">
        <f aca="false">IF(OR(C642="",ISNUMBER(C642)),"لا","نعم")</f>
        <v>لا</v>
      </c>
      <c r="P642" s="19" t="str">
        <f aca="false">IF(COUNTIF($B$2:B642,B642)&gt;1,"مكرر","فريد")</f>
        <v>فريد</v>
      </c>
      <c r="Q642" s="19" t="str">
        <f aca="false">IF(COUNTBLANK(D642:L642)&gt;0,"نعم","لا")</f>
        <v>لا</v>
      </c>
    </row>
    <row r="643" customFormat="false" ht="15" hidden="false" customHeight="false" outlineLevel="0" collapsed="false">
      <c r="A643" s="19" t="n">
        <v>642</v>
      </c>
      <c r="B643" s="30" t="s">
        <v>195</v>
      </c>
      <c r="C643" s="44" t="n">
        <v>45300</v>
      </c>
      <c r="D643" s="30" t="s">
        <v>46</v>
      </c>
      <c r="E643" s="30" t="s">
        <v>111</v>
      </c>
      <c r="F643" s="30" t="s">
        <v>122</v>
      </c>
      <c r="G643" s="31" t="n">
        <v>179</v>
      </c>
      <c r="H643" s="19" t="n">
        <v>1</v>
      </c>
      <c r="I643" s="32" t="n">
        <v>0</v>
      </c>
      <c r="J643" s="30" t="s">
        <v>48</v>
      </c>
      <c r="K643" s="30" t="s">
        <v>47</v>
      </c>
      <c r="L643" s="30" t="s">
        <v>89</v>
      </c>
      <c r="M643" s="31" t="n">
        <f aca="false">AVERAGEIF($E$2:$E$1197,E643,$G$2:$G$1197)</f>
        <v>366.306569343066</v>
      </c>
      <c r="N643" s="19" t="str">
        <f aca="false">IF(G643&gt;M643*3,"نعم","لا")</f>
        <v>لا</v>
      </c>
      <c r="O643" s="19" t="str">
        <f aca="false">IF(OR(C643="",ISNUMBER(C643)),"لا","نعم")</f>
        <v>لا</v>
      </c>
      <c r="P643" s="19" t="str">
        <f aca="false">IF(COUNTIF($B$2:B643,B643)&gt;1,"مكرر","فريد")</f>
        <v>مكرر</v>
      </c>
      <c r="Q643" s="19" t="str">
        <f aca="false">IF(COUNTBLANK(D643:L643)&gt;0,"نعم","لا")</f>
        <v>لا</v>
      </c>
    </row>
    <row r="644" customFormat="false" ht="15" hidden="false" customHeight="false" outlineLevel="0" collapsed="false">
      <c r="A644" s="19" t="n">
        <v>643</v>
      </c>
      <c r="B644" s="30" t="s">
        <v>902</v>
      </c>
      <c r="C644" s="44" t="n">
        <v>45547</v>
      </c>
      <c r="D644" s="30" t="s">
        <v>50</v>
      </c>
      <c r="E644" s="30" t="s">
        <v>111</v>
      </c>
      <c r="F644" s="30" t="s">
        <v>118</v>
      </c>
      <c r="G644" s="31" t="n">
        <v>239</v>
      </c>
      <c r="H644" s="19" t="n">
        <v>2</v>
      </c>
      <c r="I644" s="32" t="n">
        <v>0</v>
      </c>
      <c r="J644" s="30" t="s">
        <v>48</v>
      </c>
      <c r="K644" s="30"/>
      <c r="L644" s="30" t="s">
        <v>99</v>
      </c>
      <c r="M644" s="31" t="n">
        <f aca="false">AVERAGEIF($E$2:$E$1197,E644,$G$2:$G$1197)</f>
        <v>366.306569343066</v>
      </c>
      <c r="N644" s="19" t="str">
        <f aca="false">IF(G644&gt;M644*3,"نعم","لا")</f>
        <v>لا</v>
      </c>
      <c r="O644" s="19" t="str">
        <f aca="false">IF(OR(C644="",ISNUMBER(C644)),"لا","نعم")</f>
        <v>لا</v>
      </c>
      <c r="P644" s="19" t="str">
        <f aca="false">IF(COUNTIF($B$2:B644,B644)&gt;1,"مكرر","فريد")</f>
        <v>فريد</v>
      </c>
      <c r="Q644" s="19" t="str">
        <f aca="false">IF(COUNTBLANK(D644:L644)&gt;0,"نعم","لا")</f>
        <v>نعم</v>
      </c>
    </row>
    <row r="645" customFormat="false" ht="15" hidden="false" customHeight="false" outlineLevel="0" collapsed="false">
      <c r="A645" s="19" t="n">
        <v>644</v>
      </c>
      <c r="B645" s="30" t="s">
        <v>865</v>
      </c>
      <c r="C645" s="44" t="n">
        <v>45533</v>
      </c>
      <c r="D645" s="30" t="s">
        <v>57</v>
      </c>
      <c r="E645" s="30" t="s">
        <v>105</v>
      </c>
      <c r="F645" s="30" t="s">
        <v>79</v>
      </c>
      <c r="G645" s="31" t="n">
        <v>2039</v>
      </c>
      <c r="H645" s="19" t="n">
        <v>1</v>
      </c>
      <c r="I645" s="32" t="n">
        <v>0</v>
      </c>
      <c r="J645" s="30" t="s">
        <v>48</v>
      </c>
      <c r="K645" s="30" t="s">
        <v>47</v>
      </c>
      <c r="L645" s="30" t="s">
        <v>96</v>
      </c>
      <c r="M645" s="31" t="n">
        <f aca="false">AVERAGEIF($E$2:$E$1197,E645,$G$2:$G$1197)</f>
        <v>2870.26771653543</v>
      </c>
      <c r="N645" s="19" t="str">
        <f aca="false">IF(G645&gt;M645*3,"نعم","لا")</f>
        <v>لا</v>
      </c>
      <c r="O645" s="19" t="str">
        <f aca="false">IF(OR(C645="",ISNUMBER(C645)),"لا","نعم")</f>
        <v>لا</v>
      </c>
      <c r="P645" s="19" t="str">
        <f aca="false">IF(COUNTIF($B$2:B645,B645)&gt;1,"مكرر","فريد")</f>
        <v>فريد</v>
      </c>
      <c r="Q645" s="19" t="str">
        <f aca="false">IF(COUNTBLANK(D645:L645)&gt;0,"نعم","لا")</f>
        <v>لا</v>
      </c>
    </row>
    <row r="646" customFormat="false" ht="15" hidden="false" customHeight="false" outlineLevel="0" collapsed="false">
      <c r="A646" s="19" t="n">
        <v>645</v>
      </c>
      <c r="B646" s="30" t="s">
        <v>897</v>
      </c>
      <c r="C646" s="44" t="n">
        <v>45544</v>
      </c>
      <c r="D646" s="30" t="s">
        <v>50</v>
      </c>
      <c r="E646" s="30" t="s">
        <v>113</v>
      </c>
      <c r="F646" s="30" t="s">
        <v>1442</v>
      </c>
      <c r="G646" s="31" t="n">
        <v>269</v>
      </c>
      <c r="H646" s="19" t="n">
        <v>1</v>
      </c>
      <c r="I646" s="32" t="n">
        <v>0.1</v>
      </c>
      <c r="J646" s="30" t="s">
        <v>48</v>
      </c>
      <c r="K646" s="30" t="s">
        <v>47</v>
      </c>
      <c r="L646" s="30" t="s">
        <v>84</v>
      </c>
      <c r="M646" s="31" t="n">
        <f aca="false">AVERAGEIF($E$2:$E$1197,E646,$G$2:$G$1197)</f>
        <v>545.358823529412</v>
      </c>
      <c r="N646" s="19" t="str">
        <f aca="false">IF(G646&gt;M646*3,"نعم","لا")</f>
        <v>لا</v>
      </c>
      <c r="O646" s="19" t="str">
        <f aca="false">IF(OR(C646="",ISNUMBER(C646)),"لا","نعم")</f>
        <v>لا</v>
      </c>
      <c r="P646" s="19" t="str">
        <f aca="false">IF(COUNTIF($B$2:B646,B646)&gt;1,"مكرر","فريد")</f>
        <v>فريد</v>
      </c>
      <c r="Q646" s="19" t="str">
        <f aca="false">IF(COUNTBLANK(D646:L646)&gt;0,"نعم","لا")</f>
        <v>لا</v>
      </c>
    </row>
    <row r="647" customFormat="false" ht="15" hidden="false" customHeight="false" outlineLevel="0" collapsed="false">
      <c r="A647" s="19" t="n">
        <v>646</v>
      </c>
      <c r="B647" s="30" t="s">
        <v>1131</v>
      </c>
      <c r="C647" s="44" t="n">
        <v>45614</v>
      </c>
      <c r="D647" s="30" t="s">
        <v>46</v>
      </c>
      <c r="E647" s="30" t="s">
        <v>109</v>
      </c>
      <c r="F647" s="30" t="s">
        <v>171</v>
      </c>
      <c r="G647" s="31" t="n">
        <v>129</v>
      </c>
      <c r="H647" s="19" t="n">
        <v>1</v>
      </c>
      <c r="I647" s="32" t="n">
        <v>0.05</v>
      </c>
      <c r="J647" s="30" t="s">
        <v>48</v>
      </c>
      <c r="K647" s="30" t="s">
        <v>51</v>
      </c>
      <c r="L647" s="30" t="s">
        <v>89</v>
      </c>
      <c r="M647" s="31" t="n">
        <f aca="false">AVERAGEIF($E$2:$E$1197,E647,$G$2:$G$1197)</f>
        <v>186.056291390729</v>
      </c>
      <c r="N647" s="19" t="str">
        <f aca="false">IF(G647&gt;M647*3,"نعم","لا")</f>
        <v>لا</v>
      </c>
      <c r="O647" s="19" t="str">
        <f aca="false">IF(OR(C647="",ISNUMBER(C647)),"لا","نعم")</f>
        <v>لا</v>
      </c>
      <c r="P647" s="19" t="str">
        <f aca="false">IF(COUNTIF($B$2:B647,B647)&gt;1,"مكرر","فريد")</f>
        <v>فريد</v>
      </c>
      <c r="Q647" s="19" t="str">
        <f aca="false">IF(COUNTBLANK(D647:L647)&gt;0,"نعم","لا")</f>
        <v>لا</v>
      </c>
    </row>
    <row r="648" customFormat="false" ht="15" hidden="false" customHeight="false" outlineLevel="0" collapsed="false">
      <c r="A648" s="19" t="n">
        <v>647</v>
      </c>
      <c r="B648" s="30" t="s">
        <v>530</v>
      </c>
      <c r="C648" s="44" t="n">
        <v>45425</v>
      </c>
      <c r="D648" s="30" t="s">
        <v>57</v>
      </c>
      <c r="E648" s="30" t="s">
        <v>105</v>
      </c>
      <c r="F648" s="30" t="s">
        <v>82</v>
      </c>
      <c r="G648" s="31" t="n">
        <v>1059</v>
      </c>
      <c r="H648" s="19" t="n">
        <v>3</v>
      </c>
      <c r="I648" s="32" t="n">
        <v>0.05</v>
      </c>
      <c r="J648" s="30" t="s">
        <v>48</v>
      </c>
      <c r="K648" s="30" t="s">
        <v>47</v>
      </c>
      <c r="L648" s="30" t="s">
        <v>92</v>
      </c>
      <c r="M648" s="31" t="n">
        <f aca="false">AVERAGEIF($E$2:$E$1197,E648,$G$2:$G$1197)</f>
        <v>2870.26771653543</v>
      </c>
      <c r="N648" s="19" t="str">
        <f aca="false">IF(G648&gt;M648*3,"نعم","لا")</f>
        <v>لا</v>
      </c>
      <c r="O648" s="19" t="str">
        <f aca="false">IF(OR(C648="",ISNUMBER(C648)),"لا","نعم")</f>
        <v>لا</v>
      </c>
      <c r="P648" s="19" t="str">
        <f aca="false">IF(COUNTIF($B$2:B648,B648)&gt;1,"مكرر","فريد")</f>
        <v>فريد</v>
      </c>
      <c r="Q648" s="19" t="str">
        <f aca="false">IF(COUNTBLANK(D648:L648)&gt;0,"نعم","لا")</f>
        <v>لا</v>
      </c>
    </row>
    <row r="649" customFormat="false" ht="15" hidden="false" customHeight="false" outlineLevel="0" collapsed="false">
      <c r="A649" s="19" t="n">
        <v>648</v>
      </c>
      <c r="B649" s="30" t="s">
        <v>978</v>
      </c>
      <c r="C649" s="44" t="n">
        <v>45574</v>
      </c>
      <c r="D649" s="30" t="s">
        <v>54</v>
      </c>
      <c r="E649" s="30" t="s">
        <v>111</v>
      </c>
      <c r="F649" s="30" t="s">
        <v>122</v>
      </c>
      <c r="G649" s="31" t="n">
        <v>479</v>
      </c>
      <c r="H649" s="19" t="n">
        <v>4</v>
      </c>
      <c r="I649" s="32" t="n">
        <v>0</v>
      </c>
      <c r="J649" s="30" t="s">
        <v>52</v>
      </c>
      <c r="K649" s="30" t="s">
        <v>51</v>
      </c>
      <c r="L649" s="30" t="s">
        <v>86</v>
      </c>
      <c r="M649" s="31" t="n">
        <f aca="false">AVERAGEIF($E$2:$E$1197,E649,$G$2:$G$1197)</f>
        <v>366.306569343066</v>
      </c>
      <c r="N649" s="19" t="str">
        <f aca="false">IF(G649&gt;M649*3,"نعم","لا")</f>
        <v>لا</v>
      </c>
      <c r="O649" s="19" t="str">
        <f aca="false">IF(OR(C649="",ISNUMBER(C649)),"لا","نعم")</f>
        <v>لا</v>
      </c>
      <c r="P649" s="19" t="str">
        <f aca="false">IF(COUNTIF($B$2:B649,B649)&gt;1,"مكرر","فريد")</f>
        <v>فريد</v>
      </c>
      <c r="Q649" s="19" t="str">
        <f aca="false">IF(COUNTBLANK(D649:L649)&gt;0,"نعم","لا")</f>
        <v>لا</v>
      </c>
    </row>
    <row r="650" customFormat="false" ht="15" hidden="false" customHeight="false" outlineLevel="0" collapsed="false">
      <c r="A650" s="19" t="n">
        <v>649</v>
      </c>
      <c r="B650" s="30" t="s">
        <v>1192</v>
      </c>
      <c r="C650" s="44" t="n">
        <v>45630</v>
      </c>
      <c r="D650" s="30" t="s">
        <v>54</v>
      </c>
      <c r="E650" s="30" t="s">
        <v>105</v>
      </c>
      <c r="F650" s="30" t="s">
        <v>85</v>
      </c>
      <c r="G650" s="31" t="n">
        <v>4159</v>
      </c>
      <c r="H650" s="19" t="n">
        <v>1</v>
      </c>
      <c r="I650" s="32" t="n">
        <v>0.05</v>
      </c>
      <c r="J650" s="30" t="s">
        <v>48</v>
      </c>
      <c r="K650" s="30" t="s">
        <v>51</v>
      </c>
      <c r="L650" s="30" t="s">
        <v>99</v>
      </c>
      <c r="M650" s="31" t="n">
        <f aca="false">AVERAGEIF($E$2:$E$1197,E650,$G$2:$G$1197)</f>
        <v>2870.26771653543</v>
      </c>
      <c r="N650" s="19" t="str">
        <f aca="false">IF(G650&gt;M650*3,"نعم","لا")</f>
        <v>لا</v>
      </c>
      <c r="O650" s="19" t="str">
        <f aca="false">IF(OR(C650="",ISNUMBER(C650)),"لا","نعم")</f>
        <v>لا</v>
      </c>
      <c r="P650" s="19" t="str">
        <f aca="false">IF(COUNTIF($B$2:B650,B650)&gt;1,"مكرر","فريد")</f>
        <v>فريد</v>
      </c>
      <c r="Q650" s="19" t="str">
        <f aca="false">IF(COUNTBLANK(D650:L650)&gt;0,"نعم","لا")</f>
        <v>لا</v>
      </c>
    </row>
    <row r="651" customFormat="false" ht="15" hidden="false" customHeight="false" outlineLevel="0" collapsed="false">
      <c r="A651" s="19" t="n">
        <v>650</v>
      </c>
      <c r="B651" s="30" t="s">
        <v>544</v>
      </c>
      <c r="C651" s="44" t="n">
        <v>45429</v>
      </c>
      <c r="D651" s="30" t="s">
        <v>50</v>
      </c>
      <c r="E651" s="30" t="s">
        <v>107</v>
      </c>
      <c r="F651" s="30" t="s">
        <v>115</v>
      </c>
      <c r="G651" s="31" t="n">
        <v>5109</v>
      </c>
      <c r="H651" s="19" t="n">
        <v>1</v>
      </c>
      <c r="I651" s="32" t="n">
        <v>0.1</v>
      </c>
      <c r="J651" s="30" t="s">
        <v>55</v>
      </c>
      <c r="K651" s="30" t="s">
        <v>47</v>
      </c>
      <c r="L651" s="30" t="s">
        <v>89</v>
      </c>
      <c r="M651" s="31" t="n">
        <f aca="false">AVERAGEIF($E$2:$E$1197,E651,$G$2:$G$1197)</f>
        <v>4981.14563106796</v>
      </c>
      <c r="N651" s="19" t="str">
        <f aca="false">IF(G651&gt;M651*3,"نعم","لا")</f>
        <v>لا</v>
      </c>
      <c r="O651" s="19" t="str">
        <f aca="false">IF(OR(C651="",ISNUMBER(C651)),"لا","نعم")</f>
        <v>لا</v>
      </c>
      <c r="P651" s="19" t="str">
        <f aca="false">IF(COUNTIF($B$2:B651,B651)&gt;1,"مكرر","فريد")</f>
        <v>فريد</v>
      </c>
      <c r="Q651" s="19" t="str">
        <f aca="false">IF(COUNTBLANK(D651:L651)&gt;0,"نعم","لا")</f>
        <v>لا</v>
      </c>
    </row>
    <row r="652" customFormat="false" ht="15" hidden="false" customHeight="false" outlineLevel="0" collapsed="false">
      <c r="A652" s="19" t="n">
        <v>651</v>
      </c>
      <c r="B652" s="30" t="s">
        <v>617</v>
      </c>
      <c r="C652" s="44" t="n">
        <v>45456</v>
      </c>
      <c r="D652" s="30" t="s">
        <v>57</v>
      </c>
      <c r="E652" s="30" t="s">
        <v>111</v>
      </c>
      <c r="F652" s="30" t="s">
        <v>120</v>
      </c>
      <c r="G652" s="31" t="n">
        <v>379</v>
      </c>
      <c r="H652" s="19" t="n">
        <v>2</v>
      </c>
      <c r="I652" s="32" t="n">
        <v>0</v>
      </c>
      <c r="J652" s="30" t="s">
        <v>48</v>
      </c>
      <c r="K652" s="30" t="s">
        <v>47</v>
      </c>
      <c r="L652" s="30" t="s">
        <v>89</v>
      </c>
      <c r="M652" s="31" t="n">
        <f aca="false">AVERAGEIF($E$2:$E$1197,E652,$G$2:$G$1197)</f>
        <v>366.306569343066</v>
      </c>
      <c r="N652" s="19" t="str">
        <f aca="false">IF(G652&gt;M652*3,"نعم","لا")</f>
        <v>لا</v>
      </c>
      <c r="O652" s="19" t="str">
        <f aca="false">IF(OR(C652="",ISNUMBER(C652)),"لا","نعم")</f>
        <v>لا</v>
      </c>
      <c r="P652" s="19" t="str">
        <f aca="false">IF(COUNTIF($B$2:B652,B652)&gt;1,"مكرر","فريد")</f>
        <v>فريد</v>
      </c>
      <c r="Q652" s="19" t="str">
        <f aca="false">IF(COUNTBLANK(D652:L652)&gt;0,"نعم","لا")</f>
        <v>لا</v>
      </c>
    </row>
    <row r="653" customFormat="false" ht="15" hidden="false" customHeight="false" outlineLevel="0" collapsed="false">
      <c r="A653" s="19" t="n">
        <v>652</v>
      </c>
      <c r="B653" s="30" t="s">
        <v>429</v>
      </c>
      <c r="C653" s="30" t="s">
        <v>1443</v>
      </c>
      <c r="D653" s="30" t="s">
        <v>46</v>
      </c>
      <c r="E653" s="30" t="s">
        <v>105</v>
      </c>
      <c r="F653" s="30" t="s">
        <v>179</v>
      </c>
      <c r="G653" s="31" t="n">
        <v>999</v>
      </c>
      <c r="H653" s="19" t="n">
        <v>1</v>
      </c>
      <c r="I653" s="32" t="n">
        <v>0.05</v>
      </c>
      <c r="J653" s="30" t="s">
        <v>48</v>
      </c>
      <c r="K653" s="30" t="s">
        <v>47</v>
      </c>
      <c r="L653" s="30" t="s">
        <v>81</v>
      </c>
      <c r="M653" s="31" t="n">
        <f aca="false">AVERAGEIF($E$2:$E$1197,E653,$G$2:$G$1197)</f>
        <v>2870.26771653543</v>
      </c>
      <c r="N653" s="19" t="str">
        <f aca="false">IF(G653&gt;M653*3,"نعم","لا")</f>
        <v>لا</v>
      </c>
      <c r="O653" s="19" t="str">
        <f aca="false">IF(OR(C653="",ISNUMBER(C653)),"لا","نعم")</f>
        <v>نعم</v>
      </c>
      <c r="P653" s="19" t="str">
        <f aca="false">IF(COUNTIF($B$2:B653,B653)&gt;1,"مكرر","فريد")</f>
        <v>فريد</v>
      </c>
      <c r="Q653" s="19" t="str">
        <f aca="false">IF(COUNTBLANK(D653:L653)&gt;0,"نعم","لا")</f>
        <v>لا</v>
      </c>
    </row>
    <row r="654" customFormat="false" ht="15" hidden="false" customHeight="false" outlineLevel="0" collapsed="false">
      <c r="A654" s="19" t="n">
        <v>653</v>
      </c>
      <c r="B654" s="30" t="s">
        <v>905</v>
      </c>
      <c r="C654" s="44" t="n">
        <v>45548</v>
      </c>
      <c r="D654" s="30" t="s">
        <v>50</v>
      </c>
      <c r="E654" s="30" t="s">
        <v>113</v>
      </c>
      <c r="F654" s="30" t="s">
        <v>95</v>
      </c>
      <c r="G654" s="31" t="n">
        <v>769</v>
      </c>
      <c r="H654" s="19" t="n">
        <v>1</v>
      </c>
      <c r="I654" s="32" t="n">
        <v>0.15</v>
      </c>
      <c r="J654" s="30" t="s">
        <v>52</v>
      </c>
      <c r="K654" s="30" t="s">
        <v>47</v>
      </c>
      <c r="L654" s="30" t="s">
        <v>94</v>
      </c>
      <c r="M654" s="31" t="n">
        <f aca="false">AVERAGEIF($E$2:$E$1197,E654,$G$2:$G$1197)</f>
        <v>545.358823529412</v>
      </c>
      <c r="N654" s="19" t="str">
        <f aca="false">IF(G654&gt;M654*3,"نعم","لا")</f>
        <v>لا</v>
      </c>
      <c r="O654" s="19" t="str">
        <f aca="false">IF(OR(C654="",ISNUMBER(C654)),"لا","نعم")</f>
        <v>لا</v>
      </c>
      <c r="P654" s="19" t="str">
        <f aca="false">IF(COUNTIF($B$2:B654,B654)&gt;1,"مكرر","فريد")</f>
        <v>فريد</v>
      </c>
      <c r="Q654" s="19" t="str">
        <f aca="false">IF(COUNTBLANK(D654:L654)&gt;0,"نعم","لا")</f>
        <v>لا</v>
      </c>
    </row>
    <row r="655" customFormat="false" ht="15" hidden="false" customHeight="false" outlineLevel="0" collapsed="false">
      <c r="A655" s="19" t="n">
        <v>654</v>
      </c>
      <c r="B655" s="30" t="s">
        <v>1197</v>
      </c>
      <c r="C655" s="30" t="s">
        <v>1444</v>
      </c>
      <c r="D655" s="30" t="s">
        <v>50</v>
      </c>
      <c r="E655" s="30" t="s">
        <v>111</v>
      </c>
      <c r="F655" s="30" t="s">
        <v>108</v>
      </c>
      <c r="G655" s="31" t="n">
        <v>309</v>
      </c>
      <c r="H655" s="19" t="n">
        <v>1</v>
      </c>
      <c r="I655" s="32" t="n">
        <v>0</v>
      </c>
      <c r="J655" s="30" t="s">
        <v>52</v>
      </c>
      <c r="K655" s="30"/>
      <c r="L655" s="30" t="s">
        <v>78</v>
      </c>
      <c r="M655" s="31" t="n">
        <f aca="false">AVERAGEIF($E$2:$E$1197,E655,$G$2:$G$1197)</f>
        <v>366.306569343066</v>
      </c>
      <c r="N655" s="19" t="str">
        <f aca="false">IF(G655&gt;M655*3,"نعم","لا")</f>
        <v>لا</v>
      </c>
      <c r="O655" s="19" t="str">
        <f aca="false">IF(OR(C655="",ISNUMBER(C655)),"لا","نعم")</f>
        <v>نعم</v>
      </c>
      <c r="P655" s="19" t="str">
        <f aca="false">IF(COUNTIF($B$2:B655,B655)&gt;1,"مكرر","فريد")</f>
        <v>فريد</v>
      </c>
      <c r="Q655" s="19" t="str">
        <f aca="false">IF(COUNTBLANK(D655:L655)&gt;0,"نعم","لا")</f>
        <v>نعم</v>
      </c>
    </row>
    <row r="656" customFormat="false" ht="15" hidden="false" customHeight="false" outlineLevel="0" collapsed="false">
      <c r="A656" s="19" t="n">
        <v>655</v>
      </c>
      <c r="B656" s="30" t="s">
        <v>605</v>
      </c>
      <c r="C656" s="44" t="n">
        <v>45453</v>
      </c>
      <c r="D656" s="30" t="s">
        <v>46</v>
      </c>
      <c r="E656" s="30" t="s">
        <v>107</v>
      </c>
      <c r="F656" s="30" t="s">
        <v>184</v>
      </c>
      <c r="G656" s="31" t="n">
        <v>2189</v>
      </c>
      <c r="H656" s="19" t="n">
        <v>1</v>
      </c>
      <c r="I656" s="32" t="n">
        <v>0.2</v>
      </c>
      <c r="J656" s="30" t="s">
        <v>52</v>
      </c>
      <c r="K656" s="30" t="s">
        <v>47</v>
      </c>
      <c r="L656" s="30" t="s">
        <v>81</v>
      </c>
      <c r="M656" s="31" t="n">
        <f aca="false">AVERAGEIF($E$2:$E$1197,E656,$G$2:$G$1197)</f>
        <v>4981.14563106796</v>
      </c>
      <c r="N656" s="19" t="str">
        <f aca="false">IF(G656&gt;M656*3,"نعم","لا")</f>
        <v>لا</v>
      </c>
      <c r="O656" s="19" t="str">
        <f aca="false">IF(OR(C656="",ISNUMBER(C656)),"لا","نعم")</f>
        <v>لا</v>
      </c>
      <c r="P656" s="19" t="str">
        <f aca="false">IF(COUNTIF($B$2:B656,B656)&gt;1,"مكرر","فريد")</f>
        <v>فريد</v>
      </c>
      <c r="Q656" s="19" t="str">
        <f aca="false">IF(COUNTBLANK(D656:L656)&gt;0,"نعم","لا")</f>
        <v>لا</v>
      </c>
    </row>
    <row r="657" customFormat="false" ht="15" hidden="false" customHeight="false" outlineLevel="0" collapsed="false">
      <c r="A657" s="19" t="n">
        <v>656</v>
      </c>
      <c r="B657" s="30" t="s">
        <v>557</v>
      </c>
      <c r="C657" s="44" t="n">
        <v>45434</v>
      </c>
      <c r="D657" s="30" t="s">
        <v>46</v>
      </c>
      <c r="E657" s="30" t="s">
        <v>105</v>
      </c>
      <c r="F657" s="30" t="s">
        <v>82</v>
      </c>
      <c r="G657" s="31" t="n">
        <v>2249</v>
      </c>
      <c r="H657" s="19" t="n">
        <v>1</v>
      </c>
      <c r="I657" s="32" t="n">
        <v>0.1</v>
      </c>
      <c r="J657" s="30" t="s">
        <v>48</v>
      </c>
      <c r="K657" s="30" t="s">
        <v>51</v>
      </c>
      <c r="L657" s="30" t="s">
        <v>81</v>
      </c>
      <c r="M657" s="31" t="n">
        <f aca="false">AVERAGEIF($E$2:$E$1197,E657,$G$2:$G$1197)</f>
        <v>2870.26771653543</v>
      </c>
      <c r="N657" s="19" t="str">
        <f aca="false">IF(G657&gt;M657*3,"نعم","لا")</f>
        <v>لا</v>
      </c>
      <c r="O657" s="19" t="str">
        <f aca="false">IF(OR(C657="",ISNUMBER(C657)),"لا","نعم")</f>
        <v>لا</v>
      </c>
      <c r="P657" s="19" t="str">
        <f aca="false">IF(COUNTIF($B$2:B657,B657)&gt;1,"مكرر","فريد")</f>
        <v>فريد</v>
      </c>
      <c r="Q657" s="19" t="str">
        <f aca="false">IF(COUNTBLANK(D657:L657)&gt;0,"نعم","لا")</f>
        <v>لا</v>
      </c>
    </row>
    <row r="658" customFormat="false" ht="15" hidden="false" customHeight="false" outlineLevel="0" collapsed="false">
      <c r="A658" s="19" t="n">
        <v>657</v>
      </c>
      <c r="B658" s="30" t="s">
        <v>886</v>
      </c>
      <c r="C658" s="44" t="n">
        <v>45540</v>
      </c>
      <c r="D658" s="30" t="s">
        <v>46</v>
      </c>
      <c r="E658" s="30" t="s">
        <v>105</v>
      </c>
      <c r="F658" s="30" t="s">
        <v>179</v>
      </c>
      <c r="G658" s="31" t="n">
        <v>1649</v>
      </c>
      <c r="H658" s="19" t="n">
        <v>6</v>
      </c>
      <c r="I658" s="32" t="n">
        <v>0</v>
      </c>
      <c r="J658" s="30" t="s">
        <v>48</v>
      </c>
      <c r="K658" s="30" t="s">
        <v>51</v>
      </c>
      <c r="L658" s="30" t="s">
        <v>81</v>
      </c>
      <c r="M658" s="31" t="n">
        <f aca="false">AVERAGEIF($E$2:$E$1197,E658,$G$2:$G$1197)</f>
        <v>2870.26771653543</v>
      </c>
      <c r="N658" s="19" t="str">
        <f aca="false">IF(G658&gt;M658*3,"نعم","لا")</f>
        <v>لا</v>
      </c>
      <c r="O658" s="19" t="str">
        <f aca="false">IF(OR(C658="",ISNUMBER(C658)),"لا","نعم")</f>
        <v>لا</v>
      </c>
      <c r="P658" s="19" t="str">
        <f aca="false">IF(COUNTIF($B$2:B658,B658)&gt;1,"مكرر","فريد")</f>
        <v>فريد</v>
      </c>
      <c r="Q658" s="19" t="str">
        <f aca="false">IF(COUNTBLANK(D658:L658)&gt;0,"نعم","لا")</f>
        <v>لا</v>
      </c>
    </row>
    <row r="659" customFormat="false" ht="15" hidden="false" customHeight="false" outlineLevel="0" collapsed="false">
      <c r="A659" s="19" t="n">
        <v>658</v>
      </c>
      <c r="B659" s="30" t="s">
        <v>344</v>
      </c>
      <c r="C659" s="44" t="n">
        <v>45358</v>
      </c>
      <c r="D659" s="30" t="s">
        <v>50</v>
      </c>
      <c r="E659" s="30" t="s">
        <v>107</v>
      </c>
      <c r="F659" s="30" t="s">
        <v>184</v>
      </c>
      <c r="G659" s="31" t="n">
        <v>6039</v>
      </c>
      <c r="H659" s="19" t="n">
        <v>1</v>
      </c>
      <c r="I659" s="32" t="n">
        <v>0</v>
      </c>
      <c r="J659" s="30" t="s">
        <v>48</v>
      </c>
      <c r="K659" s="30" t="s">
        <v>47</v>
      </c>
      <c r="L659" s="30" t="s">
        <v>96</v>
      </c>
      <c r="M659" s="31" t="n">
        <f aca="false">AVERAGEIF($E$2:$E$1197,E659,$G$2:$G$1197)</f>
        <v>4981.14563106796</v>
      </c>
      <c r="N659" s="19" t="str">
        <f aca="false">IF(G659&gt;M659*3,"نعم","لا")</f>
        <v>لا</v>
      </c>
      <c r="O659" s="19" t="str">
        <f aca="false">IF(OR(C659="",ISNUMBER(C659)),"لا","نعم")</f>
        <v>لا</v>
      </c>
      <c r="P659" s="19" t="str">
        <f aca="false">IF(COUNTIF($B$2:B659,B659)&gt;1,"مكرر","فريد")</f>
        <v>فريد</v>
      </c>
      <c r="Q659" s="19" t="str">
        <f aca="false">IF(COUNTBLANK(D659:L659)&gt;0,"نعم","لا")</f>
        <v>لا</v>
      </c>
    </row>
    <row r="660" customFormat="false" ht="15" hidden="false" customHeight="false" outlineLevel="0" collapsed="false">
      <c r="A660" s="19" t="n">
        <v>659</v>
      </c>
      <c r="B660" s="30" t="s">
        <v>186</v>
      </c>
      <c r="C660" s="44" t="n">
        <v>45298</v>
      </c>
      <c r="D660" s="30" t="s">
        <v>54</v>
      </c>
      <c r="E660" s="30" t="s">
        <v>105</v>
      </c>
      <c r="F660" s="30" t="s">
        <v>179</v>
      </c>
      <c r="G660" s="31" t="n">
        <v>2459</v>
      </c>
      <c r="H660" s="19" t="n">
        <v>3</v>
      </c>
      <c r="I660" s="32" t="n">
        <v>0.1</v>
      </c>
      <c r="J660" s="30" t="s">
        <v>48</v>
      </c>
      <c r="K660" s="30"/>
      <c r="L660" s="30" t="s">
        <v>89</v>
      </c>
      <c r="M660" s="31" t="n">
        <f aca="false">AVERAGEIF($E$2:$E$1197,E660,$G$2:$G$1197)</f>
        <v>2870.26771653543</v>
      </c>
      <c r="N660" s="19" t="str">
        <f aca="false">IF(G660&gt;M660*3,"نعم","لا")</f>
        <v>لا</v>
      </c>
      <c r="O660" s="19" t="str">
        <f aca="false">IF(OR(C660="",ISNUMBER(C660)),"لا","نعم")</f>
        <v>لا</v>
      </c>
      <c r="P660" s="19" t="str">
        <f aca="false">IF(COUNTIF($B$2:B660,B660)&gt;1,"مكرر","فريد")</f>
        <v>فريد</v>
      </c>
      <c r="Q660" s="19" t="str">
        <f aca="false">IF(COUNTBLANK(D660:L660)&gt;0,"نعم","لا")</f>
        <v>نعم</v>
      </c>
    </row>
    <row r="661" customFormat="false" ht="15" hidden="false" customHeight="false" outlineLevel="0" collapsed="false">
      <c r="A661" s="19" t="n">
        <v>660</v>
      </c>
      <c r="B661" s="30" t="s">
        <v>848</v>
      </c>
      <c r="C661" s="44" t="n">
        <v>45529</v>
      </c>
      <c r="D661" s="30" t="s">
        <v>57</v>
      </c>
      <c r="E661" s="30" t="s">
        <v>109</v>
      </c>
      <c r="F661" s="30" t="s">
        <v>192</v>
      </c>
      <c r="G661" s="31" t="n">
        <v>169</v>
      </c>
      <c r="H661" s="19" t="n">
        <v>8</v>
      </c>
      <c r="I661" s="32" t="n">
        <v>0</v>
      </c>
      <c r="J661" s="30" t="s">
        <v>52</v>
      </c>
      <c r="K661" s="30" t="s">
        <v>51</v>
      </c>
      <c r="L661" s="30" t="s">
        <v>94</v>
      </c>
      <c r="M661" s="31" t="n">
        <f aca="false">AVERAGEIF($E$2:$E$1197,E661,$G$2:$G$1197)</f>
        <v>186.056291390729</v>
      </c>
      <c r="N661" s="19" t="str">
        <f aca="false">IF(G661&gt;M661*3,"نعم","لا")</f>
        <v>لا</v>
      </c>
      <c r="O661" s="19" t="str">
        <f aca="false">IF(OR(C661="",ISNUMBER(C661)),"لا","نعم")</f>
        <v>لا</v>
      </c>
      <c r="P661" s="19" t="str">
        <f aca="false">IF(COUNTIF($B$2:B661,B661)&gt;1,"مكرر","فريد")</f>
        <v>فريد</v>
      </c>
      <c r="Q661" s="19" t="str">
        <f aca="false">IF(COUNTBLANK(D661:L661)&gt;0,"نعم","لا")</f>
        <v>لا</v>
      </c>
    </row>
    <row r="662" customFormat="false" ht="15" hidden="false" customHeight="false" outlineLevel="0" collapsed="false">
      <c r="A662" s="19" t="n">
        <v>661</v>
      </c>
      <c r="B662" s="30" t="s">
        <v>953</v>
      </c>
      <c r="C662" s="44" t="n">
        <v>45566</v>
      </c>
      <c r="D662" s="30" t="s">
        <v>50</v>
      </c>
      <c r="E662" s="30" t="s">
        <v>107</v>
      </c>
      <c r="F662" s="30" t="s">
        <v>272</v>
      </c>
      <c r="G662" s="31" t="n">
        <v>3069</v>
      </c>
      <c r="H662" s="19" t="n">
        <v>1</v>
      </c>
      <c r="I662" s="32" t="n">
        <v>0.05</v>
      </c>
      <c r="J662" s="30" t="s">
        <v>48</v>
      </c>
      <c r="K662" s="30" t="s">
        <v>47</v>
      </c>
      <c r="L662" s="30" t="s">
        <v>81</v>
      </c>
      <c r="M662" s="31" t="n">
        <f aca="false">AVERAGEIF($E$2:$E$1197,E662,$G$2:$G$1197)</f>
        <v>4981.14563106796</v>
      </c>
      <c r="N662" s="19" t="str">
        <f aca="false">IF(G662&gt;M662*3,"نعم","لا")</f>
        <v>لا</v>
      </c>
      <c r="O662" s="19" t="str">
        <f aca="false">IF(OR(C662="",ISNUMBER(C662)),"لا","نعم")</f>
        <v>لا</v>
      </c>
      <c r="P662" s="19" t="str">
        <f aca="false">IF(COUNTIF($B$2:B662,B662)&gt;1,"مكرر","فريد")</f>
        <v>فريد</v>
      </c>
      <c r="Q662" s="19" t="str">
        <f aca="false">IF(COUNTBLANK(D662:L662)&gt;0,"نعم","لا")</f>
        <v>لا</v>
      </c>
    </row>
    <row r="663" customFormat="false" ht="15" hidden="false" customHeight="false" outlineLevel="0" collapsed="false">
      <c r="A663" s="19" t="n">
        <v>662</v>
      </c>
      <c r="B663" s="30" t="s">
        <v>752</v>
      </c>
      <c r="C663" s="44" t="n">
        <v>45503</v>
      </c>
      <c r="D663" s="30" t="s">
        <v>46</v>
      </c>
      <c r="E663" s="30" t="s">
        <v>109</v>
      </c>
      <c r="F663" s="30" t="s">
        <v>93</v>
      </c>
      <c r="G663" s="31" t="n">
        <v>1190</v>
      </c>
      <c r="H663" s="19" t="n">
        <v>1</v>
      </c>
      <c r="I663" s="32" t="n">
        <v>0</v>
      </c>
      <c r="J663" s="30" t="s">
        <v>48</v>
      </c>
      <c r="K663" s="30" t="s">
        <v>47</v>
      </c>
      <c r="L663" s="30" t="s">
        <v>78</v>
      </c>
      <c r="M663" s="31" t="n">
        <f aca="false">AVERAGEIF($E$2:$E$1197,E663,$G$2:$G$1197)</f>
        <v>186.056291390729</v>
      </c>
      <c r="N663" s="19" t="str">
        <f aca="false">IF(G663&gt;M663*3,"نعم","لا")</f>
        <v>نعم</v>
      </c>
      <c r="O663" s="19" t="str">
        <f aca="false">IF(OR(C663="",ISNUMBER(C663)),"لا","نعم")</f>
        <v>لا</v>
      </c>
      <c r="P663" s="19" t="str">
        <f aca="false">IF(COUNTIF($B$2:B663,B663)&gt;1,"مكرر","فريد")</f>
        <v>فريد</v>
      </c>
      <c r="Q663" s="19" t="str">
        <f aca="false">IF(COUNTBLANK(D663:L663)&gt;0,"نعم","لا")</f>
        <v>لا</v>
      </c>
    </row>
    <row r="664" customFormat="false" ht="15" hidden="false" customHeight="false" outlineLevel="0" collapsed="false">
      <c r="A664" s="19" t="n">
        <v>663</v>
      </c>
      <c r="B664" s="30" t="s">
        <v>231</v>
      </c>
      <c r="C664" s="30" t="s">
        <v>1445</v>
      </c>
      <c r="D664" s="30" t="s">
        <v>46</v>
      </c>
      <c r="E664" s="30" t="s">
        <v>109</v>
      </c>
      <c r="F664" s="30" t="s">
        <v>192</v>
      </c>
      <c r="G664" s="31" t="n">
        <v>209</v>
      </c>
      <c r="H664" s="19" t="n">
        <v>1</v>
      </c>
      <c r="I664" s="32" t="n">
        <v>0.2</v>
      </c>
      <c r="J664" s="30" t="s">
        <v>48</v>
      </c>
      <c r="K664" s="30" t="s">
        <v>47</v>
      </c>
      <c r="L664" s="30" t="s">
        <v>84</v>
      </c>
      <c r="M664" s="31" t="n">
        <f aca="false">AVERAGEIF($E$2:$E$1197,E664,$G$2:$G$1197)</f>
        <v>186.056291390729</v>
      </c>
      <c r="N664" s="19" t="str">
        <f aca="false">IF(G664&gt;M664*3,"نعم","لا")</f>
        <v>لا</v>
      </c>
      <c r="O664" s="19" t="str">
        <f aca="false">IF(OR(C664="",ISNUMBER(C664)),"لا","نعم")</f>
        <v>نعم</v>
      </c>
      <c r="P664" s="19" t="str">
        <f aca="false">IF(COUNTIF($B$2:B664,B664)&gt;1,"مكرر","فريد")</f>
        <v>فريد</v>
      </c>
      <c r="Q664" s="19" t="str">
        <f aca="false">IF(COUNTBLANK(D664:L664)&gt;0,"نعم","لا")</f>
        <v>لا</v>
      </c>
    </row>
    <row r="665" customFormat="false" ht="15" hidden="false" customHeight="false" outlineLevel="0" collapsed="false">
      <c r="A665" s="19" t="n">
        <v>664</v>
      </c>
      <c r="B665" s="30" t="s">
        <v>441</v>
      </c>
      <c r="C665" s="44" t="n">
        <v>45387</v>
      </c>
      <c r="D665" s="30" t="s">
        <v>46</v>
      </c>
      <c r="E665" s="30" t="s">
        <v>105</v>
      </c>
      <c r="F665" s="30" t="s">
        <v>82</v>
      </c>
      <c r="G665" s="31" t="n">
        <v>1449</v>
      </c>
      <c r="H665" s="19" t="n">
        <v>2</v>
      </c>
      <c r="I665" s="32" t="n">
        <v>0</v>
      </c>
      <c r="J665" s="30" t="s">
        <v>55</v>
      </c>
      <c r="K665" s="30" t="s">
        <v>47</v>
      </c>
      <c r="L665" s="30" t="s">
        <v>84</v>
      </c>
      <c r="M665" s="31" t="n">
        <f aca="false">AVERAGEIF($E$2:$E$1197,E665,$G$2:$G$1197)</f>
        <v>2870.26771653543</v>
      </c>
      <c r="N665" s="19" t="str">
        <f aca="false">IF(G665&gt;M665*3,"نعم","لا")</f>
        <v>لا</v>
      </c>
      <c r="O665" s="19" t="str">
        <f aca="false">IF(OR(C665="",ISNUMBER(C665)),"لا","نعم")</f>
        <v>لا</v>
      </c>
      <c r="P665" s="19" t="str">
        <f aca="false">IF(COUNTIF($B$2:B665,B665)&gt;1,"مكرر","فريد")</f>
        <v>فريد</v>
      </c>
      <c r="Q665" s="19" t="str">
        <f aca="false">IF(COUNTBLANK(D665:L665)&gt;0,"نعم","لا")</f>
        <v>لا</v>
      </c>
    </row>
    <row r="666" customFormat="false" ht="15" hidden="false" customHeight="false" outlineLevel="0" collapsed="false">
      <c r="A666" s="19" t="n">
        <v>665</v>
      </c>
      <c r="B666" s="30" t="s">
        <v>1266</v>
      </c>
      <c r="C666" s="44" t="n">
        <v>45648</v>
      </c>
      <c r="D666" s="30" t="s">
        <v>50</v>
      </c>
      <c r="E666" s="30" t="s">
        <v>105</v>
      </c>
      <c r="F666" s="30" t="s">
        <v>82</v>
      </c>
      <c r="G666" s="31" t="n">
        <v>3409</v>
      </c>
      <c r="H666" s="19" t="n">
        <v>4</v>
      </c>
      <c r="I666" s="32"/>
      <c r="J666" s="30" t="s">
        <v>48</v>
      </c>
      <c r="K666" s="30" t="s">
        <v>51</v>
      </c>
      <c r="L666" s="30" t="s">
        <v>78</v>
      </c>
      <c r="M666" s="31" t="n">
        <f aca="false">AVERAGEIF($E$2:$E$1197,E666,$G$2:$G$1197)</f>
        <v>2870.26771653543</v>
      </c>
      <c r="N666" s="19" t="str">
        <f aca="false">IF(G666&gt;M666*3,"نعم","لا")</f>
        <v>لا</v>
      </c>
      <c r="O666" s="19" t="str">
        <f aca="false">IF(OR(C666="",ISNUMBER(C666)),"لا","نعم")</f>
        <v>لا</v>
      </c>
      <c r="P666" s="19" t="str">
        <f aca="false">IF(COUNTIF($B$2:B666,B666)&gt;1,"مكرر","فريد")</f>
        <v>فريد</v>
      </c>
      <c r="Q666" s="19" t="str">
        <f aca="false">IF(COUNTBLANK(D666:L666)&gt;0,"نعم","لا")</f>
        <v>نعم</v>
      </c>
    </row>
    <row r="667" customFormat="false" ht="15" hidden="false" customHeight="false" outlineLevel="0" collapsed="false">
      <c r="A667" s="19" t="n">
        <v>666</v>
      </c>
      <c r="B667" s="30" t="s">
        <v>446</v>
      </c>
      <c r="C667" s="44" t="n">
        <v>45388</v>
      </c>
      <c r="D667" s="30" t="s">
        <v>60</v>
      </c>
      <c r="E667" s="30" t="s">
        <v>105</v>
      </c>
      <c r="F667" s="30" t="s">
        <v>85</v>
      </c>
      <c r="G667" s="31" t="n">
        <v>2929</v>
      </c>
      <c r="H667" s="19" t="n">
        <v>1</v>
      </c>
      <c r="I667" s="32" t="n">
        <v>0.2</v>
      </c>
      <c r="J667" s="30" t="s">
        <v>58</v>
      </c>
      <c r="K667" s="30" t="s">
        <v>51</v>
      </c>
      <c r="L667" s="30" t="s">
        <v>76</v>
      </c>
      <c r="M667" s="31" t="n">
        <f aca="false">AVERAGEIF($E$2:$E$1197,E667,$G$2:$G$1197)</f>
        <v>2870.26771653543</v>
      </c>
      <c r="N667" s="19" t="str">
        <f aca="false">IF(G667&gt;M667*3,"نعم","لا")</f>
        <v>لا</v>
      </c>
      <c r="O667" s="19" t="str">
        <f aca="false">IF(OR(C667="",ISNUMBER(C667)),"لا","نعم")</f>
        <v>لا</v>
      </c>
      <c r="P667" s="19" t="str">
        <f aca="false">IF(COUNTIF($B$2:B667,B667)&gt;1,"مكرر","فريد")</f>
        <v>فريد</v>
      </c>
      <c r="Q667" s="19" t="str">
        <f aca="false">IF(COUNTBLANK(D667:L667)&gt;0,"نعم","لا")</f>
        <v>لا</v>
      </c>
    </row>
    <row r="668" customFormat="false" ht="15" hidden="false" customHeight="false" outlineLevel="0" collapsed="false">
      <c r="A668" s="19" t="n">
        <v>667</v>
      </c>
      <c r="B668" s="30" t="s">
        <v>983</v>
      </c>
      <c r="C668" s="44" t="n">
        <v>45575</v>
      </c>
      <c r="D668" s="30" t="s">
        <v>46</v>
      </c>
      <c r="E668" s="30" t="s">
        <v>107</v>
      </c>
      <c r="F668" s="30" t="s">
        <v>272</v>
      </c>
      <c r="G668" s="31" t="n">
        <v>5429</v>
      </c>
      <c r="H668" s="19" t="n">
        <v>1</v>
      </c>
      <c r="I668" s="32" t="n">
        <v>0.05</v>
      </c>
      <c r="J668" s="30" t="s">
        <v>58</v>
      </c>
      <c r="K668" s="30" t="s">
        <v>47</v>
      </c>
      <c r="L668" s="30" t="s">
        <v>78</v>
      </c>
      <c r="M668" s="31" t="n">
        <f aca="false">AVERAGEIF($E$2:$E$1197,E668,$G$2:$G$1197)</f>
        <v>4981.14563106796</v>
      </c>
      <c r="N668" s="19" t="str">
        <f aca="false">IF(G668&gt;M668*3,"نعم","لا")</f>
        <v>لا</v>
      </c>
      <c r="O668" s="19" t="str">
        <f aca="false">IF(OR(C668="",ISNUMBER(C668)),"لا","نعم")</f>
        <v>لا</v>
      </c>
      <c r="P668" s="19" t="str">
        <f aca="false">IF(COUNTIF($B$2:B668,B668)&gt;1,"مكرر","فريد")</f>
        <v>فريد</v>
      </c>
      <c r="Q668" s="19" t="str">
        <f aca="false">IF(COUNTBLANK(D668:L668)&gt;0,"نعم","لا")</f>
        <v>لا</v>
      </c>
    </row>
    <row r="669" customFormat="false" ht="15" hidden="false" customHeight="false" outlineLevel="0" collapsed="false">
      <c r="A669" s="19" t="n">
        <v>668</v>
      </c>
      <c r="B669" s="30" t="s">
        <v>532</v>
      </c>
      <c r="C669" s="44" t="n">
        <v>45425</v>
      </c>
      <c r="D669" s="30" t="s">
        <v>54</v>
      </c>
      <c r="E669" s="30" t="s">
        <v>107</v>
      </c>
      <c r="F669" s="30" t="s">
        <v>115</v>
      </c>
      <c r="G669" s="31" t="n">
        <v>6109</v>
      </c>
      <c r="H669" s="19" t="n">
        <v>1</v>
      </c>
      <c r="I669" s="32" t="n">
        <v>0.15</v>
      </c>
      <c r="J669" s="30" t="s">
        <v>48</v>
      </c>
      <c r="K669" s="30" t="s">
        <v>47</v>
      </c>
      <c r="L669" s="30" t="s">
        <v>86</v>
      </c>
      <c r="M669" s="31" t="n">
        <f aca="false">AVERAGEIF($E$2:$E$1197,E669,$G$2:$G$1197)</f>
        <v>4981.14563106796</v>
      </c>
      <c r="N669" s="19" t="str">
        <f aca="false">IF(G669&gt;M669*3,"نعم","لا")</f>
        <v>لا</v>
      </c>
      <c r="O669" s="19" t="str">
        <f aca="false">IF(OR(C669="",ISNUMBER(C669)),"لا","نعم")</f>
        <v>لا</v>
      </c>
      <c r="P669" s="19" t="str">
        <f aca="false">IF(COUNTIF($B$2:B669,B669)&gt;1,"مكرر","فريد")</f>
        <v>فريد</v>
      </c>
      <c r="Q669" s="19" t="str">
        <f aca="false">IF(COUNTBLANK(D669:L669)&gt;0,"نعم","لا")</f>
        <v>لا</v>
      </c>
    </row>
    <row r="670" customFormat="false" ht="15" hidden="false" customHeight="false" outlineLevel="0" collapsed="false">
      <c r="A670" s="19" t="n">
        <v>669</v>
      </c>
      <c r="B670" s="30" t="s">
        <v>1026</v>
      </c>
      <c r="C670" s="44" t="n">
        <v>45590</v>
      </c>
      <c r="D670" s="30" t="s">
        <v>50</v>
      </c>
      <c r="E670" s="30" t="s">
        <v>109</v>
      </c>
      <c r="F670" s="30" t="s">
        <v>1446</v>
      </c>
      <c r="G670" s="31" t="n">
        <v>259</v>
      </c>
      <c r="H670" s="19" t="n">
        <v>3</v>
      </c>
      <c r="I670" s="32" t="n">
        <v>0.1</v>
      </c>
      <c r="J670" s="30" t="s">
        <v>48</v>
      </c>
      <c r="K670" s="30" t="s">
        <v>47</v>
      </c>
      <c r="L670" s="30" t="s">
        <v>84</v>
      </c>
      <c r="M670" s="31" t="n">
        <f aca="false">AVERAGEIF($E$2:$E$1197,E670,$G$2:$G$1197)</f>
        <v>186.056291390729</v>
      </c>
      <c r="N670" s="19" t="str">
        <f aca="false">IF(G670&gt;M670*3,"نعم","لا")</f>
        <v>لا</v>
      </c>
      <c r="O670" s="19" t="str">
        <f aca="false">IF(OR(C670="",ISNUMBER(C670)),"لا","نعم")</f>
        <v>لا</v>
      </c>
      <c r="P670" s="19" t="str">
        <f aca="false">IF(COUNTIF($B$2:B670,B670)&gt;1,"مكرر","فريد")</f>
        <v>فريد</v>
      </c>
      <c r="Q670" s="19" t="str">
        <f aca="false">IF(COUNTBLANK(D670:L670)&gt;0,"نعم","لا")</f>
        <v>لا</v>
      </c>
    </row>
    <row r="671" customFormat="false" ht="15" hidden="false" customHeight="false" outlineLevel="0" collapsed="false">
      <c r="A671" s="19" t="n">
        <v>670</v>
      </c>
      <c r="B671" s="30" t="s">
        <v>963</v>
      </c>
      <c r="C671" s="44" t="n">
        <v>45568</v>
      </c>
      <c r="D671" s="30" t="s">
        <v>50</v>
      </c>
      <c r="E671" s="30" t="s">
        <v>113</v>
      </c>
      <c r="F671" s="30" t="s">
        <v>95</v>
      </c>
      <c r="G671" s="31" t="n">
        <v>639</v>
      </c>
      <c r="H671" s="19" t="n">
        <v>2</v>
      </c>
      <c r="I671" s="32" t="n">
        <v>0</v>
      </c>
      <c r="J671" s="30" t="s">
        <v>55</v>
      </c>
      <c r="K671" s="30" t="s">
        <v>47</v>
      </c>
      <c r="L671" s="30" t="s">
        <v>84</v>
      </c>
      <c r="M671" s="31" t="n">
        <f aca="false">AVERAGEIF($E$2:$E$1197,E671,$G$2:$G$1197)</f>
        <v>545.358823529412</v>
      </c>
      <c r="N671" s="19" t="str">
        <f aca="false">IF(G671&gt;M671*3,"نعم","لا")</f>
        <v>لا</v>
      </c>
      <c r="O671" s="19" t="str">
        <f aca="false">IF(OR(C671="",ISNUMBER(C671)),"لا","نعم")</f>
        <v>لا</v>
      </c>
      <c r="P671" s="19" t="str">
        <f aca="false">IF(COUNTIF($B$2:B671,B671)&gt;1,"مكرر","فريد")</f>
        <v>فريد</v>
      </c>
      <c r="Q671" s="19" t="str">
        <f aca="false">IF(COUNTBLANK(D671:L671)&gt;0,"نعم","لا")</f>
        <v>لا</v>
      </c>
    </row>
    <row r="672" customFormat="false" ht="15" hidden="false" customHeight="false" outlineLevel="0" collapsed="false">
      <c r="A672" s="19" t="n">
        <v>671</v>
      </c>
      <c r="B672" s="30" t="s">
        <v>1003</v>
      </c>
      <c r="C672" s="44" t="n">
        <v>45584</v>
      </c>
      <c r="D672" s="30" t="s">
        <v>46</v>
      </c>
      <c r="E672" s="30" t="s">
        <v>107</v>
      </c>
      <c r="F672" s="30" t="s">
        <v>115</v>
      </c>
      <c r="G672" s="31" t="n">
        <v>6729</v>
      </c>
      <c r="H672" s="19" t="n">
        <v>1</v>
      </c>
      <c r="I672" s="32" t="n">
        <v>0</v>
      </c>
      <c r="J672" s="30" t="s">
        <v>48</v>
      </c>
      <c r="K672" s="30" t="s">
        <v>47</v>
      </c>
      <c r="L672" s="30" t="s">
        <v>94</v>
      </c>
      <c r="M672" s="31" t="n">
        <f aca="false">AVERAGEIF($E$2:$E$1197,E672,$G$2:$G$1197)</f>
        <v>4981.14563106796</v>
      </c>
      <c r="N672" s="19" t="str">
        <f aca="false">IF(G672&gt;M672*3,"نعم","لا")</f>
        <v>لا</v>
      </c>
      <c r="O672" s="19" t="str">
        <f aca="false">IF(OR(C672="",ISNUMBER(C672)),"لا","نعم")</f>
        <v>لا</v>
      </c>
      <c r="P672" s="19" t="str">
        <f aca="false">IF(COUNTIF($B$2:B672,B672)&gt;1,"مكرر","فريد")</f>
        <v>فريد</v>
      </c>
      <c r="Q672" s="19" t="str">
        <f aca="false">IF(COUNTBLANK(D672:L672)&gt;0,"نعم","لا")</f>
        <v>لا</v>
      </c>
    </row>
    <row r="673" customFormat="false" ht="15" hidden="false" customHeight="false" outlineLevel="0" collapsed="false">
      <c r="A673" s="19" t="n">
        <v>672</v>
      </c>
      <c r="B673" s="30" t="s">
        <v>867</v>
      </c>
      <c r="C673" s="44" t="n">
        <v>45533</v>
      </c>
      <c r="D673" s="30" t="s">
        <v>54</v>
      </c>
      <c r="E673" s="30" t="s">
        <v>105</v>
      </c>
      <c r="F673" s="30" t="s">
        <v>90</v>
      </c>
      <c r="G673" s="31" t="n">
        <v>42990</v>
      </c>
      <c r="H673" s="19" t="n">
        <v>2</v>
      </c>
      <c r="I673" s="32" t="n">
        <v>0</v>
      </c>
      <c r="J673" s="30" t="s">
        <v>58</v>
      </c>
      <c r="K673" s="30" t="s">
        <v>47</v>
      </c>
      <c r="L673" s="30" t="s">
        <v>89</v>
      </c>
      <c r="M673" s="31" t="n">
        <f aca="false">AVERAGEIF($E$2:$E$1197,E673,$G$2:$G$1197)</f>
        <v>2870.26771653543</v>
      </c>
      <c r="N673" s="19" t="str">
        <f aca="false">IF(G673&gt;M673*3,"نعم","لا")</f>
        <v>نعم</v>
      </c>
      <c r="O673" s="19" t="str">
        <f aca="false">IF(OR(C673="",ISNUMBER(C673)),"لا","نعم")</f>
        <v>لا</v>
      </c>
      <c r="P673" s="19" t="str">
        <f aca="false">IF(COUNTIF($B$2:B673,B673)&gt;1,"مكرر","فريد")</f>
        <v>فريد</v>
      </c>
      <c r="Q673" s="19" t="str">
        <f aca="false">IF(COUNTBLANK(D673:L673)&gt;0,"نعم","لا")</f>
        <v>لا</v>
      </c>
    </row>
    <row r="674" customFormat="false" ht="15" hidden="false" customHeight="false" outlineLevel="0" collapsed="false">
      <c r="A674" s="19" t="n">
        <v>673</v>
      </c>
      <c r="B674" s="30" t="s">
        <v>918</v>
      </c>
      <c r="C674" s="44" t="n">
        <v>45553</v>
      </c>
      <c r="D674" s="30" t="s">
        <v>50</v>
      </c>
      <c r="E674" s="30" t="s">
        <v>105</v>
      </c>
      <c r="F674" s="30" t="s">
        <v>79</v>
      </c>
      <c r="G674" s="31" t="n">
        <v>1389</v>
      </c>
      <c r="H674" s="19" t="n">
        <v>6</v>
      </c>
      <c r="I674" s="32" t="n">
        <v>0.15</v>
      </c>
      <c r="J674" s="30" t="s">
        <v>58</v>
      </c>
      <c r="K674" s="30" t="s">
        <v>51</v>
      </c>
      <c r="L674" s="30" t="s">
        <v>84</v>
      </c>
      <c r="M674" s="31" t="n">
        <f aca="false">AVERAGEIF($E$2:$E$1197,E674,$G$2:$G$1197)</f>
        <v>2870.26771653543</v>
      </c>
      <c r="N674" s="19" t="str">
        <f aca="false">IF(G674&gt;M674*3,"نعم","لا")</f>
        <v>لا</v>
      </c>
      <c r="O674" s="19" t="str">
        <f aca="false">IF(OR(C674="",ISNUMBER(C674)),"لا","نعم")</f>
        <v>لا</v>
      </c>
      <c r="P674" s="19" t="str">
        <f aca="false">IF(COUNTIF($B$2:B674,B674)&gt;1,"مكرر","فريد")</f>
        <v>فريد</v>
      </c>
      <c r="Q674" s="19" t="str">
        <f aca="false">IF(COUNTBLANK(D674:L674)&gt;0,"نعم","لا")</f>
        <v>لا</v>
      </c>
    </row>
    <row r="675" customFormat="false" ht="15" hidden="false" customHeight="false" outlineLevel="0" collapsed="false">
      <c r="A675" s="19" t="n">
        <v>674</v>
      </c>
      <c r="B675" s="30" t="s">
        <v>706</v>
      </c>
      <c r="C675" s="44" t="n">
        <v>45488</v>
      </c>
      <c r="D675" s="30" t="s">
        <v>50</v>
      </c>
      <c r="E675" s="30" t="s">
        <v>105</v>
      </c>
      <c r="F675" s="30" t="s">
        <v>79</v>
      </c>
      <c r="G675" s="31" t="n">
        <v>4329</v>
      </c>
      <c r="H675" s="19" t="n">
        <v>1</v>
      </c>
      <c r="I675" s="32"/>
      <c r="J675" s="30" t="s">
        <v>48</v>
      </c>
      <c r="K675" s="30" t="s">
        <v>47</v>
      </c>
      <c r="L675" s="30" t="s">
        <v>84</v>
      </c>
      <c r="M675" s="31" t="n">
        <f aca="false">AVERAGEIF($E$2:$E$1197,E675,$G$2:$G$1197)</f>
        <v>2870.26771653543</v>
      </c>
      <c r="N675" s="19" t="str">
        <f aca="false">IF(G675&gt;M675*3,"نعم","لا")</f>
        <v>لا</v>
      </c>
      <c r="O675" s="19" t="str">
        <f aca="false">IF(OR(C675="",ISNUMBER(C675)),"لا","نعم")</f>
        <v>لا</v>
      </c>
      <c r="P675" s="19" t="str">
        <f aca="false">IF(COUNTIF($B$2:B675,B675)&gt;1,"مكرر","فريد")</f>
        <v>فريد</v>
      </c>
      <c r="Q675" s="19" t="str">
        <f aca="false">IF(COUNTBLANK(D675:L675)&gt;0,"نعم","لا")</f>
        <v>نعم</v>
      </c>
    </row>
    <row r="676" customFormat="false" ht="15" hidden="false" customHeight="false" outlineLevel="0" collapsed="false">
      <c r="A676" s="19" t="n">
        <v>675</v>
      </c>
      <c r="B676" s="30" t="s">
        <v>1020</v>
      </c>
      <c r="C676" s="44" t="n">
        <v>45589</v>
      </c>
      <c r="D676" s="30" t="s">
        <v>50</v>
      </c>
      <c r="E676" s="30" t="s">
        <v>107</v>
      </c>
      <c r="F676" s="30" t="s">
        <v>272</v>
      </c>
      <c r="G676" s="31" t="n">
        <v>5999</v>
      </c>
      <c r="H676" s="19" t="n">
        <v>1</v>
      </c>
      <c r="I676" s="32" t="n">
        <v>0</v>
      </c>
      <c r="J676" s="30" t="s">
        <v>48</v>
      </c>
      <c r="K676" s="30" t="s">
        <v>47</v>
      </c>
      <c r="L676" s="30" t="s">
        <v>94</v>
      </c>
      <c r="M676" s="31" t="n">
        <f aca="false">AVERAGEIF($E$2:$E$1197,E676,$G$2:$G$1197)</f>
        <v>4981.14563106796</v>
      </c>
      <c r="N676" s="19" t="str">
        <f aca="false">IF(G676&gt;M676*3,"نعم","لا")</f>
        <v>لا</v>
      </c>
      <c r="O676" s="19" t="str">
        <f aca="false">IF(OR(C676="",ISNUMBER(C676)),"لا","نعم")</f>
        <v>لا</v>
      </c>
      <c r="P676" s="19" t="str">
        <f aca="false">IF(COUNTIF($B$2:B676,B676)&gt;1,"مكرر","فريد")</f>
        <v>فريد</v>
      </c>
      <c r="Q676" s="19" t="str">
        <f aca="false">IF(COUNTBLANK(D676:L676)&gt;0,"نعم","لا")</f>
        <v>لا</v>
      </c>
    </row>
    <row r="677" customFormat="false" ht="15" hidden="false" customHeight="false" outlineLevel="0" collapsed="false">
      <c r="A677" s="19" t="n">
        <v>676</v>
      </c>
      <c r="B677" s="30" t="s">
        <v>1041</v>
      </c>
      <c r="C677" s="44" t="n">
        <v>45594</v>
      </c>
      <c r="D677" s="30" t="s">
        <v>50</v>
      </c>
      <c r="E677" s="30" t="s">
        <v>111</v>
      </c>
      <c r="F677" s="30" t="s">
        <v>120</v>
      </c>
      <c r="G677" s="31" t="n">
        <v>379</v>
      </c>
      <c r="H677" s="19" t="n">
        <v>2</v>
      </c>
      <c r="I677" s="32" t="n">
        <v>0</v>
      </c>
      <c r="J677" s="30" t="s">
        <v>48</v>
      </c>
      <c r="K677" s="30" t="s">
        <v>47</v>
      </c>
      <c r="L677" s="30" t="s">
        <v>78</v>
      </c>
      <c r="M677" s="31" t="n">
        <f aca="false">AVERAGEIF($E$2:$E$1197,E677,$G$2:$G$1197)</f>
        <v>366.306569343066</v>
      </c>
      <c r="N677" s="19" t="str">
        <f aca="false">IF(G677&gt;M677*3,"نعم","لا")</f>
        <v>لا</v>
      </c>
      <c r="O677" s="19" t="str">
        <f aca="false">IF(OR(C677="",ISNUMBER(C677)),"لا","نعم")</f>
        <v>لا</v>
      </c>
      <c r="P677" s="19" t="str">
        <f aca="false">IF(COUNTIF($B$2:B677,B677)&gt;1,"مكرر","فريد")</f>
        <v>فريد</v>
      </c>
      <c r="Q677" s="19" t="str">
        <f aca="false">IF(COUNTBLANK(D677:L677)&gt;0,"نعم","لا")</f>
        <v>لا</v>
      </c>
    </row>
    <row r="678" customFormat="false" ht="15" hidden="false" customHeight="false" outlineLevel="0" collapsed="false">
      <c r="A678" s="19" t="n">
        <v>677</v>
      </c>
      <c r="B678" s="30" t="s">
        <v>616</v>
      </c>
      <c r="C678" s="44" t="n">
        <v>45456</v>
      </c>
      <c r="D678" s="30" t="s">
        <v>46</v>
      </c>
      <c r="E678" s="30" t="s">
        <v>113</v>
      </c>
      <c r="F678" s="30" t="s">
        <v>100</v>
      </c>
      <c r="G678" s="31" t="n">
        <v>779</v>
      </c>
      <c r="H678" s="19" t="n">
        <v>1</v>
      </c>
      <c r="I678" s="32" t="n">
        <v>0</v>
      </c>
      <c r="J678" s="30" t="s">
        <v>52</v>
      </c>
      <c r="K678" s="30" t="s">
        <v>47</v>
      </c>
      <c r="L678" s="30" t="s">
        <v>89</v>
      </c>
      <c r="M678" s="31" t="n">
        <f aca="false">AVERAGEIF($E$2:$E$1197,E678,$G$2:$G$1197)</f>
        <v>545.358823529412</v>
      </c>
      <c r="N678" s="19" t="str">
        <f aca="false">IF(G678&gt;M678*3,"نعم","لا")</f>
        <v>لا</v>
      </c>
      <c r="O678" s="19" t="str">
        <f aca="false">IF(OR(C678="",ISNUMBER(C678)),"لا","نعم")</f>
        <v>لا</v>
      </c>
      <c r="P678" s="19" t="str">
        <f aca="false">IF(COUNTIF($B$2:B678,B678)&gt;1,"مكرر","فريد")</f>
        <v>فريد</v>
      </c>
      <c r="Q678" s="19" t="str">
        <f aca="false">IF(COUNTBLANK(D678:L678)&gt;0,"نعم","لا")</f>
        <v>لا</v>
      </c>
    </row>
    <row r="679" customFormat="false" ht="15" hidden="false" customHeight="false" outlineLevel="0" collapsed="false">
      <c r="A679" s="19" t="n">
        <v>678</v>
      </c>
      <c r="B679" s="30" t="s">
        <v>555</v>
      </c>
      <c r="C679" s="30" t="s">
        <v>1447</v>
      </c>
      <c r="D679" s="30" t="s">
        <v>46</v>
      </c>
      <c r="E679" s="30" t="s">
        <v>105</v>
      </c>
      <c r="F679" s="30" t="s">
        <v>179</v>
      </c>
      <c r="G679" s="31" t="n">
        <v>2269</v>
      </c>
      <c r="H679" s="19" t="n">
        <v>1</v>
      </c>
      <c r="I679" s="32" t="n">
        <v>0.05</v>
      </c>
      <c r="J679" s="30" t="s">
        <v>55</v>
      </c>
      <c r="K679" s="30" t="s">
        <v>47</v>
      </c>
      <c r="L679" s="30" t="s">
        <v>84</v>
      </c>
      <c r="M679" s="31" t="n">
        <f aca="false">AVERAGEIF($E$2:$E$1197,E679,$G$2:$G$1197)</f>
        <v>2870.26771653543</v>
      </c>
      <c r="N679" s="19" t="str">
        <f aca="false">IF(G679&gt;M679*3,"نعم","لا")</f>
        <v>لا</v>
      </c>
      <c r="O679" s="19" t="str">
        <f aca="false">IF(OR(C679="",ISNUMBER(C679)),"لا","نعم")</f>
        <v>نعم</v>
      </c>
      <c r="P679" s="19" t="str">
        <f aca="false">IF(COUNTIF($B$2:B679,B679)&gt;1,"مكرر","فريد")</f>
        <v>فريد</v>
      </c>
      <c r="Q679" s="19" t="str">
        <f aca="false">IF(COUNTBLANK(D679:L679)&gt;0,"نعم","لا")</f>
        <v>لا</v>
      </c>
    </row>
    <row r="680" customFormat="false" ht="15" hidden="false" customHeight="false" outlineLevel="0" collapsed="false">
      <c r="A680" s="19" t="n">
        <v>679</v>
      </c>
      <c r="B680" s="30" t="s">
        <v>827</v>
      </c>
      <c r="C680" s="44" t="n">
        <v>45523</v>
      </c>
      <c r="D680" s="30" t="s">
        <v>50</v>
      </c>
      <c r="E680" s="30" t="s">
        <v>109</v>
      </c>
      <c r="F680" s="30" t="s">
        <v>192</v>
      </c>
      <c r="G680" s="31" t="n">
        <v>29</v>
      </c>
      <c r="H680" s="19" t="n">
        <v>1</v>
      </c>
      <c r="I680" s="32" t="n">
        <v>0.2</v>
      </c>
      <c r="J680" s="30" t="s">
        <v>48</v>
      </c>
      <c r="K680" s="30" t="s">
        <v>47</v>
      </c>
      <c r="L680" s="30" t="s">
        <v>99</v>
      </c>
      <c r="M680" s="31" t="n">
        <f aca="false">AVERAGEIF($E$2:$E$1197,E680,$G$2:$G$1197)</f>
        <v>186.056291390729</v>
      </c>
      <c r="N680" s="19" t="str">
        <f aca="false">IF(G680&gt;M680*3,"نعم","لا")</f>
        <v>لا</v>
      </c>
      <c r="O680" s="19" t="str">
        <f aca="false">IF(OR(C680="",ISNUMBER(C680)),"لا","نعم")</f>
        <v>لا</v>
      </c>
      <c r="P680" s="19" t="str">
        <f aca="false">IF(COUNTIF($B$2:B680,B680)&gt;1,"مكرر","فريد")</f>
        <v>فريد</v>
      </c>
      <c r="Q680" s="19" t="str">
        <f aca="false">IF(COUNTBLANK(D680:L680)&gt;0,"نعم","لا")</f>
        <v>لا</v>
      </c>
    </row>
    <row r="681" customFormat="false" ht="15" hidden="false" customHeight="false" outlineLevel="0" collapsed="false">
      <c r="A681" s="19" t="n">
        <v>680</v>
      </c>
      <c r="B681" s="30" t="s">
        <v>1053</v>
      </c>
      <c r="C681" s="44" t="n">
        <v>45597</v>
      </c>
      <c r="D681" s="30" t="s">
        <v>46</v>
      </c>
      <c r="E681" s="30" t="s">
        <v>105</v>
      </c>
      <c r="F681" s="30" t="s">
        <v>179</v>
      </c>
      <c r="G681" s="31" t="n">
        <v>3129</v>
      </c>
      <c r="H681" s="19" t="n">
        <v>2</v>
      </c>
      <c r="I681" s="32" t="n">
        <v>0</v>
      </c>
      <c r="J681" s="30"/>
      <c r="K681" s="30" t="s">
        <v>51</v>
      </c>
      <c r="L681" s="30" t="s">
        <v>76</v>
      </c>
      <c r="M681" s="31" t="n">
        <f aca="false">AVERAGEIF($E$2:$E$1197,E681,$G$2:$G$1197)</f>
        <v>2870.26771653543</v>
      </c>
      <c r="N681" s="19" t="str">
        <f aca="false">IF(G681&gt;M681*3,"نعم","لا")</f>
        <v>لا</v>
      </c>
      <c r="O681" s="19" t="str">
        <f aca="false">IF(OR(C681="",ISNUMBER(C681)),"لا","نعم")</f>
        <v>لا</v>
      </c>
      <c r="P681" s="19" t="str">
        <f aca="false">IF(COUNTIF($B$2:B681,B681)&gt;1,"مكرر","فريد")</f>
        <v>فريد</v>
      </c>
      <c r="Q681" s="19" t="str">
        <f aca="false">IF(COUNTBLANK(D681:L681)&gt;0,"نعم","لا")</f>
        <v>نعم</v>
      </c>
    </row>
    <row r="682" customFormat="false" ht="15" hidden="false" customHeight="false" outlineLevel="0" collapsed="false">
      <c r="A682" s="19" t="n">
        <v>681</v>
      </c>
      <c r="B682" s="30" t="s">
        <v>982</v>
      </c>
      <c r="C682" s="44" t="n">
        <v>45575</v>
      </c>
      <c r="D682" s="30" t="s">
        <v>46</v>
      </c>
      <c r="E682" s="30" t="s">
        <v>105</v>
      </c>
      <c r="F682" s="30" t="s">
        <v>79</v>
      </c>
      <c r="G682" s="31" t="n">
        <v>1769</v>
      </c>
      <c r="H682" s="19" t="n">
        <v>1</v>
      </c>
      <c r="I682" s="32" t="n">
        <v>0</v>
      </c>
      <c r="J682" s="30" t="s">
        <v>52</v>
      </c>
      <c r="K682" s="30" t="s">
        <v>47</v>
      </c>
      <c r="L682" s="30" t="s">
        <v>94</v>
      </c>
      <c r="M682" s="31" t="n">
        <f aca="false">AVERAGEIF($E$2:$E$1197,E682,$G$2:$G$1197)</f>
        <v>2870.26771653543</v>
      </c>
      <c r="N682" s="19" t="str">
        <f aca="false">IF(G682&gt;M682*3,"نعم","لا")</f>
        <v>لا</v>
      </c>
      <c r="O682" s="19" t="str">
        <f aca="false">IF(OR(C682="",ISNUMBER(C682)),"لا","نعم")</f>
        <v>لا</v>
      </c>
      <c r="P682" s="19" t="str">
        <f aca="false">IF(COUNTIF($B$2:B682,B682)&gt;1,"مكرر","فريد")</f>
        <v>مكرر</v>
      </c>
      <c r="Q682" s="19" t="str">
        <f aca="false">IF(COUNTBLANK(D682:L682)&gt;0,"نعم","لا")</f>
        <v>لا</v>
      </c>
    </row>
    <row r="683" customFormat="false" ht="15" hidden="false" customHeight="false" outlineLevel="0" collapsed="false">
      <c r="A683" s="19" t="n">
        <v>682</v>
      </c>
      <c r="B683" s="30" t="s">
        <v>541</v>
      </c>
      <c r="C683" s="44" t="n">
        <v>45427</v>
      </c>
      <c r="D683" s="30" t="s">
        <v>46</v>
      </c>
      <c r="E683" s="30" t="s">
        <v>113</v>
      </c>
      <c r="F683" s="30" t="s">
        <v>121</v>
      </c>
      <c r="G683" s="31" t="n">
        <v>749</v>
      </c>
      <c r="H683" s="19" t="n">
        <v>8</v>
      </c>
      <c r="I683" s="32" t="n">
        <v>0</v>
      </c>
      <c r="J683" s="30" t="s">
        <v>48</v>
      </c>
      <c r="K683" s="30" t="s">
        <v>51</v>
      </c>
      <c r="L683" s="30" t="s">
        <v>86</v>
      </c>
      <c r="M683" s="31" t="n">
        <f aca="false">AVERAGEIF($E$2:$E$1197,E683,$G$2:$G$1197)</f>
        <v>545.358823529412</v>
      </c>
      <c r="N683" s="19" t="str">
        <f aca="false">IF(G683&gt;M683*3,"نعم","لا")</f>
        <v>لا</v>
      </c>
      <c r="O683" s="19" t="str">
        <f aca="false">IF(OR(C683="",ISNUMBER(C683)),"لا","نعم")</f>
        <v>لا</v>
      </c>
      <c r="P683" s="19" t="str">
        <f aca="false">IF(COUNTIF($B$2:B683,B683)&gt;1,"مكرر","فريد")</f>
        <v>فريد</v>
      </c>
      <c r="Q683" s="19" t="str">
        <f aca="false">IF(COUNTBLANK(D683:L683)&gt;0,"نعم","لا")</f>
        <v>لا</v>
      </c>
    </row>
    <row r="684" customFormat="false" ht="15" hidden="false" customHeight="false" outlineLevel="0" collapsed="false">
      <c r="A684" s="19" t="n">
        <v>683</v>
      </c>
      <c r="B684" s="30" t="s">
        <v>574</v>
      </c>
      <c r="C684" s="44" t="n">
        <v>45440</v>
      </c>
      <c r="D684" s="30" t="s">
        <v>60</v>
      </c>
      <c r="E684" s="30" t="s">
        <v>105</v>
      </c>
      <c r="F684" s="30" t="s">
        <v>179</v>
      </c>
      <c r="G684" s="31" t="n">
        <v>3289</v>
      </c>
      <c r="H684" s="19" t="n">
        <v>6</v>
      </c>
      <c r="I684" s="32" t="n">
        <v>0</v>
      </c>
      <c r="J684" s="30" t="s">
        <v>48</v>
      </c>
      <c r="K684" s="30" t="s">
        <v>51</v>
      </c>
      <c r="L684" s="30" t="s">
        <v>89</v>
      </c>
      <c r="M684" s="31" t="n">
        <f aca="false">AVERAGEIF($E$2:$E$1197,E684,$G$2:$G$1197)</f>
        <v>2870.26771653543</v>
      </c>
      <c r="N684" s="19" t="str">
        <f aca="false">IF(G684&gt;M684*3,"نعم","لا")</f>
        <v>لا</v>
      </c>
      <c r="O684" s="19" t="str">
        <f aca="false">IF(OR(C684="",ISNUMBER(C684)),"لا","نعم")</f>
        <v>لا</v>
      </c>
      <c r="P684" s="19" t="str">
        <f aca="false">IF(COUNTIF($B$2:B684,B684)&gt;1,"مكرر","فريد")</f>
        <v>فريد</v>
      </c>
      <c r="Q684" s="19" t="str">
        <f aca="false">IF(COUNTBLANK(D684:L684)&gt;0,"نعم","لا")</f>
        <v>لا</v>
      </c>
    </row>
    <row r="685" customFormat="false" ht="15" hidden="false" customHeight="false" outlineLevel="0" collapsed="false">
      <c r="A685" s="19" t="n">
        <v>684</v>
      </c>
      <c r="B685" s="30" t="s">
        <v>245</v>
      </c>
      <c r="C685" s="44" t="n">
        <v>45320</v>
      </c>
      <c r="D685" s="30" t="s">
        <v>46</v>
      </c>
      <c r="E685" s="30" t="s">
        <v>107</v>
      </c>
      <c r="F685" s="30" t="s">
        <v>115</v>
      </c>
      <c r="G685" s="31" t="n">
        <v>7139</v>
      </c>
      <c r="H685" s="19" t="n">
        <v>1</v>
      </c>
      <c r="I685" s="32" t="n">
        <v>0</v>
      </c>
      <c r="J685" s="30" t="s">
        <v>48</v>
      </c>
      <c r="K685" s="30" t="s">
        <v>47</v>
      </c>
      <c r="L685" s="30" t="s">
        <v>86</v>
      </c>
      <c r="M685" s="31" t="n">
        <f aca="false">AVERAGEIF($E$2:$E$1197,E685,$G$2:$G$1197)</f>
        <v>4981.14563106796</v>
      </c>
      <c r="N685" s="19" t="str">
        <f aca="false">IF(G685&gt;M685*3,"نعم","لا")</f>
        <v>لا</v>
      </c>
      <c r="O685" s="19" t="str">
        <f aca="false">IF(OR(C685="",ISNUMBER(C685)),"لا","نعم")</f>
        <v>لا</v>
      </c>
      <c r="P685" s="19" t="str">
        <f aca="false">IF(COUNTIF($B$2:B685,B685)&gt;1,"مكرر","فريد")</f>
        <v>فريد</v>
      </c>
      <c r="Q685" s="19" t="str">
        <f aca="false">IF(COUNTBLANK(D685:L685)&gt;0,"نعم","لا")</f>
        <v>لا</v>
      </c>
    </row>
    <row r="686" customFormat="false" ht="15" hidden="false" customHeight="false" outlineLevel="0" collapsed="false">
      <c r="A686" s="19" t="n">
        <v>685</v>
      </c>
      <c r="B686" s="30" t="s">
        <v>1260</v>
      </c>
      <c r="C686" s="30" t="s">
        <v>1448</v>
      </c>
      <c r="D686" s="30" t="s">
        <v>50</v>
      </c>
      <c r="E686" s="30" t="s">
        <v>105</v>
      </c>
      <c r="F686" s="30" t="s">
        <v>90</v>
      </c>
      <c r="G686" s="31" t="n">
        <v>2179</v>
      </c>
      <c r="H686" s="19" t="n">
        <v>3</v>
      </c>
      <c r="I686" s="32" t="n">
        <v>0</v>
      </c>
      <c r="J686" s="30" t="s">
        <v>52</v>
      </c>
      <c r="K686" s="30" t="s">
        <v>51</v>
      </c>
      <c r="L686" s="30" t="s">
        <v>76</v>
      </c>
      <c r="M686" s="31" t="n">
        <f aca="false">AVERAGEIF($E$2:$E$1197,E686,$G$2:$G$1197)</f>
        <v>2870.26771653543</v>
      </c>
      <c r="N686" s="19" t="str">
        <f aca="false">IF(G686&gt;M686*3,"نعم","لا")</f>
        <v>لا</v>
      </c>
      <c r="O686" s="19" t="str">
        <f aca="false">IF(OR(C686="",ISNUMBER(C686)),"لا","نعم")</f>
        <v>نعم</v>
      </c>
      <c r="P686" s="19" t="str">
        <f aca="false">IF(COUNTIF($B$2:B686,B686)&gt;1,"مكرر","فريد")</f>
        <v>فريد</v>
      </c>
      <c r="Q686" s="19" t="str">
        <f aca="false">IF(COUNTBLANK(D686:L686)&gt;0,"نعم","لا")</f>
        <v>لا</v>
      </c>
    </row>
    <row r="687" customFormat="false" ht="15" hidden="false" customHeight="false" outlineLevel="0" collapsed="false">
      <c r="A687" s="19" t="n">
        <v>686</v>
      </c>
      <c r="B687" s="30" t="s">
        <v>1001</v>
      </c>
      <c r="C687" s="44" t="n">
        <v>45584</v>
      </c>
      <c r="D687" s="30" t="s">
        <v>46</v>
      </c>
      <c r="E687" s="30" t="s">
        <v>107</v>
      </c>
      <c r="F687" s="30" t="s">
        <v>272</v>
      </c>
      <c r="G687" s="31" t="n">
        <v>5319</v>
      </c>
      <c r="H687" s="19" t="n">
        <v>1</v>
      </c>
      <c r="I687" s="32" t="n">
        <v>0.2</v>
      </c>
      <c r="J687" s="30" t="s">
        <v>55</v>
      </c>
      <c r="K687" s="30"/>
      <c r="L687" s="30" t="s">
        <v>94</v>
      </c>
      <c r="M687" s="31" t="n">
        <f aca="false">AVERAGEIF($E$2:$E$1197,E687,$G$2:$G$1197)</f>
        <v>4981.14563106796</v>
      </c>
      <c r="N687" s="19" t="str">
        <f aca="false">IF(G687&gt;M687*3,"نعم","لا")</f>
        <v>لا</v>
      </c>
      <c r="O687" s="19" t="str">
        <f aca="false">IF(OR(C687="",ISNUMBER(C687)),"لا","نعم")</f>
        <v>لا</v>
      </c>
      <c r="P687" s="19" t="str">
        <f aca="false">IF(COUNTIF($B$2:B687,B687)&gt;1,"مكرر","فريد")</f>
        <v>فريد</v>
      </c>
      <c r="Q687" s="19" t="str">
        <f aca="false">IF(COUNTBLANK(D687:L687)&gt;0,"نعم","لا")</f>
        <v>نعم</v>
      </c>
    </row>
    <row r="688" customFormat="false" ht="15" hidden="false" customHeight="false" outlineLevel="0" collapsed="false">
      <c r="A688" s="19" t="n">
        <v>687</v>
      </c>
      <c r="B688" s="30" t="s">
        <v>657</v>
      </c>
      <c r="C688" s="44" t="n">
        <v>45472</v>
      </c>
      <c r="D688" s="30" t="s">
        <v>46</v>
      </c>
      <c r="E688" s="30" t="s">
        <v>113</v>
      </c>
      <c r="F688" s="30" t="s">
        <v>100</v>
      </c>
      <c r="G688" s="31" t="n">
        <v>249</v>
      </c>
      <c r="H688" s="19" t="n">
        <v>3</v>
      </c>
      <c r="I688" s="32" t="n">
        <v>0.2</v>
      </c>
      <c r="J688" s="30" t="s">
        <v>52</v>
      </c>
      <c r="K688" s="30" t="s">
        <v>51</v>
      </c>
      <c r="L688" s="30" t="s">
        <v>81</v>
      </c>
      <c r="M688" s="31" t="n">
        <f aca="false">AVERAGEIF($E$2:$E$1197,E688,$G$2:$G$1197)</f>
        <v>545.358823529412</v>
      </c>
      <c r="N688" s="19" t="str">
        <f aca="false">IF(G688&gt;M688*3,"نعم","لا")</f>
        <v>لا</v>
      </c>
      <c r="O688" s="19" t="str">
        <f aca="false">IF(OR(C688="",ISNUMBER(C688)),"لا","نعم")</f>
        <v>لا</v>
      </c>
      <c r="P688" s="19" t="str">
        <f aca="false">IF(COUNTIF($B$2:B688,B688)&gt;1,"مكرر","فريد")</f>
        <v>فريد</v>
      </c>
      <c r="Q688" s="19" t="str">
        <f aca="false">IF(COUNTBLANK(D688:L688)&gt;0,"نعم","لا")</f>
        <v>لا</v>
      </c>
    </row>
    <row r="689" customFormat="false" ht="15" hidden="false" customHeight="false" outlineLevel="0" collapsed="false">
      <c r="A689" s="19" t="n">
        <v>688</v>
      </c>
      <c r="B689" s="30" t="s">
        <v>945</v>
      </c>
      <c r="C689" s="44" t="n">
        <v>45562</v>
      </c>
      <c r="D689" s="30" t="s">
        <v>60</v>
      </c>
      <c r="E689" s="30" t="s">
        <v>111</v>
      </c>
      <c r="F689" s="30" t="s">
        <v>120</v>
      </c>
      <c r="G689" s="31" t="n">
        <v>429</v>
      </c>
      <c r="H689" s="19" t="n">
        <v>3</v>
      </c>
      <c r="I689" s="32" t="n">
        <v>0</v>
      </c>
      <c r="J689" s="30" t="s">
        <v>48</v>
      </c>
      <c r="K689" s="30" t="s">
        <v>47</v>
      </c>
      <c r="L689" s="30" t="s">
        <v>94</v>
      </c>
      <c r="M689" s="31" t="n">
        <f aca="false">AVERAGEIF($E$2:$E$1197,E689,$G$2:$G$1197)</f>
        <v>366.306569343066</v>
      </c>
      <c r="N689" s="19" t="str">
        <f aca="false">IF(G689&gt;M689*3,"نعم","لا")</f>
        <v>لا</v>
      </c>
      <c r="O689" s="19" t="str">
        <f aca="false">IF(OR(C689="",ISNUMBER(C689)),"لا","نعم")</f>
        <v>لا</v>
      </c>
      <c r="P689" s="19" t="str">
        <f aca="false">IF(COUNTIF($B$2:B689,B689)&gt;1,"مكرر","فريد")</f>
        <v>فريد</v>
      </c>
      <c r="Q689" s="19" t="str">
        <f aca="false">IF(COUNTBLANK(D689:L689)&gt;0,"نعم","لا")</f>
        <v>لا</v>
      </c>
    </row>
    <row r="690" customFormat="false" ht="15" hidden="false" customHeight="false" outlineLevel="0" collapsed="false">
      <c r="A690" s="19" t="n">
        <v>689</v>
      </c>
      <c r="B690" s="30" t="s">
        <v>770</v>
      </c>
      <c r="C690" s="44" t="n">
        <v>45509</v>
      </c>
      <c r="D690" s="30" t="s">
        <v>57</v>
      </c>
      <c r="E690" s="30" t="s">
        <v>113</v>
      </c>
      <c r="F690" s="30" t="s">
        <v>121</v>
      </c>
      <c r="G690" s="31" t="n">
        <v>719</v>
      </c>
      <c r="H690" s="19" t="n">
        <v>1</v>
      </c>
      <c r="I690" s="32" t="n">
        <v>0</v>
      </c>
      <c r="J690" s="30" t="s">
        <v>58</v>
      </c>
      <c r="K690" s="30" t="s">
        <v>47</v>
      </c>
      <c r="L690" s="30" t="s">
        <v>99</v>
      </c>
      <c r="M690" s="31" t="n">
        <f aca="false">AVERAGEIF($E$2:$E$1197,E690,$G$2:$G$1197)</f>
        <v>545.358823529412</v>
      </c>
      <c r="N690" s="19" t="str">
        <f aca="false">IF(G690&gt;M690*3,"نعم","لا")</f>
        <v>لا</v>
      </c>
      <c r="O690" s="19" t="str">
        <f aca="false">IF(OR(C690="",ISNUMBER(C690)),"لا","نعم")</f>
        <v>لا</v>
      </c>
      <c r="P690" s="19" t="str">
        <f aca="false">IF(COUNTIF($B$2:B690,B690)&gt;1,"مكرر","فريد")</f>
        <v>فريد</v>
      </c>
      <c r="Q690" s="19" t="str">
        <f aca="false">IF(COUNTBLANK(D690:L690)&gt;0,"نعم","لا")</f>
        <v>لا</v>
      </c>
    </row>
    <row r="691" customFormat="false" ht="15" hidden="false" customHeight="false" outlineLevel="0" collapsed="false">
      <c r="A691" s="19" t="n">
        <v>690</v>
      </c>
      <c r="B691" s="30" t="s">
        <v>286</v>
      </c>
      <c r="C691" s="44" t="n">
        <v>45335</v>
      </c>
      <c r="D691" s="30" t="s">
        <v>54</v>
      </c>
      <c r="E691" s="30" t="s">
        <v>107</v>
      </c>
      <c r="F691" s="30" t="s">
        <v>272</v>
      </c>
      <c r="G691" s="31" t="n">
        <v>6229</v>
      </c>
      <c r="H691" s="19" t="n">
        <v>1</v>
      </c>
      <c r="I691" s="32" t="n">
        <v>0</v>
      </c>
      <c r="J691" s="30" t="s">
        <v>58</v>
      </c>
      <c r="K691" s="30" t="s">
        <v>47</v>
      </c>
      <c r="L691" s="30" t="s">
        <v>89</v>
      </c>
      <c r="M691" s="31" t="n">
        <f aca="false">AVERAGEIF($E$2:$E$1197,E691,$G$2:$G$1197)</f>
        <v>4981.14563106796</v>
      </c>
      <c r="N691" s="19" t="str">
        <f aca="false">IF(G691&gt;M691*3,"نعم","لا")</f>
        <v>لا</v>
      </c>
      <c r="O691" s="19" t="str">
        <f aca="false">IF(OR(C691="",ISNUMBER(C691)),"لا","نعم")</f>
        <v>لا</v>
      </c>
      <c r="P691" s="19" t="str">
        <f aca="false">IF(COUNTIF($B$2:B691,B691)&gt;1,"مكرر","فريد")</f>
        <v>فريد</v>
      </c>
      <c r="Q691" s="19" t="str">
        <f aca="false">IF(COUNTBLANK(D691:L691)&gt;0,"نعم","لا")</f>
        <v>لا</v>
      </c>
    </row>
    <row r="692" customFormat="false" ht="15" hidden="false" customHeight="false" outlineLevel="0" collapsed="false">
      <c r="A692" s="19" t="n">
        <v>691</v>
      </c>
      <c r="B692" s="30" t="s">
        <v>578</v>
      </c>
      <c r="C692" s="44" t="n">
        <v>45442</v>
      </c>
      <c r="D692" s="30" t="s">
        <v>46</v>
      </c>
      <c r="E692" s="30" t="s">
        <v>113</v>
      </c>
      <c r="F692" s="30" t="s">
        <v>97</v>
      </c>
      <c r="G692" s="31" t="n">
        <v>419</v>
      </c>
      <c r="H692" s="19" t="n">
        <v>10</v>
      </c>
      <c r="I692" s="32" t="n">
        <v>0.15</v>
      </c>
      <c r="J692" s="30" t="s">
        <v>48</v>
      </c>
      <c r="K692" s="30" t="s">
        <v>51</v>
      </c>
      <c r="L692" s="30" t="s">
        <v>99</v>
      </c>
      <c r="M692" s="31" t="n">
        <f aca="false">AVERAGEIF($E$2:$E$1197,E692,$G$2:$G$1197)</f>
        <v>545.358823529412</v>
      </c>
      <c r="N692" s="19" t="str">
        <f aca="false">IF(G692&gt;M692*3,"نعم","لا")</f>
        <v>لا</v>
      </c>
      <c r="O692" s="19" t="str">
        <f aca="false">IF(OR(C692="",ISNUMBER(C692)),"لا","نعم")</f>
        <v>لا</v>
      </c>
      <c r="P692" s="19" t="str">
        <f aca="false">IF(COUNTIF($B$2:B692,B692)&gt;1,"مكرر","فريد")</f>
        <v>فريد</v>
      </c>
      <c r="Q692" s="19" t="str">
        <f aca="false">IF(COUNTBLANK(D692:L692)&gt;0,"نعم","لا")</f>
        <v>لا</v>
      </c>
    </row>
    <row r="693" customFormat="false" ht="15" hidden="false" customHeight="false" outlineLevel="0" collapsed="false">
      <c r="A693" s="19" t="n">
        <v>692</v>
      </c>
      <c r="B693" s="30" t="s">
        <v>758</v>
      </c>
      <c r="C693" s="44" t="n">
        <v>45506</v>
      </c>
      <c r="D693" s="30" t="s">
        <v>60</v>
      </c>
      <c r="E693" s="30" t="s">
        <v>107</v>
      </c>
      <c r="F693" s="30" t="s">
        <v>272</v>
      </c>
      <c r="G693" s="31" t="n">
        <v>5399</v>
      </c>
      <c r="H693" s="19" t="n">
        <v>1</v>
      </c>
      <c r="I693" s="32" t="n">
        <v>0.15</v>
      </c>
      <c r="J693" s="30" t="s">
        <v>52</v>
      </c>
      <c r="K693" s="30" t="s">
        <v>51</v>
      </c>
      <c r="L693" s="30" t="s">
        <v>86</v>
      </c>
      <c r="M693" s="31" t="n">
        <f aca="false">AVERAGEIF($E$2:$E$1197,E693,$G$2:$G$1197)</f>
        <v>4981.14563106796</v>
      </c>
      <c r="N693" s="19" t="str">
        <f aca="false">IF(G693&gt;M693*3,"نعم","لا")</f>
        <v>لا</v>
      </c>
      <c r="O693" s="19" t="str">
        <f aca="false">IF(OR(C693="",ISNUMBER(C693)),"لا","نعم")</f>
        <v>لا</v>
      </c>
      <c r="P693" s="19" t="str">
        <f aca="false">IF(COUNTIF($B$2:B693,B693)&gt;1,"مكرر","فريد")</f>
        <v>فريد</v>
      </c>
      <c r="Q693" s="19" t="str">
        <f aca="false">IF(COUNTBLANK(D693:L693)&gt;0,"نعم","لا")</f>
        <v>لا</v>
      </c>
    </row>
    <row r="694" customFormat="false" ht="15" hidden="false" customHeight="false" outlineLevel="0" collapsed="false">
      <c r="A694" s="19" t="n">
        <v>693</v>
      </c>
      <c r="B694" s="30" t="s">
        <v>764</v>
      </c>
      <c r="C694" s="44" t="n">
        <v>45507</v>
      </c>
      <c r="D694" s="30" t="s">
        <v>46</v>
      </c>
      <c r="E694" s="30" t="s">
        <v>109</v>
      </c>
      <c r="F694" s="30" t="s">
        <v>175</v>
      </c>
      <c r="G694" s="31" t="n">
        <v>79</v>
      </c>
      <c r="H694" s="19" t="n">
        <v>1</v>
      </c>
      <c r="I694" s="32" t="n">
        <v>0.1</v>
      </c>
      <c r="J694" s="30" t="s">
        <v>55</v>
      </c>
      <c r="K694" s="30" t="s">
        <v>47</v>
      </c>
      <c r="L694" s="30" t="s">
        <v>96</v>
      </c>
      <c r="M694" s="31" t="n">
        <f aca="false">AVERAGEIF($E$2:$E$1197,E694,$G$2:$G$1197)</f>
        <v>186.056291390729</v>
      </c>
      <c r="N694" s="19" t="str">
        <f aca="false">IF(G694&gt;M694*3,"نعم","لا")</f>
        <v>لا</v>
      </c>
      <c r="O694" s="19" t="str">
        <f aca="false">IF(OR(C694="",ISNUMBER(C694)),"لا","نعم")</f>
        <v>لا</v>
      </c>
      <c r="P694" s="19" t="str">
        <f aca="false">IF(COUNTIF($B$2:B694,B694)&gt;1,"مكرر","فريد")</f>
        <v>فريد</v>
      </c>
      <c r="Q694" s="19" t="str">
        <f aca="false">IF(COUNTBLANK(D694:L694)&gt;0,"نعم","لا")</f>
        <v>لا</v>
      </c>
    </row>
    <row r="695" customFormat="false" ht="15" hidden="false" customHeight="false" outlineLevel="0" collapsed="false">
      <c r="A695" s="19" t="n">
        <v>694</v>
      </c>
      <c r="B695" s="30" t="s">
        <v>258</v>
      </c>
      <c r="C695" s="44" t="n">
        <v>45326</v>
      </c>
      <c r="D695" s="30" t="s">
        <v>50</v>
      </c>
      <c r="E695" s="30" t="s">
        <v>109</v>
      </c>
      <c r="F695" s="30" t="s">
        <v>192</v>
      </c>
      <c r="G695" s="31" t="n">
        <v>129</v>
      </c>
      <c r="H695" s="19" t="n">
        <v>1</v>
      </c>
      <c r="I695" s="32" t="n">
        <v>0</v>
      </c>
      <c r="J695" s="30" t="s">
        <v>55</v>
      </c>
      <c r="K695" s="30" t="s">
        <v>47</v>
      </c>
      <c r="L695" s="30" t="s">
        <v>96</v>
      </c>
      <c r="M695" s="31" t="n">
        <f aca="false">AVERAGEIF($E$2:$E$1197,E695,$G$2:$G$1197)</f>
        <v>186.056291390729</v>
      </c>
      <c r="N695" s="19" t="str">
        <f aca="false">IF(G695&gt;M695*3,"نعم","لا")</f>
        <v>لا</v>
      </c>
      <c r="O695" s="19" t="str">
        <f aca="false">IF(OR(C695="",ISNUMBER(C695)),"لا","نعم")</f>
        <v>لا</v>
      </c>
      <c r="P695" s="19" t="str">
        <f aca="false">IF(COUNTIF($B$2:B695,B695)&gt;1,"مكرر","فريد")</f>
        <v>فريد</v>
      </c>
      <c r="Q695" s="19" t="str">
        <f aca="false">IF(COUNTBLANK(D695:L695)&gt;0,"نعم","لا")</f>
        <v>لا</v>
      </c>
    </row>
    <row r="696" customFormat="false" ht="15" hidden="false" customHeight="false" outlineLevel="0" collapsed="false">
      <c r="A696" s="19" t="n">
        <v>695</v>
      </c>
      <c r="B696" s="30" t="s">
        <v>1286</v>
      </c>
      <c r="C696" s="44" t="n">
        <v>45656</v>
      </c>
      <c r="D696" s="30" t="s">
        <v>46</v>
      </c>
      <c r="E696" s="30" t="s">
        <v>105</v>
      </c>
      <c r="F696" s="30" t="s">
        <v>79</v>
      </c>
      <c r="G696" s="31" t="n">
        <v>1499</v>
      </c>
      <c r="H696" s="19" t="n">
        <v>1</v>
      </c>
      <c r="I696" s="32" t="n">
        <v>0.1</v>
      </c>
      <c r="J696" s="30" t="s">
        <v>48</v>
      </c>
      <c r="K696" s="30" t="s">
        <v>47</v>
      </c>
      <c r="L696" s="30" t="s">
        <v>99</v>
      </c>
      <c r="M696" s="31" t="n">
        <f aca="false">AVERAGEIF($E$2:$E$1197,E696,$G$2:$G$1197)</f>
        <v>2870.26771653543</v>
      </c>
      <c r="N696" s="19" t="str">
        <f aca="false">IF(G696&gt;M696*3,"نعم","لا")</f>
        <v>لا</v>
      </c>
      <c r="O696" s="19" t="str">
        <f aca="false">IF(OR(C696="",ISNUMBER(C696)),"لا","نعم")</f>
        <v>لا</v>
      </c>
      <c r="P696" s="19" t="str">
        <f aca="false">IF(COUNTIF($B$2:B696,B696)&gt;1,"مكرر","فريد")</f>
        <v>فريد</v>
      </c>
      <c r="Q696" s="19" t="str">
        <f aca="false">IF(COUNTBLANK(D696:L696)&gt;0,"نعم","لا")</f>
        <v>لا</v>
      </c>
    </row>
    <row r="697" customFormat="false" ht="15" hidden="false" customHeight="false" outlineLevel="0" collapsed="false">
      <c r="A697" s="19" t="n">
        <v>696</v>
      </c>
      <c r="B697" s="30" t="s">
        <v>658</v>
      </c>
      <c r="C697" s="44" t="n">
        <v>45472</v>
      </c>
      <c r="D697" s="30" t="s">
        <v>54</v>
      </c>
      <c r="E697" s="30" t="s">
        <v>105</v>
      </c>
      <c r="F697" s="30" t="s">
        <v>90</v>
      </c>
      <c r="G697" s="31" t="n">
        <v>1499</v>
      </c>
      <c r="H697" s="19" t="n">
        <v>2</v>
      </c>
      <c r="I697" s="32" t="n">
        <v>0</v>
      </c>
      <c r="J697" s="30" t="s">
        <v>55</v>
      </c>
      <c r="K697" s="30"/>
      <c r="L697" s="30" t="s">
        <v>89</v>
      </c>
      <c r="M697" s="31" t="n">
        <f aca="false">AVERAGEIF($E$2:$E$1197,E697,$G$2:$G$1197)</f>
        <v>2870.26771653543</v>
      </c>
      <c r="N697" s="19" t="str">
        <f aca="false">IF(G697&gt;M697*3,"نعم","لا")</f>
        <v>لا</v>
      </c>
      <c r="O697" s="19" t="str">
        <f aca="false">IF(OR(C697="",ISNUMBER(C697)),"لا","نعم")</f>
        <v>لا</v>
      </c>
      <c r="P697" s="19" t="str">
        <f aca="false">IF(COUNTIF($B$2:B697,B697)&gt;1,"مكرر","فريد")</f>
        <v>فريد</v>
      </c>
      <c r="Q697" s="19" t="str">
        <f aca="false">IF(COUNTBLANK(D697:L697)&gt;0,"نعم","لا")</f>
        <v>نعم</v>
      </c>
    </row>
    <row r="698" customFormat="false" ht="15" hidden="false" customHeight="false" outlineLevel="0" collapsed="false">
      <c r="A698" s="19" t="n">
        <v>697</v>
      </c>
      <c r="B698" s="30" t="s">
        <v>1017</v>
      </c>
      <c r="C698" s="44" t="n">
        <v>45588</v>
      </c>
      <c r="D698" s="30" t="s">
        <v>50</v>
      </c>
      <c r="E698" s="30" t="s">
        <v>109</v>
      </c>
      <c r="F698" s="30" t="s">
        <v>110</v>
      </c>
      <c r="G698" s="31" t="n">
        <v>109</v>
      </c>
      <c r="H698" s="19" t="n">
        <v>1</v>
      </c>
      <c r="I698" s="32" t="n">
        <v>0</v>
      </c>
      <c r="J698" s="30" t="s">
        <v>48</v>
      </c>
      <c r="K698" s="30" t="s">
        <v>47</v>
      </c>
      <c r="L698" s="30" t="s">
        <v>89</v>
      </c>
      <c r="M698" s="31" t="n">
        <f aca="false">AVERAGEIF($E$2:$E$1197,E698,$G$2:$G$1197)</f>
        <v>186.056291390729</v>
      </c>
      <c r="N698" s="19" t="str">
        <f aca="false">IF(G698&gt;M698*3,"نعم","لا")</f>
        <v>لا</v>
      </c>
      <c r="O698" s="19" t="str">
        <f aca="false">IF(OR(C698="",ISNUMBER(C698)),"لا","نعم")</f>
        <v>لا</v>
      </c>
      <c r="P698" s="19" t="str">
        <f aca="false">IF(COUNTIF($B$2:B698,B698)&gt;1,"مكرر","فريد")</f>
        <v>فريد</v>
      </c>
      <c r="Q698" s="19" t="str">
        <f aca="false">IF(COUNTBLANK(D698:L698)&gt;0,"نعم","لا")</f>
        <v>لا</v>
      </c>
    </row>
    <row r="699" customFormat="false" ht="15" hidden="false" customHeight="false" outlineLevel="0" collapsed="false">
      <c r="A699" s="19" t="n">
        <v>698</v>
      </c>
      <c r="B699" s="30" t="s">
        <v>1024</v>
      </c>
      <c r="C699" s="44" t="n">
        <v>45590</v>
      </c>
      <c r="D699" s="30" t="s">
        <v>50</v>
      </c>
      <c r="E699" s="30" t="s">
        <v>107</v>
      </c>
      <c r="F699" s="30" t="s">
        <v>114</v>
      </c>
      <c r="G699" s="31" t="n">
        <v>7349</v>
      </c>
      <c r="H699" s="19" t="n">
        <v>1</v>
      </c>
      <c r="I699" s="32" t="n">
        <v>0</v>
      </c>
      <c r="J699" s="30" t="s">
        <v>55</v>
      </c>
      <c r="K699" s="30" t="s">
        <v>47</v>
      </c>
      <c r="L699" s="30" t="s">
        <v>84</v>
      </c>
      <c r="M699" s="31" t="n">
        <f aca="false">AVERAGEIF($E$2:$E$1197,E699,$G$2:$G$1197)</f>
        <v>4981.14563106796</v>
      </c>
      <c r="N699" s="19" t="str">
        <f aca="false">IF(G699&gt;M699*3,"نعم","لا")</f>
        <v>لا</v>
      </c>
      <c r="O699" s="19" t="str">
        <f aca="false">IF(OR(C699="",ISNUMBER(C699)),"لا","نعم")</f>
        <v>لا</v>
      </c>
      <c r="P699" s="19" t="str">
        <f aca="false">IF(COUNTIF($B$2:B699,B699)&gt;1,"مكرر","فريد")</f>
        <v>فريد</v>
      </c>
      <c r="Q699" s="19" t="str">
        <f aca="false">IF(COUNTBLANK(D699:L699)&gt;0,"نعم","لا")</f>
        <v>لا</v>
      </c>
    </row>
    <row r="700" customFormat="false" ht="15" hidden="false" customHeight="false" outlineLevel="0" collapsed="false">
      <c r="A700" s="19" t="n">
        <v>699</v>
      </c>
      <c r="B700" s="30" t="s">
        <v>1021</v>
      </c>
      <c r="C700" s="30" t="s">
        <v>1449</v>
      </c>
      <c r="D700" s="30" t="s">
        <v>46</v>
      </c>
      <c r="E700" s="30" t="s">
        <v>109</v>
      </c>
      <c r="F700" s="30" t="s">
        <v>175</v>
      </c>
      <c r="G700" s="31" t="n">
        <v>299</v>
      </c>
      <c r="H700" s="19" t="n">
        <v>1</v>
      </c>
      <c r="I700" s="32" t="n">
        <v>0</v>
      </c>
      <c r="J700" s="30" t="s">
        <v>52</v>
      </c>
      <c r="K700" s="30" t="s">
        <v>47</v>
      </c>
      <c r="L700" s="30" t="s">
        <v>86</v>
      </c>
      <c r="M700" s="31" t="n">
        <f aca="false">AVERAGEIF($E$2:$E$1197,E700,$G$2:$G$1197)</f>
        <v>186.056291390729</v>
      </c>
      <c r="N700" s="19" t="str">
        <f aca="false">IF(G700&gt;M700*3,"نعم","لا")</f>
        <v>لا</v>
      </c>
      <c r="O700" s="19" t="str">
        <f aca="false">IF(OR(C700="",ISNUMBER(C700)),"لا","نعم")</f>
        <v>نعم</v>
      </c>
      <c r="P700" s="19" t="str">
        <f aca="false">IF(COUNTIF($B$2:B700,B700)&gt;1,"مكرر","فريد")</f>
        <v>فريد</v>
      </c>
      <c r="Q700" s="19" t="str">
        <f aca="false">IF(COUNTBLANK(D700:L700)&gt;0,"نعم","لا")</f>
        <v>لا</v>
      </c>
    </row>
    <row r="701" customFormat="false" ht="15" hidden="false" customHeight="false" outlineLevel="0" collapsed="false">
      <c r="A701" s="19" t="n">
        <v>700</v>
      </c>
      <c r="B701" s="30" t="s">
        <v>180</v>
      </c>
      <c r="C701" s="44" t="n">
        <v>45296</v>
      </c>
      <c r="D701" s="30" t="s">
        <v>1450</v>
      </c>
      <c r="E701" s="30" t="s">
        <v>113</v>
      </c>
      <c r="F701" s="30" t="s">
        <v>97</v>
      </c>
      <c r="G701" s="31" t="n">
        <v>569</v>
      </c>
      <c r="H701" s="19" t="n">
        <v>5</v>
      </c>
      <c r="I701" s="32" t="n">
        <v>0</v>
      </c>
      <c r="J701" s="30" t="s">
        <v>58</v>
      </c>
      <c r="K701" s="30" t="s">
        <v>51</v>
      </c>
      <c r="L701" s="30" t="s">
        <v>86</v>
      </c>
      <c r="M701" s="31" t="n">
        <f aca="false">AVERAGEIF($E$2:$E$1197,E701,$G$2:$G$1197)</f>
        <v>545.358823529412</v>
      </c>
      <c r="N701" s="19" t="str">
        <f aca="false">IF(G701&gt;M701*3,"نعم","لا")</f>
        <v>لا</v>
      </c>
      <c r="O701" s="19" t="str">
        <f aca="false">IF(OR(C701="",ISNUMBER(C701)),"لا","نعم")</f>
        <v>لا</v>
      </c>
      <c r="P701" s="19" t="str">
        <f aca="false">IF(COUNTIF($B$2:B701,B701)&gt;1,"مكرر","فريد")</f>
        <v>فريد</v>
      </c>
      <c r="Q701" s="19" t="str">
        <f aca="false">IF(COUNTBLANK(D701:L701)&gt;0,"نعم","لا")</f>
        <v>لا</v>
      </c>
    </row>
    <row r="702" customFormat="false" ht="15" hidden="false" customHeight="false" outlineLevel="0" collapsed="false">
      <c r="A702" s="19" t="n">
        <v>701</v>
      </c>
      <c r="B702" s="30" t="s">
        <v>558</v>
      </c>
      <c r="C702" s="44" t="n">
        <v>45434</v>
      </c>
      <c r="D702" s="30" t="s">
        <v>54</v>
      </c>
      <c r="E702" s="30" t="s">
        <v>111</v>
      </c>
      <c r="F702" s="30" t="s">
        <v>122</v>
      </c>
      <c r="G702" s="31" t="n">
        <v>439</v>
      </c>
      <c r="H702" s="19" t="n">
        <v>1</v>
      </c>
      <c r="I702" s="32" t="n">
        <v>0.1</v>
      </c>
      <c r="J702" s="30" t="s">
        <v>52</v>
      </c>
      <c r="K702" s="30" t="s">
        <v>47</v>
      </c>
      <c r="L702" s="30" t="s">
        <v>78</v>
      </c>
      <c r="M702" s="31" t="n">
        <f aca="false">AVERAGEIF($E$2:$E$1197,E702,$G$2:$G$1197)</f>
        <v>366.306569343066</v>
      </c>
      <c r="N702" s="19" t="str">
        <f aca="false">IF(G702&gt;M702*3,"نعم","لا")</f>
        <v>لا</v>
      </c>
      <c r="O702" s="19" t="str">
        <f aca="false">IF(OR(C702="",ISNUMBER(C702)),"لا","نعم")</f>
        <v>لا</v>
      </c>
      <c r="P702" s="19" t="str">
        <f aca="false">IF(COUNTIF($B$2:B702,B702)&gt;1,"مكرر","فريد")</f>
        <v>فريد</v>
      </c>
      <c r="Q702" s="19" t="str">
        <f aca="false">IF(COUNTBLANK(D702:L702)&gt;0,"نعم","لا")</f>
        <v>لا</v>
      </c>
    </row>
    <row r="703" customFormat="false" ht="15" hidden="false" customHeight="false" outlineLevel="0" collapsed="false">
      <c r="A703" s="19" t="n">
        <v>702</v>
      </c>
      <c r="B703" s="30" t="s">
        <v>1214</v>
      </c>
      <c r="C703" s="44" t="n">
        <v>45635</v>
      </c>
      <c r="D703" s="30" t="s">
        <v>50</v>
      </c>
      <c r="E703" s="30" t="s">
        <v>113</v>
      </c>
      <c r="F703" s="30" t="s">
        <v>95</v>
      </c>
      <c r="G703" s="31" t="n">
        <v>379</v>
      </c>
      <c r="H703" s="19" t="n">
        <v>1</v>
      </c>
      <c r="I703" s="32" t="n">
        <v>0</v>
      </c>
      <c r="J703" s="30" t="s">
        <v>58</v>
      </c>
      <c r="K703" s="30" t="s">
        <v>47</v>
      </c>
      <c r="L703" s="30" t="s">
        <v>99</v>
      </c>
      <c r="M703" s="31" t="n">
        <f aca="false">AVERAGEIF($E$2:$E$1197,E703,$G$2:$G$1197)</f>
        <v>545.358823529412</v>
      </c>
      <c r="N703" s="19" t="str">
        <f aca="false">IF(G703&gt;M703*3,"نعم","لا")</f>
        <v>لا</v>
      </c>
      <c r="O703" s="19" t="str">
        <f aca="false">IF(OR(C703="",ISNUMBER(C703)),"لا","نعم")</f>
        <v>لا</v>
      </c>
      <c r="P703" s="19" t="str">
        <f aca="false">IF(COUNTIF($B$2:B703,B703)&gt;1,"مكرر","فريد")</f>
        <v>فريد</v>
      </c>
      <c r="Q703" s="19" t="str">
        <f aca="false">IF(COUNTBLANK(D703:L703)&gt;0,"نعم","لا")</f>
        <v>لا</v>
      </c>
    </row>
    <row r="704" customFormat="false" ht="15" hidden="false" customHeight="false" outlineLevel="0" collapsed="false">
      <c r="A704" s="19" t="n">
        <v>703</v>
      </c>
      <c r="B704" s="30" t="s">
        <v>716</v>
      </c>
      <c r="C704" s="44" t="n">
        <v>45491</v>
      </c>
      <c r="D704" s="30" t="s">
        <v>57</v>
      </c>
      <c r="E704" s="30" t="s">
        <v>109</v>
      </c>
      <c r="F704" s="30" t="s">
        <v>192</v>
      </c>
      <c r="G704" s="31" t="n">
        <v>279</v>
      </c>
      <c r="H704" s="19" t="n">
        <v>1</v>
      </c>
      <c r="I704" s="32" t="n">
        <v>0</v>
      </c>
      <c r="J704" s="30" t="s">
        <v>48</v>
      </c>
      <c r="K704" s="30" t="s">
        <v>47</v>
      </c>
      <c r="L704" s="30" t="s">
        <v>86</v>
      </c>
      <c r="M704" s="31" t="n">
        <f aca="false">AVERAGEIF($E$2:$E$1197,E704,$G$2:$G$1197)</f>
        <v>186.056291390729</v>
      </c>
      <c r="N704" s="19" t="str">
        <f aca="false">IF(G704&gt;M704*3,"نعم","لا")</f>
        <v>لا</v>
      </c>
      <c r="O704" s="19" t="str">
        <f aca="false">IF(OR(C704="",ISNUMBER(C704)),"لا","نعم")</f>
        <v>لا</v>
      </c>
      <c r="P704" s="19" t="str">
        <f aca="false">IF(COUNTIF($B$2:B704,B704)&gt;1,"مكرر","فريد")</f>
        <v>فريد</v>
      </c>
      <c r="Q704" s="19" t="str">
        <f aca="false">IF(COUNTBLANK(D704:L704)&gt;0,"نعم","لا")</f>
        <v>لا</v>
      </c>
    </row>
    <row r="705" customFormat="false" ht="15" hidden="false" customHeight="false" outlineLevel="0" collapsed="false">
      <c r="A705" s="19" t="n">
        <v>704</v>
      </c>
      <c r="B705" s="30" t="s">
        <v>214</v>
      </c>
      <c r="C705" s="44" t="n">
        <v>45307</v>
      </c>
      <c r="D705" s="30" t="s">
        <v>50</v>
      </c>
      <c r="E705" s="30" t="s">
        <v>109</v>
      </c>
      <c r="F705" s="30" t="s">
        <v>93</v>
      </c>
      <c r="G705" s="31" t="n">
        <v>209</v>
      </c>
      <c r="H705" s="19" t="n">
        <v>1</v>
      </c>
      <c r="I705" s="32" t="n">
        <v>0.2</v>
      </c>
      <c r="J705" s="30" t="s">
        <v>48</v>
      </c>
      <c r="K705" s="30" t="s">
        <v>47</v>
      </c>
      <c r="L705" s="30" t="s">
        <v>84</v>
      </c>
      <c r="M705" s="31" t="n">
        <f aca="false">AVERAGEIF($E$2:$E$1197,E705,$G$2:$G$1197)</f>
        <v>186.056291390729</v>
      </c>
      <c r="N705" s="19" t="str">
        <f aca="false">IF(G705&gt;M705*3,"نعم","لا")</f>
        <v>لا</v>
      </c>
      <c r="O705" s="19" t="str">
        <f aca="false">IF(OR(C705="",ISNUMBER(C705)),"لا","نعم")</f>
        <v>لا</v>
      </c>
      <c r="P705" s="19" t="str">
        <f aca="false">IF(COUNTIF($B$2:B705,B705)&gt;1,"مكرر","فريد")</f>
        <v>فريد</v>
      </c>
      <c r="Q705" s="19" t="str">
        <f aca="false">IF(COUNTBLANK(D705:L705)&gt;0,"نعم","لا")</f>
        <v>لا</v>
      </c>
    </row>
    <row r="706" customFormat="false" ht="15" hidden="false" customHeight="false" outlineLevel="0" collapsed="false">
      <c r="A706" s="19" t="n">
        <v>705</v>
      </c>
      <c r="B706" s="30" t="s">
        <v>338</v>
      </c>
      <c r="C706" s="30" t="s">
        <v>1451</v>
      </c>
      <c r="D706" s="30" t="s">
        <v>46</v>
      </c>
      <c r="E706" s="30" t="s">
        <v>113</v>
      </c>
      <c r="F706" s="30" t="s">
        <v>100</v>
      </c>
      <c r="G706" s="31" t="n">
        <v>299</v>
      </c>
      <c r="H706" s="19" t="n">
        <v>1</v>
      </c>
      <c r="I706" s="32" t="n">
        <v>0.15</v>
      </c>
      <c r="J706" s="30" t="s">
        <v>52</v>
      </c>
      <c r="K706" s="30" t="s">
        <v>47</v>
      </c>
      <c r="L706" s="30" t="s">
        <v>94</v>
      </c>
      <c r="M706" s="31" t="n">
        <f aca="false">AVERAGEIF($E$2:$E$1197,E706,$G$2:$G$1197)</f>
        <v>545.358823529412</v>
      </c>
      <c r="N706" s="19" t="str">
        <f aca="false">IF(G706&gt;M706*3,"نعم","لا")</f>
        <v>لا</v>
      </c>
      <c r="O706" s="19" t="str">
        <f aca="false">IF(OR(C706="",ISNUMBER(C706)),"لا","نعم")</f>
        <v>نعم</v>
      </c>
      <c r="P706" s="19" t="str">
        <f aca="false">IF(COUNTIF($B$2:B706,B706)&gt;1,"مكرر","فريد")</f>
        <v>فريد</v>
      </c>
      <c r="Q706" s="19" t="str">
        <f aca="false">IF(COUNTBLANK(D706:L706)&gt;0,"نعم","لا")</f>
        <v>لا</v>
      </c>
    </row>
    <row r="707" customFormat="false" ht="15" hidden="false" customHeight="false" outlineLevel="0" collapsed="false">
      <c r="A707" s="19" t="n">
        <v>706</v>
      </c>
      <c r="B707" s="30" t="s">
        <v>577</v>
      </c>
      <c r="C707" s="44" t="n">
        <v>45441</v>
      </c>
      <c r="D707" s="30" t="s">
        <v>46</v>
      </c>
      <c r="E707" s="30" t="s">
        <v>107</v>
      </c>
      <c r="F707" s="30" t="s">
        <v>115</v>
      </c>
      <c r="G707" s="31" t="n">
        <v>5579</v>
      </c>
      <c r="H707" s="19" t="n">
        <v>1</v>
      </c>
      <c r="I707" s="32" t="n">
        <v>0</v>
      </c>
      <c r="J707" s="30" t="s">
        <v>48</v>
      </c>
      <c r="K707" s="30" t="s">
        <v>47</v>
      </c>
      <c r="L707" s="30" t="s">
        <v>84</v>
      </c>
      <c r="M707" s="31" t="n">
        <f aca="false">AVERAGEIF($E$2:$E$1197,E707,$G$2:$G$1197)</f>
        <v>4981.14563106796</v>
      </c>
      <c r="N707" s="19" t="str">
        <f aca="false">IF(G707&gt;M707*3,"نعم","لا")</f>
        <v>لا</v>
      </c>
      <c r="O707" s="19" t="str">
        <f aca="false">IF(OR(C707="",ISNUMBER(C707)),"لا","نعم")</f>
        <v>لا</v>
      </c>
      <c r="P707" s="19" t="str">
        <f aca="false">IF(COUNTIF($B$2:B707,B707)&gt;1,"مكرر","فريد")</f>
        <v>فريد</v>
      </c>
      <c r="Q707" s="19" t="str">
        <f aca="false">IF(COUNTBLANK(D707:L707)&gt;0,"نعم","لا")</f>
        <v>لا</v>
      </c>
    </row>
    <row r="708" customFormat="false" ht="15" hidden="false" customHeight="false" outlineLevel="0" collapsed="false">
      <c r="A708" s="19" t="n">
        <v>707</v>
      </c>
      <c r="B708" s="30" t="s">
        <v>728</v>
      </c>
      <c r="C708" s="30" t="s">
        <v>1452</v>
      </c>
      <c r="D708" s="30" t="s">
        <v>46</v>
      </c>
      <c r="E708" s="30" t="s">
        <v>107</v>
      </c>
      <c r="F708" s="30" t="s">
        <v>272</v>
      </c>
      <c r="G708" s="31" t="n">
        <v>4479</v>
      </c>
      <c r="H708" s="19" t="n">
        <v>3</v>
      </c>
      <c r="I708" s="32" t="n">
        <v>0</v>
      </c>
      <c r="J708" s="30" t="s">
        <v>48</v>
      </c>
      <c r="K708" s="30" t="s">
        <v>47</v>
      </c>
      <c r="L708" s="30" t="s">
        <v>78</v>
      </c>
      <c r="M708" s="31" t="n">
        <f aca="false">AVERAGEIF($E$2:$E$1197,E708,$G$2:$G$1197)</f>
        <v>4981.14563106796</v>
      </c>
      <c r="N708" s="19" t="str">
        <f aca="false">IF(G708&gt;M708*3,"نعم","لا")</f>
        <v>لا</v>
      </c>
      <c r="O708" s="19" t="str">
        <f aca="false">IF(OR(C708="",ISNUMBER(C708)),"لا","نعم")</f>
        <v>نعم</v>
      </c>
      <c r="P708" s="19" t="str">
        <f aca="false">IF(COUNTIF($B$2:B708,B708)&gt;1,"مكرر","فريد")</f>
        <v>فريد</v>
      </c>
      <c r="Q708" s="19" t="str">
        <f aca="false">IF(COUNTBLANK(D708:L708)&gt;0,"نعم","لا")</f>
        <v>لا</v>
      </c>
    </row>
    <row r="709" customFormat="false" ht="15" hidden="false" customHeight="false" outlineLevel="0" collapsed="false">
      <c r="A709" s="19" t="n">
        <v>708</v>
      </c>
      <c r="B709" s="30" t="s">
        <v>432</v>
      </c>
      <c r="C709" s="44" t="n">
        <v>45385</v>
      </c>
      <c r="D709" s="30" t="s">
        <v>46</v>
      </c>
      <c r="E709" s="30" t="s">
        <v>105</v>
      </c>
      <c r="F709" s="30" t="s">
        <v>82</v>
      </c>
      <c r="G709" s="31" t="n">
        <v>3219</v>
      </c>
      <c r="H709" s="19" t="n">
        <v>3</v>
      </c>
      <c r="I709" s="32" t="n">
        <v>0</v>
      </c>
      <c r="J709" s="30" t="s">
        <v>52</v>
      </c>
      <c r="K709" s="30" t="s">
        <v>47</v>
      </c>
      <c r="L709" s="30" t="s">
        <v>78</v>
      </c>
      <c r="M709" s="31" t="n">
        <f aca="false">AVERAGEIF($E$2:$E$1197,E709,$G$2:$G$1197)</f>
        <v>2870.26771653543</v>
      </c>
      <c r="N709" s="19" t="str">
        <f aca="false">IF(G709&gt;M709*3,"نعم","لا")</f>
        <v>لا</v>
      </c>
      <c r="O709" s="19" t="str">
        <f aca="false">IF(OR(C709="",ISNUMBER(C709)),"لا","نعم")</f>
        <v>لا</v>
      </c>
      <c r="P709" s="19" t="str">
        <f aca="false">IF(COUNTIF($B$2:B709,B709)&gt;1,"مكرر","فريد")</f>
        <v>فريد</v>
      </c>
      <c r="Q709" s="19" t="str">
        <f aca="false">IF(COUNTBLANK(D709:L709)&gt;0,"نعم","لا")</f>
        <v>لا</v>
      </c>
    </row>
    <row r="710" customFormat="false" ht="15" hidden="false" customHeight="false" outlineLevel="0" collapsed="false">
      <c r="A710" s="19" t="n">
        <v>709</v>
      </c>
      <c r="B710" s="30" t="s">
        <v>1083</v>
      </c>
      <c r="C710" s="44" t="n">
        <v>45604</v>
      </c>
      <c r="D710" s="30" t="s">
        <v>54</v>
      </c>
      <c r="E710" s="30" t="s">
        <v>107</v>
      </c>
      <c r="F710" s="30" t="s">
        <v>184</v>
      </c>
      <c r="G710" s="31" t="n">
        <v>5359</v>
      </c>
      <c r="H710" s="19" t="n">
        <v>1</v>
      </c>
      <c r="I710" s="32" t="n">
        <v>0</v>
      </c>
      <c r="J710" s="30" t="s">
        <v>55</v>
      </c>
      <c r="K710" s="30" t="s">
        <v>47</v>
      </c>
      <c r="L710" s="30" t="s">
        <v>99</v>
      </c>
      <c r="M710" s="31" t="n">
        <f aca="false">AVERAGEIF($E$2:$E$1197,E710,$G$2:$G$1197)</f>
        <v>4981.14563106796</v>
      </c>
      <c r="N710" s="19" t="str">
        <f aca="false">IF(G710&gt;M710*3,"نعم","لا")</f>
        <v>لا</v>
      </c>
      <c r="O710" s="19" t="str">
        <f aca="false">IF(OR(C710="",ISNUMBER(C710)),"لا","نعم")</f>
        <v>لا</v>
      </c>
      <c r="P710" s="19" t="str">
        <f aca="false">IF(COUNTIF($B$2:B710,B710)&gt;1,"مكرر","فريد")</f>
        <v>فريد</v>
      </c>
      <c r="Q710" s="19" t="str">
        <f aca="false">IF(COUNTBLANK(D710:L710)&gt;0,"نعم","لا")</f>
        <v>لا</v>
      </c>
    </row>
    <row r="711" customFormat="false" ht="15" hidden="false" customHeight="false" outlineLevel="0" collapsed="false">
      <c r="A711" s="19" t="n">
        <v>710</v>
      </c>
      <c r="B711" s="30" t="s">
        <v>587</v>
      </c>
      <c r="C711" s="44" t="n">
        <v>45446</v>
      </c>
      <c r="D711" s="30" t="s">
        <v>46</v>
      </c>
      <c r="E711" s="30" t="s">
        <v>111</v>
      </c>
      <c r="F711" s="30" t="s">
        <v>122</v>
      </c>
      <c r="G711" s="31" t="n">
        <v>459</v>
      </c>
      <c r="H711" s="19" t="n">
        <v>1</v>
      </c>
      <c r="I711" s="32" t="n">
        <v>0.1</v>
      </c>
      <c r="J711" s="30" t="s">
        <v>48</v>
      </c>
      <c r="K711" s="30" t="s">
        <v>47</v>
      </c>
      <c r="L711" s="30" t="s">
        <v>89</v>
      </c>
      <c r="M711" s="31" t="n">
        <f aca="false">AVERAGEIF($E$2:$E$1197,E711,$G$2:$G$1197)</f>
        <v>366.306569343066</v>
      </c>
      <c r="N711" s="19" t="str">
        <f aca="false">IF(G711&gt;M711*3,"نعم","لا")</f>
        <v>لا</v>
      </c>
      <c r="O711" s="19" t="str">
        <f aca="false">IF(OR(C711="",ISNUMBER(C711)),"لا","نعم")</f>
        <v>لا</v>
      </c>
      <c r="P711" s="19" t="str">
        <f aca="false">IF(COUNTIF($B$2:B711,B711)&gt;1,"مكرر","فريد")</f>
        <v>فريد</v>
      </c>
      <c r="Q711" s="19" t="str">
        <f aca="false">IF(COUNTBLANK(D711:L711)&gt;0,"نعم","لا")</f>
        <v>لا</v>
      </c>
    </row>
    <row r="712" customFormat="false" ht="15" hidden="false" customHeight="false" outlineLevel="0" collapsed="false">
      <c r="A712" s="19" t="n">
        <v>711</v>
      </c>
      <c r="B712" s="30" t="s">
        <v>843</v>
      </c>
      <c r="C712" s="44" t="n">
        <v>45527</v>
      </c>
      <c r="D712" s="30" t="s">
        <v>1338</v>
      </c>
      <c r="E712" s="30" t="s">
        <v>105</v>
      </c>
      <c r="F712" s="30" t="s">
        <v>90</v>
      </c>
      <c r="G712" s="31" t="n">
        <v>2249</v>
      </c>
      <c r="H712" s="19" t="n">
        <v>1</v>
      </c>
      <c r="I712" s="32" t="n">
        <v>0.2</v>
      </c>
      <c r="J712" s="30" t="s">
        <v>52</v>
      </c>
      <c r="K712" s="30" t="s">
        <v>47</v>
      </c>
      <c r="L712" s="30" t="s">
        <v>78</v>
      </c>
      <c r="M712" s="31" t="n">
        <f aca="false">AVERAGEIF($E$2:$E$1197,E712,$G$2:$G$1197)</f>
        <v>2870.26771653543</v>
      </c>
      <c r="N712" s="19" t="str">
        <f aca="false">IF(G712&gt;M712*3,"نعم","لا")</f>
        <v>لا</v>
      </c>
      <c r="O712" s="19" t="str">
        <f aca="false">IF(OR(C712="",ISNUMBER(C712)),"لا","نعم")</f>
        <v>لا</v>
      </c>
      <c r="P712" s="19" t="str">
        <f aca="false">IF(COUNTIF($B$2:B712,B712)&gt;1,"مكرر","فريد")</f>
        <v>فريد</v>
      </c>
      <c r="Q712" s="19" t="str">
        <f aca="false">IF(COUNTBLANK(D712:L712)&gt;0,"نعم","لا")</f>
        <v>لا</v>
      </c>
    </row>
    <row r="713" customFormat="false" ht="15" hidden="false" customHeight="false" outlineLevel="0" collapsed="false">
      <c r="A713" s="19" t="n">
        <v>712</v>
      </c>
      <c r="B713" s="30" t="s">
        <v>705</v>
      </c>
      <c r="C713" s="44" t="n">
        <v>45487</v>
      </c>
      <c r="D713" s="30" t="s">
        <v>50</v>
      </c>
      <c r="E713" s="30" t="s">
        <v>113</v>
      </c>
      <c r="F713" s="30" t="s">
        <v>97</v>
      </c>
      <c r="G713" s="31" t="n">
        <v>109</v>
      </c>
      <c r="H713" s="19" t="n">
        <v>1</v>
      </c>
      <c r="I713" s="32" t="n">
        <v>0.05</v>
      </c>
      <c r="J713" s="30" t="s">
        <v>48</v>
      </c>
      <c r="K713" s="30" t="s">
        <v>47</v>
      </c>
      <c r="L713" s="30" t="s">
        <v>92</v>
      </c>
      <c r="M713" s="31" t="n">
        <f aca="false">AVERAGEIF($E$2:$E$1197,E713,$G$2:$G$1197)</f>
        <v>545.358823529412</v>
      </c>
      <c r="N713" s="19" t="str">
        <f aca="false">IF(G713&gt;M713*3,"نعم","لا")</f>
        <v>لا</v>
      </c>
      <c r="O713" s="19" t="str">
        <f aca="false">IF(OR(C713="",ISNUMBER(C713)),"لا","نعم")</f>
        <v>لا</v>
      </c>
      <c r="P713" s="19" t="str">
        <f aca="false">IF(COUNTIF($B$2:B713,B713)&gt;1,"مكرر","فريد")</f>
        <v>فريد</v>
      </c>
      <c r="Q713" s="19" t="str">
        <f aca="false">IF(COUNTBLANK(D713:L713)&gt;0,"نعم","لا")</f>
        <v>لا</v>
      </c>
    </row>
    <row r="714" customFormat="false" ht="15" hidden="false" customHeight="false" outlineLevel="0" collapsed="false">
      <c r="A714" s="19" t="n">
        <v>713</v>
      </c>
      <c r="B714" s="30" t="s">
        <v>1263</v>
      </c>
      <c r="C714" s="44" t="n">
        <v>45648</v>
      </c>
      <c r="D714" s="30" t="s">
        <v>46</v>
      </c>
      <c r="E714" s="30" t="s">
        <v>109</v>
      </c>
      <c r="F714" s="30" t="s">
        <v>110</v>
      </c>
      <c r="G714" s="31" t="n">
        <v>49</v>
      </c>
      <c r="H714" s="19" t="n">
        <v>2</v>
      </c>
      <c r="I714" s="32" t="n">
        <v>0</v>
      </c>
      <c r="J714" s="30" t="s">
        <v>58</v>
      </c>
      <c r="K714" s="30" t="s">
        <v>47</v>
      </c>
      <c r="L714" s="30" t="s">
        <v>78</v>
      </c>
      <c r="M714" s="31" t="n">
        <f aca="false">AVERAGEIF($E$2:$E$1197,E714,$G$2:$G$1197)</f>
        <v>186.056291390729</v>
      </c>
      <c r="N714" s="19" t="str">
        <f aca="false">IF(G714&gt;M714*3,"نعم","لا")</f>
        <v>لا</v>
      </c>
      <c r="O714" s="19" t="str">
        <f aca="false">IF(OR(C714="",ISNUMBER(C714)),"لا","نعم")</f>
        <v>لا</v>
      </c>
      <c r="P714" s="19" t="str">
        <f aca="false">IF(COUNTIF($B$2:B714,B714)&gt;1,"مكرر","فريد")</f>
        <v>فريد</v>
      </c>
      <c r="Q714" s="19" t="str">
        <f aca="false">IF(COUNTBLANK(D714:L714)&gt;0,"نعم","لا")</f>
        <v>لا</v>
      </c>
    </row>
    <row r="715" customFormat="false" ht="15" hidden="false" customHeight="false" outlineLevel="0" collapsed="false">
      <c r="A715" s="19" t="n">
        <v>714</v>
      </c>
      <c r="B715" s="30" t="s">
        <v>829</v>
      </c>
      <c r="C715" s="44" t="n">
        <v>45523</v>
      </c>
      <c r="D715" s="30" t="s">
        <v>50</v>
      </c>
      <c r="E715" s="30" t="s">
        <v>113</v>
      </c>
      <c r="F715" s="30" t="s">
        <v>97</v>
      </c>
      <c r="G715" s="31" t="n">
        <v>469</v>
      </c>
      <c r="H715" s="19" t="n">
        <v>1</v>
      </c>
      <c r="I715" s="32" t="n">
        <v>0.1</v>
      </c>
      <c r="J715" s="30" t="s">
        <v>58</v>
      </c>
      <c r="K715" s="30" t="s">
        <v>47</v>
      </c>
      <c r="L715" s="30" t="s">
        <v>99</v>
      </c>
      <c r="M715" s="31" t="n">
        <f aca="false">AVERAGEIF($E$2:$E$1197,E715,$G$2:$G$1197)</f>
        <v>545.358823529412</v>
      </c>
      <c r="N715" s="19" t="str">
        <f aca="false">IF(G715&gt;M715*3,"نعم","لا")</f>
        <v>لا</v>
      </c>
      <c r="O715" s="19" t="str">
        <f aca="false">IF(OR(C715="",ISNUMBER(C715)),"لا","نعم")</f>
        <v>لا</v>
      </c>
      <c r="P715" s="19" t="str">
        <f aca="false">IF(COUNTIF($B$2:B715,B715)&gt;1,"مكرر","فريد")</f>
        <v>فريد</v>
      </c>
      <c r="Q715" s="19" t="str">
        <f aca="false">IF(COUNTBLANK(D715:L715)&gt;0,"نعم","لا")</f>
        <v>لا</v>
      </c>
    </row>
    <row r="716" customFormat="false" ht="15" hidden="false" customHeight="false" outlineLevel="0" collapsed="false">
      <c r="A716" s="19" t="n">
        <v>715</v>
      </c>
      <c r="B716" s="30" t="s">
        <v>837</v>
      </c>
      <c r="C716" s="44" t="n">
        <v>45526</v>
      </c>
      <c r="D716" s="30" t="s">
        <v>46</v>
      </c>
      <c r="E716" s="30" t="s">
        <v>113</v>
      </c>
      <c r="F716" s="30" t="s">
        <v>100</v>
      </c>
      <c r="G716" s="31" t="n">
        <v>789</v>
      </c>
      <c r="H716" s="19" t="n">
        <v>1</v>
      </c>
      <c r="I716" s="32" t="n">
        <v>0</v>
      </c>
      <c r="J716" s="30" t="s">
        <v>48</v>
      </c>
      <c r="K716" s="30" t="s">
        <v>47</v>
      </c>
      <c r="L716" s="30" t="s">
        <v>92</v>
      </c>
      <c r="M716" s="31" t="n">
        <f aca="false">AVERAGEIF($E$2:$E$1197,E716,$G$2:$G$1197)</f>
        <v>545.358823529412</v>
      </c>
      <c r="N716" s="19" t="str">
        <f aca="false">IF(G716&gt;M716*3,"نعم","لا")</f>
        <v>لا</v>
      </c>
      <c r="O716" s="19" t="str">
        <f aca="false">IF(OR(C716="",ISNUMBER(C716)),"لا","نعم")</f>
        <v>لا</v>
      </c>
      <c r="P716" s="19" t="str">
        <f aca="false">IF(COUNTIF($B$2:B716,B716)&gt;1,"مكرر","فريد")</f>
        <v>فريد</v>
      </c>
      <c r="Q716" s="19" t="str">
        <f aca="false">IF(COUNTBLANK(D716:L716)&gt;0,"نعم","لا")</f>
        <v>لا</v>
      </c>
    </row>
    <row r="717" customFormat="false" ht="15" hidden="false" customHeight="false" outlineLevel="0" collapsed="false">
      <c r="A717" s="19" t="n">
        <v>716</v>
      </c>
      <c r="B717" s="30" t="s">
        <v>1199</v>
      </c>
      <c r="C717" s="44" t="n">
        <v>45631</v>
      </c>
      <c r="D717" s="30" t="s">
        <v>57</v>
      </c>
      <c r="E717" s="30" t="s">
        <v>109</v>
      </c>
      <c r="F717" s="30" t="s">
        <v>93</v>
      </c>
      <c r="G717" s="31" t="n">
        <v>49</v>
      </c>
      <c r="H717" s="19" t="n">
        <v>6</v>
      </c>
      <c r="I717" s="32" t="n">
        <v>0.1</v>
      </c>
      <c r="J717" s="30" t="s">
        <v>52</v>
      </c>
      <c r="K717" s="30" t="s">
        <v>51</v>
      </c>
      <c r="L717" s="30" t="s">
        <v>84</v>
      </c>
      <c r="M717" s="31" t="n">
        <f aca="false">AVERAGEIF($E$2:$E$1197,E717,$G$2:$G$1197)</f>
        <v>186.056291390729</v>
      </c>
      <c r="N717" s="19" t="str">
        <f aca="false">IF(G717&gt;M717*3,"نعم","لا")</f>
        <v>لا</v>
      </c>
      <c r="O717" s="19" t="str">
        <f aca="false">IF(OR(C717="",ISNUMBER(C717)),"لا","نعم")</f>
        <v>لا</v>
      </c>
      <c r="P717" s="19" t="str">
        <f aca="false">IF(COUNTIF($B$2:B717,B717)&gt;1,"مكرر","فريد")</f>
        <v>فريد</v>
      </c>
      <c r="Q717" s="19" t="str">
        <f aca="false">IF(COUNTBLANK(D717:L717)&gt;0,"نعم","لا")</f>
        <v>لا</v>
      </c>
    </row>
    <row r="718" customFormat="false" ht="15" hidden="false" customHeight="false" outlineLevel="0" collapsed="false">
      <c r="A718" s="19" t="n">
        <v>717</v>
      </c>
      <c r="B718" s="30" t="s">
        <v>1031</v>
      </c>
      <c r="C718" s="44" t="n">
        <v>45591</v>
      </c>
      <c r="D718" s="30" t="s">
        <v>46</v>
      </c>
      <c r="E718" s="30" t="s">
        <v>105</v>
      </c>
      <c r="F718" s="30" t="s">
        <v>79</v>
      </c>
      <c r="G718" s="31" t="n">
        <v>2519</v>
      </c>
      <c r="H718" s="19" t="n">
        <v>4</v>
      </c>
      <c r="I718" s="32" t="n">
        <v>0</v>
      </c>
      <c r="J718" s="30" t="s">
        <v>48</v>
      </c>
      <c r="K718" s="30" t="s">
        <v>51</v>
      </c>
      <c r="L718" s="30" t="s">
        <v>96</v>
      </c>
      <c r="M718" s="31" t="n">
        <f aca="false">AVERAGEIF($E$2:$E$1197,E718,$G$2:$G$1197)</f>
        <v>2870.26771653543</v>
      </c>
      <c r="N718" s="19" t="str">
        <f aca="false">IF(G718&gt;M718*3,"نعم","لا")</f>
        <v>لا</v>
      </c>
      <c r="O718" s="19" t="str">
        <f aca="false">IF(OR(C718="",ISNUMBER(C718)),"لا","نعم")</f>
        <v>لا</v>
      </c>
      <c r="P718" s="19" t="str">
        <f aca="false">IF(COUNTIF($B$2:B718,B718)&gt;1,"مكرر","فريد")</f>
        <v>فريد</v>
      </c>
      <c r="Q718" s="19" t="str">
        <f aca="false">IF(COUNTBLANK(D718:L718)&gt;0,"نعم","لا")</f>
        <v>لا</v>
      </c>
    </row>
    <row r="719" customFormat="false" ht="15" hidden="false" customHeight="false" outlineLevel="0" collapsed="false">
      <c r="A719" s="19" t="n">
        <v>718</v>
      </c>
      <c r="B719" s="30" t="s">
        <v>1119</v>
      </c>
      <c r="C719" s="44" t="n">
        <v>45612</v>
      </c>
      <c r="D719" s="30" t="s">
        <v>57</v>
      </c>
      <c r="E719" s="30" t="s">
        <v>105</v>
      </c>
      <c r="F719" s="30" t="s">
        <v>179</v>
      </c>
      <c r="G719" s="31" t="n">
        <v>4489</v>
      </c>
      <c r="H719" s="19" t="n">
        <v>2</v>
      </c>
      <c r="I719" s="32" t="n">
        <v>0.05</v>
      </c>
      <c r="J719" s="30" t="s">
        <v>55</v>
      </c>
      <c r="K719" s="30" t="s">
        <v>47</v>
      </c>
      <c r="L719" s="30" t="s">
        <v>86</v>
      </c>
      <c r="M719" s="31" t="n">
        <f aca="false">AVERAGEIF($E$2:$E$1197,E719,$G$2:$G$1197)</f>
        <v>2870.26771653543</v>
      </c>
      <c r="N719" s="19" t="str">
        <f aca="false">IF(G719&gt;M719*3,"نعم","لا")</f>
        <v>لا</v>
      </c>
      <c r="O719" s="19" t="str">
        <f aca="false">IF(OR(C719="",ISNUMBER(C719)),"لا","نعم")</f>
        <v>لا</v>
      </c>
      <c r="P719" s="19" t="str">
        <f aca="false">IF(COUNTIF($B$2:B719,B719)&gt;1,"مكرر","فريد")</f>
        <v>فريد</v>
      </c>
      <c r="Q719" s="19" t="str">
        <f aca="false">IF(COUNTBLANK(D719:L719)&gt;0,"نعم","لا")</f>
        <v>لا</v>
      </c>
    </row>
    <row r="720" customFormat="false" ht="15" hidden="false" customHeight="false" outlineLevel="0" collapsed="false">
      <c r="A720" s="19" t="n">
        <v>719</v>
      </c>
      <c r="B720" s="30" t="s">
        <v>1027</v>
      </c>
      <c r="C720" s="44" t="n">
        <v>45590</v>
      </c>
      <c r="D720" s="30" t="s">
        <v>57</v>
      </c>
      <c r="E720" s="30" t="s">
        <v>111</v>
      </c>
      <c r="F720" s="30" t="s">
        <v>120</v>
      </c>
      <c r="G720" s="31" t="n">
        <v>409</v>
      </c>
      <c r="H720" s="19" t="n">
        <v>1</v>
      </c>
      <c r="I720" s="32" t="n">
        <v>0.15</v>
      </c>
      <c r="J720" s="30" t="s">
        <v>52</v>
      </c>
      <c r="K720" s="30" t="s">
        <v>47</v>
      </c>
      <c r="L720" s="30" t="s">
        <v>92</v>
      </c>
      <c r="M720" s="31" t="n">
        <f aca="false">AVERAGEIF($E$2:$E$1197,E720,$G$2:$G$1197)</f>
        <v>366.306569343066</v>
      </c>
      <c r="N720" s="19" t="str">
        <f aca="false">IF(G720&gt;M720*3,"نعم","لا")</f>
        <v>لا</v>
      </c>
      <c r="O720" s="19" t="str">
        <f aca="false">IF(OR(C720="",ISNUMBER(C720)),"لا","نعم")</f>
        <v>لا</v>
      </c>
      <c r="P720" s="19" t="str">
        <f aca="false">IF(COUNTIF($B$2:B720,B720)&gt;1,"مكرر","فريد")</f>
        <v>فريد</v>
      </c>
      <c r="Q720" s="19" t="str">
        <f aca="false">IF(COUNTBLANK(D720:L720)&gt;0,"نعم","لا")</f>
        <v>لا</v>
      </c>
    </row>
    <row r="721" customFormat="false" ht="15" hidden="false" customHeight="false" outlineLevel="0" collapsed="false">
      <c r="A721" s="19" t="n">
        <v>720</v>
      </c>
      <c r="B721" s="30" t="s">
        <v>424</v>
      </c>
      <c r="C721" s="44" t="n">
        <v>45382</v>
      </c>
      <c r="D721" s="30" t="s">
        <v>46</v>
      </c>
      <c r="E721" s="30" t="s">
        <v>109</v>
      </c>
      <c r="F721" s="30" t="s">
        <v>192</v>
      </c>
      <c r="G721" s="31" t="n">
        <v>269</v>
      </c>
      <c r="H721" s="19" t="n">
        <v>1</v>
      </c>
      <c r="I721" s="32" t="n">
        <v>0.2</v>
      </c>
      <c r="J721" s="30" t="s">
        <v>58</v>
      </c>
      <c r="K721" s="30" t="s">
        <v>47</v>
      </c>
      <c r="L721" s="30" t="s">
        <v>92</v>
      </c>
      <c r="M721" s="31" t="n">
        <f aca="false">AVERAGEIF($E$2:$E$1197,E721,$G$2:$G$1197)</f>
        <v>186.056291390729</v>
      </c>
      <c r="N721" s="19" t="str">
        <f aca="false">IF(G721&gt;M721*3,"نعم","لا")</f>
        <v>لا</v>
      </c>
      <c r="O721" s="19" t="str">
        <f aca="false">IF(OR(C721="",ISNUMBER(C721)),"لا","نعم")</f>
        <v>لا</v>
      </c>
      <c r="P721" s="19" t="str">
        <f aca="false">IF(COUNTIF($B$2:B721,B721)&gt;1,"مكرر","فريد")</f>
        <v>فريد</v>
      </c>
      <c r="Q721" s="19" t="str">
        <f aca="false">IF(COUNTBLANK(D721:L721)&gt;0,"نعم","لا")</f>
        <v>لا</v>
      </c>
    </row>
    <row r="722" customFormat="false" ht="15" hidden="false" customHeight="false" outlineLevel="0" collapsed="false">
      <c r="A722" s="19" t="n">
        <v>721</v>
      </c>
      <c r="B722" s="30" t="s">
        <v>496</v>
      </c>
      <c r="C722" s="30" t="s">
        <v>1453</v>
      </c>
      <c r="D722" s="30" t="s">
        <v>46</v>
      </c>
      <c r="E722" s="30" t="s">
        <v>113</v>
      </c>
      <c r="F722" s="30" t="s">
        <v>95</v>
      </c>
      <c r="G722" s="31" t="n">
        <v>349</v>
      </c>
      <c r="H722" s="19" t="n">
        <v>1</v>
      </c>
      <c r="I722" s="32" t="n">
        <v>0.1</v>
      </c>
      <c r="J722" s="30" t="s">
        <v>48</v>
      </c>
      <c r="K722" s="30" t="s">
        <v>47</v>
      </c>
      <c r="L722" s="30" t="s">
        <v>94</v>
      </c>
      <c r="M722" s="31" t="n">
        <f aca="false">AVERAGEIF($E$2:$E$1197,E722,$G$2:$G$1197)</f>
        <v>545.358823529412</v>
      </c>
      <c r="N722" s="19" t="str">
        <f aca="false">IF(G722&gt;M722*3,"نعم","لا")</f>
        <v>لا</v>
      </c>
      <c r="O722" s="19" t="str">
        <f aca="false">IF(OR(C722="",ISNUMBER(C722)),"لا","نعم")</f>
        <v>نعم</v>
      </c>
      <c r="P722" s="19" t="str">
        <f aca="false">IF(COUNTIF($B$2:B722,B722)&gt;1,"مكرر","فريد")</f>
        <v>فريد</v>
      </c>
      <c r="Q722" s="19" t="str">
        <f aca="false">IF(COUNTBLANK(D722:L722)&gt;0,"نعم","لا")</f>
        <v>لا</v>
      </c>
    </row>
    <row r="723" customFormat="false" ht="15" hidden="false" customHeight="false" outlineLevel="0" collapsed="false">
      <c r="A723" s="19" t="n">
        <v>722</v>
      </c>
      <c r="B723" s="30" t="s">
        <v>190</v>
      </c>
      <c r="C723" s="44" t="n">
        <v>45298</v>
      </c>
      <c r="D723" s="30" t="s">
        <v>50</v>
      </c>
      <c r="E723" s="30" t="s">
        <v>107</v>
      </c>
      <c r="F723" s="30" t="s">
        <v>114</v>
      </c>
      <c r="G723" s="31" t="n">
        <v>1909</v>
      </c>
      <c r="H723" s="19" t="n">
        <v>1</v>
      </c>
      <c r="I723" s="32" t="n">
        <v>0</v>
      </c>
      <c r="J723" s="30" t="s">
        <v>48</v>
      </c>
      <c r="K723" s="30" t="s">
        <v>47</v>
      </c>
      <c r="L723" s="30" t="s">
        <v>78</v>
      </c>
      <c r="M723" s="31" t="n">
        <f aca="false">AVERAGEIF($E$2:$E$1197,E723,$G$2:$G$1197)</f>
        <v>4981.14563106796</v>
      </c>
      <c r="N723" s="19" t="str">
        <f aca="false">IF(G723&gt;M723*3,"نعم","لا")</f>
        <v>لا</v>
      </c>
      <c r="O723" s="19" t="str">
        <f aca="false">IF(OR(C723="",ISNUMBER(C723)),"لا","نعم")</f>
        <v>لا</v>
      </c>
      <c r="P723" s="19" t="str">
        <f aca="false">IF(COUNTIF($B$2:B723,B723)&gt;1,"مكرر","فريد")</f>
        <v>فريد</v>
      </c>
      <c r="Q723" s="19" t="str">
        <f aca="false">IF(COUNTBLANK(D723:L723)&gt;0,"نعم","لا")</f>
        <v>لا</v>
      </c>
    </row>
    <row r="724" customFormat="false" ht="15" hidden="false" customHeight="false" outlineLevel="0" collapsed="false">
      <c r="A724" s="19" t="n">
        <v>723</v>
      </c>
      <c r="B724" s="30" t="s">
        <v>1045</v>
      </c>
      <c r="C724" s="44" t="n">
        <v>45595</v>
      </c>
      <c r="D724" s="30" t="s">
        <v>54</v>
      </c>
      <c r="E724" s="30" t="s">
        <v>107</v>
      </c>
      <c r="F724" s="30" t="s">
        <v>272</v>
      </c>
      <c r="G724" s="31" t="n">
        <v>4889</v>
      </c>
      <c r="H724" s="19" t="n">
        <v>1</v>
      </c>
      <c r="I724" s="32" t="n">
        <v>0.1</v>
      </c>
      <c r="J724" s="30" t="s">
        <v>58</v>
      </c>
      <c r="K724" s="30" t="s">
        <v>47</v>
      </c>
      <c r="L724" s="30" t="s">
        <v>94</v>
      </c>
      <c r="M724" s="31" t="n">
        <f aca="false">AVERAGEIF($E$2:$E$1197,E724,$G$2:$G$1197)</f>
        <v>4981.14563106796</v>
      </c>
      <c r="N724" s="19" t="str">
        <f aca="false">IF(G724&gt;M724*3,"نعم","لا")</f>
        <v>لا</v>
      </c>
      <c r="O724" s="19" t="str">
        <f aca="false">IF(OR(C724="",ISNUMBER(C724)),"لا","نعم")</f>
        <v>لا</v>
      </c>
      <c r="P724" s="19" t="str">
        <f aca="false">IF(COUNTIF($B$2:B724,B724)&gt;1,"مكرر","فريد")</f>
        <v>فريد</v>
      </c>
      <c r="Q724" s="19" t="str">
        <f aca="false">IF(COUNTBLANK(D724:L724)&gt;0,"نعم","لا")</f>
        <v>لا</v>
      </c>
    </row>
    <row r="725" customFormat="false" ht="15" hidden="false" customHeight="false" outlineLevel="0" collapsed="false">
      <c r="A725" s="19" t="n">
        <v>724</v>
      </c>
      <c r="B725" s="30" t="s">
        <v>488</v>
      </c>
      <c r="C725" s="44" t="n">
        <v>45409</v>
      </c>
      <c r="D725" s="30" t="s">
        <v>50</v>
      </c>
      <c r="E725" s="30" t="s">
        <v>111</v>
      </c>
      <c r="F725" s="30" t="s">
        <v>118</v>
      </c>
      <c r="G725" s="31" t="n">
        <v>439</v>
      </c>
      <c r="H725" s="19" t="n">
        <v>2</v>
      </c>
      <c r="I725" s="32" t="n">
        <v>0.05</v>
      </c>
      <c r="J725" s="30" t="s">
        <v>52</v>
      </c>
      <c r="K725" s="30" t="s">
        <v>51</v>
      </c>
      <c r="L725" s="30" t="s">
        <v>76</v>
      </c>
      <c r="M725" s="31" t="n">
        <f aca="false">AVERAGEIF($E$2:$E$1197,E725,$G$2:$G$1197)</f>
        <v>366.306569343066</v>
      </c>
      <c r="N725" s="19" t="str">
        <f aca="false">IF(G725&gt;M725*3,"نعم","لا")</f>
        <v>لا</v>
      </c>
      <c r="O725" s="19" t="str">
        <f aca="false">IF(OR(C725="",ISNUMBER(C725)),"لا","نعم")</f>
        <v>لا</v>
      </c>
      <c r="P725" s="19" t="str">
        <f aca="false">IF(COUNTIF($B$2:B725,B725)&gt;1,"مكرر","فريد")</f>
        <v>فريد</v>
      </c>
      <c r="Q725" s="19" t="str">
        <f aca="false">IF(COUNTBLANK(D725:L725)&gt;0,"نعم","لا")</f>
        <v>لا</v>
      </c>
    </row>
    <row r="726" customFormat="false" ht="15" hidden="false" customHeight="false" outlineLevel="0" collapsed="false">
      <c r="A726" s="19" t="n">
        <v>725</v>
      </c>
      <c r="B726" s="30" t="s">
        <v>763</v>
      </c>
      <c r="C726" s="44" t="n">
        <v>45507</v>
      </c>
      <c r="D726" s="30" t="s">
        <v>54</v>
      </c>
      <c r="E726" s="30" t="s">
        <v>107</v>
      </c>
      <c r="F726" s="30" t="s">
        <v>184</v>
      </c>
      <c r="G726" s="31" t="n">
        <v>5489</v>
      </c>
      <c r="H726" s="19" t="n">
        <v>1</v>
      </c>
      <c r="I726" s="32"/>
      <c r="J726" s="30" t="s">
        <v>52</v>
      </c>
      <c r="K726" s="30" t="s">
        <v>47</v>
      </c>
      <c r="L726" s="30" t="s">
        <v>76</v>
      </c>
      <c r="M726" s="31" t="n">
        <f aca="false">AVERAGEIF($E$2:$E$1197,E726,$G$2:$G$1197)</f>
        <v>4981.14563106796</v>
      </c>
      <c r="N726" s="19" t="str">
        <f aca="false">IF(G726&gt;M726*3,"نعم","لا")</f>
        <v>لا</v>
      </c>
      <c r="O726" s="19" t="str">
        <f aca="false">IF(OR(C726="",ISNUMBER(C726)),"لا","نعم")</f>
        <v>لا</v>
      </c>
      <c r="P726" s="19" t="str">
        <f aca="false">IF(COUNTIF($B$2:B726,B726)&gt;1,"مكرر","فريد")</f>
        <v>فريد</v>
      </c>
      <c r="Q726" s="19" t="str">
        <f aca="false">IF(COUNTBLANK(D726:L726)&gt;0,"نعم","لا")</f>
        <v>نعم</v>
      </c>
    </row>
    <row r="727" customFormat="false" ht="15" hidden="false" customHeight="false" outlineLevel="0" collapsed="false">
      <c r="A727" s="19" t="n">
        <v>726</v>
      </c>
      <c r="B727" s="30" t="s">
        <v>1194</v>
      </c>
      <c r="C727" s="44" t="n">
        <v>45630</v>
      </c>
      <c r="D727" s="30" t="s">
        <v>60</v>
      </c>
      <c r="E727" s="30" t="s">
        <v>109</v>
      </c>
      <c r="F727" s="30" t="s">
        <v>171</v>
      </c>
      <c r="G727" s="31" t="n">
        <v>239</v>
      </c>
      <c r="H727" s="19" t="n">
        <v>3</v>
      </c>
      <c r="I727" s="32" t="n">
        <v>0.15</v>
      </c>
      <c r="J727" s="30" t="s">
        <v>55</v>
      </c>
      <c r="K727" s="30" t="s">
        <v>47</v>
      </c>
      <c r="L727" s="30" t="s">
        <v>96</v>
      </c>
      <c r="M727" s="31" t="n">
        <f aca="false">AVERAGEIF($E$2:$E$1197,E727,$G$2:$G$1197)</f>
        <v>186.056291390729</v>
      </c>
      <c r="N727" s="19" t="str">
        <f aca="false">IF(G727&gt;M727*3,"نعم","لا")</f>
        <v>لا</v>
      </c>
      <c r="O727" s="19" t="str">
        <f aca="false">IF(OR(C727="",ISNUMBER(C727)),"لا","نعم")</f>
        <v>لا</v>
      </c>
      <c r="P727" s="19" t="str">
        <f aca="false">IF(COUNTIF($B$2:B727,B727)&gt;1,"مكرر","فريد")</f>
        <v>مكرر</v>
      </c>
      <c r="Q727" s="19" t="str">
        <f aca="false">IF(COUNTBLANK(D727:L727)&gt;0,"نعم","لا")</f>
        <v>لا</v>
      </c>
    </row>
    <row r="728" customFormat="false" ht="15" hidden="false" customHeight="false" outlineLevel="0" collapsed="false">
      <c r="A728" s="19" t="n">
        <v>727</v>
      </c>
      <c r="B728" s="30" t="s">
        <v>932</v>
      </c>
      <c r="C728" s="30" t="s">
        <v>1454</v>
      </c>
      <c r="D728" s="30" t="s">
        <v>46</v>
      </c>
      <c r="E728" s="30" t="s">
        <v>105</v>
      </c>
      <c r="F728" s="30" t="s">
        <v>179</v>
      </c>
      <c r="G728" s="31" t="n">
        <v>1479</v>
      </c>
      <c r="H728" s="19" t="n">
        <v>1</v>
      </c>
      <c r="I728" s="32" t="n">
        <v>0.1</v>
      </c>
      <c r="J728" s="30" t="s">
        <v>48</v>
      </c>
      <c r="K728" s="30" t="s">
        <v>47</v>
      </c>
      <c r="L728" s="30" t="s">
        <v>89</v>
      </c>
      <c r="M728" s="31" t="n">
        <f aca="false">AVERAGEIF($E$2:$E$1197,E728,$G$2:$G$1197)</f>
        <v>2870.26771653543</v>
      </c>
      <c r="N728" s="19" t="str">
        <f aca="false">IF(G728&gt;M728*3,"نعم","لا")</f>
        <v>لا</v>
      </c>
      <c r="O728" s="19" t="str">
        <f aca="false">IF(OR(C728="",ISNUMBER(C728)),"لا","نعم")</f>
        <v>نعم</v>
      </c>
      <c r="P728" s="19" t="str">
        <f aca="false">IF(COUNTIF($B$2:B728,B728)&gt;1,"مكرر","فريد")</f>
        <v>فريد</v>
      </c>
      <c r="Q728" s="19" t="str">
        <f aca="false">IF(COUNTBLANK(D728:L728)&gt;0,"نعم","لا")</f>
        <v>لا</v>
      </c>
    </row>
    <row r="729" customFormat="false" ht="15" hidden="false" customHeight="false" outlineLevel="0" collapsed="false">
      <c r="A729" s="19" t="n">
        <v>728</v>
      </c>
      <c r="B729" s="30" t="s">
        <v>393</v>
      </c>
      <c r="C729" s="30" t="s">
        <v>1455</v>
      </c>
      <c r="D729" s="30" t="s">
        <v>46</v>
      </c>
      <c r="E729" s="30" t="s">
        <v>109</v>
      </c>
      <c r="F729" s="30" t="s">
        <v>1456</v>
      </c>
      <c r="G729" s="31" t="n">
        <v>209</v>
      </c>
      <c r="H729" s="19" t="n">
        <v>5</v>
      </c>
      <c r="I729" s="32" t="n">
        <v>0.05</v>
      </c>
      <c r="J729" s="30" t="s">
        <v>58</v>
      </c>
      <c r="K729" s="30" t="s">
        <v>51</v>
      </c>
      <c r="L729" s="30" t="s">
        <v>78</v>
      </c>
      <c r="M729" s="31" t="n">
        <f aca="false">AVERAGEIF($E$2:$E$1197,E729,$G$2:$G$1197)</f>
        <v>186.056291390729</v>
      </c>
      <c r="N729" s="19" t="str">
        <f aca="false">IF(G729&gt;M729*3,"نعم","لا")</f>
        <v>لا</v>
      </c>
      <c r="O729" s="19" t="str">
        <f aca="false">IF(OR(C729="",ISNUMBER(C729)),"لا","نعم")</f>
        <v>نعم</v>
      </c>
      <c r="P729" s="19" t="str">
        <f aca="false">IF(COUNTIF($B$2:B729,B729)&gt;1,"مكرر","فريد")</f>
        <v>فريد</v>
      </c>
      <c r="Q729" s="19" t="str">
        <f aca="false">IF(COUNTBLANK(D729:L729)&gt;0,"نعم","لا")</f>
        <v>لا</v>
      </c>
    </row>
    <row r="730" customFormat="false" ht="15" hidden="false" customHeight="false" outlineLevel="0" collapsed="false">
      <c r="A730" s="19" t="n">
        <v>729</v>
      </c>
      <c r="B730" s="30" t="s">
        <v>348</v>
      </c>
      <c r="C730" s="30" t="s">
        <v>1457</v>
      </c>
      <c r="D730" s="30" t="s">
        <v>60</v>
      </c>
      <c r="E730" s="30" t="s">
        <v>113</v>
      </c>
      <c r="F730" s="30" t="s">
        <v>97</v>
      </c>
      <c r="G730" s="31" t="n">
        <v>779</v>
      </c>
      <c r="H730" s="19" t="n">
        <v>2</v>
      </c>
      <c r="I730" s="32" t="n">
        <v>0</v>
      </c>
      <c r="J730" s="30" t="s">
        <v>48</v>
      </c>
      <c r="K730" s="30" t="s">
        <v>47</v>
      </c>
      <c r="L730" s="30" t="s">
        <v>86</v>
      </c>
      <c r="M730" s="31" t="n">
        <f aca="false">AVERAGEIF($E$2:$E$1197,E730,$G$2:$G$1197)</f>
        <v>545.358823529412</v>
      </c>
      <c r="N730" s="19" t="str">
        <f aca="false">IF(G730&gt;M730*3,"نعم","لا")</f>
        <v>لا</v>
      </c>
      <c r="O730" s="19" t="str">
        <f aca="false">IF(OR(C730="",ISNUMBER(C730)),"لا","نعم")</f>
        <v>نعم</v>
      </c>
      <c r="P730" s="19" t="str">
        <f aca="false">IF(COUNTIF($B$2:B730,B730)&gt;1,"مكرر","فريد")</f>
        <v>فريد</v>
      </c>
      <c r="Q730" s="19" t="str">
        <f aca="false">IF(COUNTBLANK(D730:L730)&gt;0,"نعم","لا")</f>
        <v>لا</v>
      </c>
    </row>
    <row r="731" customFormat="false" ht="15" hidden="false" customHeight="false" outlineLevel="0" collapsed="false">
      <c r="A731" s="19" t="n">
        <v>730</v>
      </c>
      <c r="B731" s="30" t="s">
        <v>266</v>
      </c>
      <c r="C731" s="44" t="n">
        <v>45328</v>
      </c>
      <c r="D731" s="30" t="s">
        <v>60</v>
      </c>
      <c r="E731" s="30" t="s">
        <v>105</v>
      </c>
      <c r="F731" s="30" t="s">
        <v>90</v>
      </c>
      <c r="G731" s="31" t="n">
        <v>1069</v>
      </c>
      <c r="H731" s="19" t="n">
        <v>2</v>
      </c>
      <c r="I731" s="32" t="n">
        <v>0.05</v>
      </c>
      <c r="J731" s="30" t="s">
        <v>48</v>
      </c>
      <c r="K731" s="30" t="s">
        <v>51</v>
      </c>
      <c r="L731" s="30" t="s">
        <v>99</v>
      </c>
      <c r="M731" s="31" t="n">
        <f aca="false">AVERAGEIF($E$2:$E$1197,E731,$G$2:$G$1197)</f>
        <v>2870.26771653543</v>
      </c>
      <c r="N731" s="19" t="str">
        <f aca="false">IF(G731&gt;M731*3,"نعم","لا")</f>
        <v>لا</v>
      </c>
      <c r="O731" s="19" t="str">
        <f aca="false">IF(OR(C731="",ISNUMBER(C731)),"لا","نعم")</f>
        <v>لا</v>
      </c>
      <c r="P731" s="19" t="str">
        <f aca="false">IF(COUNTIF($B$2:B731,B731)&gt;1,"مكرر","فريد")</f>
        <v>فريد</v>
      </c>
      <c r="Q731" s="19" t="str">
        <f aca="false">IF(COUNTBLANK(D731:L731)&gt;0,"نعم","لا")</f>
        <v>لا</v>
      </c>
    </row>
    <row r="732" customFormat="false" ht="15" hidden="false" customHeight="false" outlineLevel="0" collapsed="false">
      <c r="A732" s="19" t="n">
        <v>731</v>
      </c>
      <c r="B732" s="30" t="s">
        <v>681</v>
      </c>
      <c r="C732" s="44" t="n">
        <v>45478</v>
      </c>
      <c r="D732" s="30" t="s">
        <v>46</v>
      </c>
      <c r="E732" s="30" t="s">
        <v>105</v>
      </c>
      <c r="F732" s="30" t="s">
        <v>82</v>
      </c>
      <c r="G732" s="31" t="n">
        <v>1759</v>
      </c>
      <c r="H732" s="19" t="n">
        <v>1</v>
      </c>
      <c r="I732" s="32" t="n">
        <v>0</v>
      </c>
      <c r="J732" s="30" t="s">
        <v>52</v>
      </c>
      <c r="K732" s="30" t="s">
        <v>47</v>
      </c>
      <c r="L732" s="30" t="s">
        <v>84</v>
      </c>
      <c r="M732" s="31" t="n">
        <f aca="false">AVERAGEIF($E$2:$E$1197,E732,$G$2:$G$1197)</f>
        <v>2870.26771653543</v>
      </c>
      <c r="N732" s="19" t="str">
        <f aca="false">IF(G732&gt;M732*3,"نعم","لا")</f>
        <v>لا</v>
      </c>
      <c r="O732" s="19" t="str">
        <f aca="false">IF(OR(C732="",ISNUMBER(C732)),"لا","نعم")</f>
        <v>لا</v>
      </c>
      <c r="P732" s="19" t="str">
        <f aca="false">IF(COUNTIF($B$2:B732,B732)&gt;1,"مكرر","فريد")</f>
        <v>فريد</v>
      </c>
      <c r="Q732" s="19" t="str">
        <f aca="false">IF(COUNTBLANK(D732:L732)&gt;0,"نعم","لا")</f>
        <v>لا</v>
      </c>
    </row>
    <row r="733" customFormat="false" ht="15" hidden="false" customHeight="false" outlineLevel="0" collapsed="false">
      <c r="A733" s="19" t="n">
        <v>732</v>
      </c>
      <c r="B733" s="30" t="s">
        <v>193</v>
      </c>
      <c r="C733" s="44" t="n">
        <v>45299</v>
      </c>
      <c r="D733" s="30" t="s">
        <v>50</v>
      </c>
      <c r="E733" s="30" t="s">
        <v>105</v>
      </c>
      <c r="F733" s="30" t="s">
        <v>85</v>
      </c>
      <c r="G733" s="31" t="n">
        <v>3189</v>
      </c>
      <c r="H733" s="19" t="n">
        <v>1</v>
      </c>
      <c r="I733" s="32" t="n">
        <v>0</v>
      </c>
      <c r="J733" s="30" t="s">
        <v>58</v>
      </c>
      <c r="K733" s="30" t="s">
        <v>47</v>
      </c>
      <c r="L733" s="30" t="s">
        <v>86</v>
      </c>
      <c r="M733" s="31" t="n">
        <f aca="false">AVERAGEIF($E$2:$E$1197,E733,$G$2:$G$1197)</f>
        <v>2870.26771653543</v>
      </c>
      <c r="N733" s="19" t="str">
        <f aca="false">IF(G733&gt;M733*3,"نعم","لا")</f>
        <v>لا</v>
      </c>
      <c r="O733" s="19" t="str">
        <f aca="false">IF(OR(C733="",ISNUMBER(C733)),"لا","نعم")</f>
        <v>لا</v>
      </c>
      <c r="P733" s="19" t="str">
        <f aca="false">IF(COUNTIF($B$2:B733,B733)&gt;1,"مكرر","فريد")</f>
        <v>فريد</v>
      </c>
      <c r="Q733" s="19" t="str">
        <f aca="false">IF(COUNTBLANK(D733:L733)&gt;0,"نعم","لا")</f>
        <v>لا</v>
      </c>
    </row>
    <row r="734" customFormat="false" ht="15" hidden="false" customHeight="false" outlineLevel="0" collapsed="false">
      <c r="A734" s="19" t="n">
        <v>733</v>
      </c>
      <c r="B734" s="30" t="s">
        <v>518</v>
      </c>
      <c r="C734" s="44" t="n">
        <v>45421</v>
      </c>
      <c r="D734" s="30" t="s">
        <v>1338</v>
      </c>
      <c r="E734" s="30" t="s">
        <v>107</v>
      </c>
      <c r="F734" s="30" t="s">
        <v>184</v>
      </c>
      <c r="G734" s="31" t="n">
        <v>3919</v>
      </c>
      <c r="H734" s="19" t="n">
        <v>1</v>
      </c>
      <c r="I734" s="32" t="n">
        <v>0</v>
      </c>
      <c r="J734" s="30" t="s">
        <v>55</v>
      </c>
      <c r="K734" s="30" t="s">
        <v>47</v>
      </c>
      <c r="L734" s="30" t="s">
        <v>96</v>
      </c>
      <c r="M734" s="31" t="n">
        <f aca="false">AVERAGEIF($E$2:$E$1197,E734,$G$2:$G$1197)</f>
        <v>4981.14563106796</v>
      </c>
      <c r="N734" s="19" t="str">
        <f aca="false">IF(G734&gt;M734*3,"نعم","لا")</f>
        <v>لا</v>
      </c>
      <c r="O734" s="19" t="str">
        <f aca="false">IF(OR(C734="",ISNUMBER(C734)),"لا","نعم")</f>
        <v>لا</v>
      </c>
      <c r="P734" s="19" t="str">
        <f aca="false">IF(COUNTIF($B$2:B734,B734)&gt;1,"مكرر","فريد")</f>
        <v>فريد</v>
      </c>
      <c r="Q734" s="19" t="str">
        <f aca="false">IF(COUNTBLANK(D734:L734)&gt;0,"نعم","لا")</f>
        <v>لا</v>
      </c>
    </row>
    <row r="735" customFormat="false" ht="15" hidden="false" customHeight="false" outlineLevel="0" collapsed="false">
      <c r="A735" s="19" t="n">
        <v>734</v>
      </c>
      <c r="B735" s="30" t="s">
        <v>885</v>
      </c>
      <c r="C735" s="44" t="n">
        <v>45539</v>
      </c>
      <c r="D735" s="30" t="s">
        <v>46</v>
      </c>
      <c r="E735" s="30" t="s">
        <v>107</v>
      </c>
      <c r="F735" s="30" t="s">
        <v>115</v>
      </c>
      <c r="G735" s="31" t="n">
        <v>6789</v>
      </c>
      <c r="H735" s="19" t="n">
        <v>1</v>
      </c>
      <c r="I735" s="32" t="n">
        <v>0.1</v>
      </c>
      <c r="J735" s="30" t="s">
        <v>52</v>
      </c>
      <c r="K735" s="30" t="s">
        <v>47</v>
      </c>
      <c r="L735" s="30" t="s">
        <v>96</v>
      </c>
      <c r="M735" s="31" t="n">
        <f aca="false">AVERAGEIF($E$2:$E$1197,E735,$G$2:$G$1197)</f>
        <v>4981.14563106796</v>
      </c>
      <c r="N735" s="19" t="str">
        <f aca="false">IF(G735&gt;M735*3,"نعم","لا")</f>
        <v>لا</v>
      </c>
      <c r="O735" s="19" t="str">
        <f aca="false">IF(OR(C735="",ISNUMBER(C735)),"لا","نعم")</f>
        <v>لا</v>
      </c>
      <c r="P735" s="19" t="str">
        <f aca="false">IF(COUNTIF($B$2:B735,B735)&gt;1,"مكرر","فريد")</f>
        <v>فريد</v>
      </c>
      <c r="Q735" s="19" t="str">
        <f aca="false">IF(COUNTBLANK(D735:L735)&gt;0,"نعم","لا")</f>
        <v>لا</v>
      </c>
    </row>
    <row r="736" customFormat="false" ht="15" hidden="false" customHeight="false" outlineLevel="0" collapsed="false">
      <c r="A736" s="19" t="n">
        <v>735</v>
      </c>
      <c r="B736" s="30" t="s">
        <v>1103</v>
      </c>
      <c r="C736" s="44" t="n">
        <v>45607</v>
      </c>
      <c r="D736" s="30" t="s">
        <v>57</v>
      </c>
      <c r="E736" s="30" t="s">
        <v>109</v>
      </c>
      <c r="F736" s="30" t="s">
        <v>110</v>
      </c>
      <c r="G736" s="31" t="n">
        <v>39</v>
      </c>
      <c r="H736" s="19" t="n">
        <v>1</v>
      </c>
      <c r="I736" s="32" t="n">
        <v>0</v>
      </c>
      <c r="J736" s="30" t="s">
        <v>48</v>
      </c>
      <c r="K736" s="30" t="s">
        <v>47</v>
      </c>
      <c r="L736" s="30" t="s">
        <v>81</v>
      </c>
      <c r="M736" s="31" t="n">
        <f aca="false">AVERAGEIF($E$2:$E$1197,E736,$G$2:$G$1197)</f>
        <v>186.056291390729</v>
      </c>
      <c r="N736" s="19" t="str">
        <f aca="false">IF(G736&gt;M736*3,"نعم","لا")</f>
        <v>لا</v>
      </c>
      <c r="O736" s="19" t="str">
        <f aca="false">IF(OR(C736="",ISNUMBER(C736)),"لا","نعم")</f>
        <v>لا</v>
      </c>
      <c r="P736" s="19" t="str">
        <f aca="false">IF(COUNTIF($B$2:B736,B736)&gt;1,"مكرر","فريد")</f>
        <v>فريد</v>
      </c>
      <c r="Q736" s="19" t="str">
        <f aca="false">IF(COUNTBLANK(D736:L736)&gt;0,"نعم","لا")</f>
        <v>لا</v>
      </c>
    </row>
    <row r="737" customFormat="false" ht="15" hidden="false" customHeight="false" outlineLevel="0" collapsed="false">
      <c r="A737" s="19" t="n">
        <v>736</v>
      </c>
      <c r="B737" s="30" t="s">
        <v>1246</v>
      </c>
      <c r="C737" s="44" t="n">
        <v>45644</v>
      </c>
      <c r="D737" s="30" t="s">
        <v>50</v>
      </c>
      <c r="E737" s="30" t="s">
        <v>107</v>
      </c>
      <c r="F737" s="30" t="s">
        <v>115</v>
      </c>
      <c r="G737" s="31" t="n">
        <v>6919</v>
      </c>
      <c r="H737" s="19" t="n">
        <v>2</v>
      </c>
      <c r="I737" s="32" t="n">
        <v>0</v>
      </c>
      <c r="J737" s="30"/>
      <c r="K737" s="30" t="s">
        <v>47</v>
      </c>
      <c r="L737" s="30" t="s">
        <v>86</v>
      </c>
      <c r="M737" s="31" t="n">
        <f aca="false">AVERAGEIF($E$2:$E$1197,E737,$G$2:$G$1197)</f>
        <v>4981.14563106796</v>
      </c>
      <c r="N737" s="19" t="str">
        <f aca="false">IF(G737&gt;M737*3,"نعم","لا")</f>
        <v>لا</v>
      </c>
      <c r="O737" s="19" t="str">
        <f aca="false">IF(OR(C737="",ISNUMBER(C737)),"لا","نعم")</f>
        <v>لا</v>
      </c>
      <c r="P737" s="19" t="str">
        <f aca="false">IF(COUNTIF($B$2:B737,B737)&gt;1,"مكرر","فريد")</f>
        <v>فريد</v>
      </c>
      <c r="Q737" s="19" t="str">
        <f aca="false">IF(COUNTBLANK(D737:L737)&gt;0,"نعم","لا")</f>
        <v>نعم</v>
      </c>
    </row>
    <row r="738" customFormat="false" ht="15" hidden="false" customHeight="false" outlineLevel="0" collapsed="false">
      <c r="A738" s="19" t="n">
        <v>737</v>
      </c>
      <c r="B738" s="30" t="s">
        <v>767</v>
      </c>
      <c r="C738" s="44" t="n">
        <v>45508</v>
      </c>
      <c r="D738" s="30" t="s">
        <v>54</v>
      </c>
      <c r="E738" s="30" t="s">
        <v>111</v>
      </c>
      <c r="F738" s="30" t="s">
        <v>108</v>
      </c>
      <c r="G738" s="31" t="n">
        <v>409</v>
      </c>
      <c r="H738" s="19" t="n">
        <v>2</v>
      </c>
      <c r="I738" s="32" t="n">
        <v>0.05</v>
      </c>
      <c r="J738" s="30" t="s">
        <v>48</v>
      </c>
      <c r="K738" s="30" t="s">
        <v>47</v>
      </c>
      <c r="L738" s="30" t="s">
        <v>99</v>
      </c>
      <c r="M738" s="31" t="n">
        <f aca="false">AVERAGEIF($E$2:$E$1197,E738,$G$2:$G$1197)</f>
        <v>366.306569343066</v>
      </c>
      <c r="N738" s="19" t="str">
        <f aca="false">IF(G738&gt;M738*3,"نعم","لا")</f>
        <v>لا</v>
      </c>
      <c r="O738" s="19" t="str">
        <f aca="false">IF(OR(C738="",ISNUMBER(C738)),"لا","نعم")</f>
        <v>لا</v>
      </c>
      <c r="P738" s="19" t="str">
        <f aca="false">IF(COUNTIF($B$2:B738,B738)&gt;1,"مكرر","فريد")</f>
        <v>فريد</v>
      </c>
      <c r="Q738" s="19" t="str">
        <f aca="false">IF(COUNTBLANK(D738:L738)&gt;0,"نعم","لا")</f>
        <v>لا</v>
      </c>
    </row>
    <row r="739" customFormat="false" ht="15" hidden="false" customHeight="false" outlineLevel="0" collapsed="false">
      <c r="A739" s="19" t="n">
        <v>738</v>
      </c>
      <c r="B739" s="30" t="s">
        <v>1148</v>
      </c>
      <c r="C739" s="44" t="n">
        <v>45618</v>
      </c>
      <c r="D739" s="30" t="s">
        <v>46</v>
      </c>
      <c r="E739" s="30" t="s">
        <v>105</v>
      </c>
      <c r="F739" s="30" t="s">
        <v>179</v>
      </c>
      <c r="G739" s="31" t="n">
        <v>2189</v>
      </c>
      <c r="H739" s="19" t="n">
        <v>10</v>
      </c>
      <c r="I739" s="32" t="n">
        <v>0</v>
      </c>
      <c r="J739" s="30" t="s">
        <v>52</v>
      </c>
      <c r="K739" s="30" t="s">
        <v>51</v>
      </c>
      <c r="L739" s="30" t="s">
        <v>99</v>
      </c>
      <c r="M739" s="31" t="n">
        <f aca="false">AVERAGEIF($E$2:$E$1197,E739,$G$2:$G$1197)</f>
        <v>2870.26771653543</v>
      </c>
      <c r="N739" s="19" t="str">
        <f aca="false">IF(G739&gt;M739*3,"نعم","لا")</f>
        <v>لا</v>
      </c>
      <c r="O739" s="19" t="str">
        <f aca="false">IF(OR(C739="",ISNUMBER(C739)),"لا","نعم")</f>
        <v>لا</v>
      </c>
      <c r="P739" s="19" t="str">
        <f aca="false">IF(COUNTIF($B$2:B739,B739)&gt;1,"مكرر","فريد")</f>
        <v>فريد</v>
      </c>
      <c r="Q739" s="19" t="str">
        <f aca="false">IF(COUNTBLANK(D739:L739)&gt;0,"نعم","لا")</f>
        <v>لا</v>
      </c>
    </row>
    <row r="740" customFormat="false" ht="15" hidden="false" customHeight="false" outlineLevel="0" collapsed="false">
      <c r="A740" s="19" t="n">
        <v>739</v>
      </c>
      <c r="B740" s="30" t="s">
        <v>505</v>
      </c>
      <c r="C740" s="44" t="n">
        <v>45416</v>
      </c>
      <c r="D740" s="30" t="s">
        <v>1458</v>
      </c>
      <c r="E740" s="30" t="s">
        <v>109</v>
      </c>
      <c r="F740" s="30" t="s">
        <v>110</v>
      </c>
      <c r="G740" s="31" t="n">
        <v>149</v>
      </c>
      <c r="H740" s="19" t="n">
        <v>1</v>
      </c>
      <c r="I740" s="32" t="n">
        <v>0</v>
      </c>
      <c r="J740" s="30" t="s">
        <v>52</v>
      </c>
      <c r="K740" s="30" t="s">
        <v>47</v>
      </c>
      <c r="L740" s="30" t="s">
        <v>86</v>
      </c>
      <c r="M740" s="31" t="n">
        <f aca="false">AVERAGEIF($E$2:$E$1197,E740,$G$2:$G$1197)</f>
        <v>186.056291390729</v>
      </c>
      <c r="N740" s="19" t="str">
        <f aca="false">IF(G740&gt;M740*3,"نعم","لا")</f>
        <v>لا</v>
      </c>
      <c r="O740" s="19" t="str">
        <f aca="false">IF(OR(C740="",ISNUMBER(C740)),"لا","نعم")</f>
        <v>لا</v>
      </c>
      <c r="P740" s="19" t="str">
        <f aca="false">IF(COUNTIF($B$2:B740,B740)&gt;1,"مكرر","فريد")</f>
        <v>فريد</v>
      </c>
      <c r="Q740" s="19" t="str">
        <f aca="false">IF(COUNTBLANK(D740:L740)&gt;0,"نعم","لا")</f>
        <v>لا</v>
      </c>
    </row>
    <row r="741" customFormat="false" ht="15" hidden="false" customHeight="false" outlineLevel="0" collapsed="false">
      <c r="A741" s="19" t="n">
        <v>740</v>
      </c>
      <c r="B741" s="30" t="s">
        <v>594</v>
      </c>
      <c r="C741" s="44" t="n">
        <v>45449</v>
      </c>
      <c r="D741" s="30" t="s">
        <v>46</v>
      </c>
      <c r="E741" s="30" t="s">
        <v>107</v>
      </c>
      <c r="F741" s="30" t="s">
        <v>184</v>
      </c>
      <c r="G741" s="31" t="n">
        <v>5899</v>
      </c>
      <c r="H741" s="19" t="n">
        <v>1</v>
      </c>
      <c r="I741" s="32" t="n">
        <v>0</v>
      </c>
      <c r="J741" s="30" t="s">
        <v>52</v>
      </c>
      <c r="K741" s="30" t="s">
        <v>47</v>
      </c>
      <c r="L741" s="30" t="s">
        <v>81</v>
      </c>
      <c r="M741" s="31" t="n">
        <f aca="false">AVERAGEIF($E$2:$E$1197,E741,$G$2:$G$1197)</f>
        <v>4981.14563106796</v>
      </c>
      <c r="N741" s="19" t="str">
        <f aca="false">IF(G741&gt;M741*3,"نعم","لا")</f>
        <v>لا</v>
      </c>
      <c r="O741" s="19" t="str">
        <f aca="false">IF(OR(C741="",ISNUMBER(C741)),"لا","نعم")</f>
        <v>لا</v>
      </c>
      <c r="P741" s="19" t="str">
        <f aca="false">IF(COUNTIF($B$2:B741,B741)&gt;1,"مكرر","فريد")</f>
        <v>فريد</v>
      </c>
      <c r="Q741" s="19" t="str">
        <f aca="false">IF(COUNTBLANK(D741:L741)&gt;0,"نعم","لا")</f>
        <v>لا</v>
      </c>
    </row>
    <row r="742" customFormat="false" ht="15" hidden="false" customHeight="false" outlineLevel="0" collapsed="false">
      <c r="A742" s="19" t="n">
        <v>741</v>
      </c>
      <c r="B742" s="30" t="s">
        <v>745</v>
      </c>
      <c r="C742" s="44" t="n">
        <v>45500</v>
      </c>
      <c r="D742" s="30" t="s">
        <v>54</v>
      </c>
      <c r="E742" s="30" t="s">
        <v>107</v>
      </c>
      <c r="F742" s="30" t="s">
        <v>114</v>
      </c>
      <c r="G742" s="31" t="n">
        <v>6969</v>
      </c>
      <c r="H742" s="19" t="n">
        <v>1</v>
      </c>
      <c r="I742" s="32" t="n">
        <v>0</v>
      </c>
      <c r="J742" s="30" t="s">
        <v>55</v>
      </c>
      <c r="K742" s="30" t="s">
        <v>47</v>
      </c>
      <c r="L742" s="30" t="s">
        <v>92</v>
      </c>
      <c r="M742" s="31" t="n">
        <f aca="false">AVERAGEIF($E$2:$E$1197,E742,$G$2:$G$1197)</f>
        <v>4981.14563106796</v>
      </c>
      <c r="N742" s="19" t="str">
        <f aca="false">IF(G742&gt;M742*3,"نعم","لا")</f>
        <v>لا</v>
      </c>
      <c r="O742" s="19" t="str">
        <f aca="false">IF(OR(C742="",ISNUMBER(C742)),"لا","نعم")</f>
        <v>لا</v>
      </c>
      <c r="P742" s="19" t="str">
        <f aca="false">IF(COUNTIF($B$2:B742,B742)&gt;1,"مكرر","فريد")</f>
        <v>مكرر</v>
      </c>
      <c r="Q742" s="19" t="str">
        <f aca="false">IF(COUNTBLANK(D742:L742)&gt;0,"نعم","لا")</f>
        <v>لا</v>
      </c>
    </row>
    <row r="743" customFormat="false" ht="15" hidden="false" customHeight="false" outlineLevel="0" collapsed="false">
      <c r="A743" s="19" t="n">
        <v>742</v>
      </c>
      <c r="B743" s="30" t="s">
        <v>383</v>
      </c>
      <c r="C743" s="44" t="n">
        <v>45371</v>
      </c>
      <c r="D743" s="30" t="s">
        <v>50</v>
      </c>
      <c r="E743" s="30" t="s">
        <v>107</v>
      </c>
      <c r="F743" s="30" t="s">
        <v>184</v>
      </c>
      <c r="G743" s="31" t="n">
        <v>1849</v>
      </c>
      <c r="H743" s="19" t="n">
        <v>1</v>
      </c>
      <c r="I743" s="32" t="n">
        <v>0.15</v>
      </c>
      <c r="J743" s="30" t="s">
        <v>55</v>
      </c>
      <c r="K743" s="30" t="s">
        <v>51</v>
      </c>
      <c r="L743" s="30" t="s">
        <v>78</v>
      </c>
      <c r="M743" s="31" t="n">
        <f aca="false">AVERAGEIF($E$2:$E$1197,E743,$G$2:$G$1197)</f>
        <v>4981.14563106796</v>
      </c>
      <c r="N743" s="19" t="str">
        <f aca="false">IF(G743&gt;M743*3,"نعم","لا")</f>
        <v>لا</v>
      </c>
      <c r="O743" s="19" t="str">
        <f aca="false">IF(OR(C743="",ISNUMBER(C743)),"لا","نعم")</f>
        <v>لا</v>
      </c>
      <c r="P743" s="19" t="str">
        <f aca="false">IF(COUNTIF($B$2:B743,B743)&gt;1,"مكرر","فريد")</f>
        <v>فريد</v>
      </c>
      <c r="Q743" s="19" t="str">
        <f aca="false">IF(COUNTBLANK(D743:L743)&gt;0,"نعم","لا")</f>
        <v>لا</v>
      </c>
    </row>
    <row r="744" customFormat="false" ht="15" hidden="false" customHeight="false" outlineLevel="0" collapsed="false">
      <c r="A744" s="19" t="n">
        <v>743</v>
      </c>
      <c r="B744" s="30" t="s">
        <v>372</v>
      </c>
      <c r="C744" s="30" t="s">
        <v>1459</v>
      </c>
      <c r="D744" s="30" t="s">
        <v>57</v>
      </c>
      <c r="E744" s="30" t="s">
        <v>109</v>
      </c>
      <c r="F744" s="30" t="s">
        <v>175</v>
      </c>
      <c r="G744" s="31" t="n">
        <v>199</v>
      </c>
      <c r="H744" s="19" t="n">
        <v>3</v>
      </c>
      <c r="I744" s="32" t="n">
        <v>0</v>
      </c>
      <c r="J744" s="30" t="s">
        <v>48</v>
      </c>
      <c r="K744" s="30" t="s">
        <v>47</v>
      </c>
      <c r="L744" s="30" t="s">
        <v>94</v>
      </c>
      <c r="M744" s="31" t="n">
        <f aca="false">AVERAGEIF($E$2:$E$1197,E744,$G$2:$G$1197)</f>
        <v>186.056291390729</v>
      </c>
      <c r="N744" s="19" t="str">
        <f aca="false">IF(G744&gt;M744*3,"نعم","لا")</f>
        <v>لا</v>
      </c>
      <c r="O744" s="19" t="str">
        <f aca="false">IF(OR(C744="",ISNUMBER(C744)),"لا","نعم")</f>
        <v>نعم</v>
      </c>
      <c r="P744" s="19" t="str">
        <f aca="false">IF(COUNTIF($B$2:B744,B744)&gt;1,"مكرر","فريد")</f>
        <v>فريد</v>
      </c>
      <c r="Q744" s="19" t="str">
        <f aca="false">IF(COUNTBLANK(D744:L744)&gt;0,"نعم","لا")</f>
        <v>لا</v>
      </c>
    </row>
    <row r="745" customFormat="false" ht="15" hidden="false" customHeight="false" outlineLevel="0" collapsed="false">
      <c r="A745" s="19" t="n">
        <v>744</v>
      </c>
      <c r="B745" s="30" t="s">
        <v>1043</v>
      </c>
      <c r="C745" s="30" t="s">
        <v>1460</v>
      </c>
      <c r="D745" s="30" t="s">
        <v>46</v>
      </c>
      <c r="E745" s="30" t="s">
        <v>109</v>
      </c>
      <c r="F745" s="30" t="s">
        <v>93</v>
      </c>
      <c r="G745" s="31" t="n">
        <v>69</v>
      </c>
      <c r="H745" s="19" t="n">
        <v>2</v>
      </c>
      <c r="I745" s="32" t="n">
        <v>0</v>
      </c>
      <c r="J745" s="30" t="s">
        <v>55</v>
      </c>
      <c r="K745" s="30" t="s">
        <v>47</v>
      </c>
      <c r="L745" s="30" t="s">
        <v>78</v>
      </c>
      <c r="M745" s="31" t="n">
        <f aca="false">AVERAGEIF($E$2:$E$1197,E745,$G$2:$G$1197)</f>
        <v>186.056291390729</v>
      </c>
      <c r="N745" s="19" t="str">
        <f aca="false">IF(G745&gt;M745*3,"نعم","لا")</f>
        <v>لا</v>
      </c>
      <c r="O745" s="19" t="str">
        <f aca="false">IF(OR(C745="",ISNUMBER(C745)),"لا","نعم")</f>
        <v>نعم</v>
      </c>
      <c r="P745" s="19" t="str">
        <f aca="false">IF(COUNTIF($B$2:B745,B745)&gt;1,"مكرر","فريد")</f>
        <v>فريد</v>
      </c>
      <c r="Q745" s="19" t="str">
        <f aca="false">IF(COUNTBLANK(D745:L745)&gt;0,"نعم","لا")</f>
        <v>لا</v>
      </c>
    </row>
    <row r="746" customFormat="false" ht="15" hidden="false" customHeight="false" outlineLevel="0" collapsed="false">
      <c r="A746" s="19" t="n">
        <v>745</v>
      </c>
      <c r="B746" s="30" t="s">
        <v>265</v>
      </c>
      <c r="C746" s="44" t="n">
        <v>45328</v>
      </c>
      <c r="D746" s="30" t="s">
        <v>60</v>
      </c>
      <c r="E746" s="30" t="s">
        <v>109</v>
      </c>
      <c r="F746" s="30" t="s">
        <v>93</v>
      </c>
      <c r="G746" s="31" t="n">
        <v>219</v>
      </c>
      <c r="H746" s="19" t="n">
        <v>2</v>
      </c>
      <c r="I746" s="32" t="n">
        <v>0</v>
      </c>
      <c r="J746" s="30" t="s">
        <v>55</v>
      </c>
      <c r="K746" s="30" t="s">
        <v>47</v>
      </c>
      <c r="L746" s="30" t="s">
        <v>84</v>
      </c>
      <c r="M746" s="31" t="n">
        <f aca="false">AVERAGEIF($E$2:$E$1197,E746,$G$2:$G$1197)</f>
        <v>186.056291390729</v>
      </c>
      <c r="N746" s="19" t="str">
        <f aca="false">IF(G746&gt;M746*3,"نعم","لا")</f>
        <v>لا</v>
      </c>
      <c r="O746" s="19" t="str">
        <f aca="false">IF(OR(C746="",ISNUMBER(C746)),"لا","نعم")</f>
        <v>لا</v>
      </c>
      <c r="P746" s="19" t="str">
        <f aca="false">IF(COUNTIF($B$2:B746,B746)&gt;1,"مكرر","فريد")</f>
        <v>فريد</v>
      </c>
      <c r="Q746" s="19" t="str">
        <f aca="false">IF(COUNTBLANK(D746:L746)&gt;0,"نعم","لا")</f>
        <v>لا</v>
      </c>
    </row>
    <row r="747" customFormat="false" ht="15" hidden="false" customHeight="false" outlineLevel="0" collapsed="false">
      <c r="A747" s="19" t="n">
        <v>746</v>
      </c>
      <c r="B747" s="30" t="s">
        <v>938</v>
      </c>
      <c r="C747" s="44" t="n">
        <v>45561</v>
      </c>
      <c r="D747" s="30" t="s">
        <v>50</v>
      </c>
      <c r="E747" s="30" t="s">
        <v>105</v>
      </c>
      <c r="F747" s="30" t="s">
        <v>179</v>
      </c>
      <c r="G747" s="31" t="n">
        <v>1379</v>
      </c>
      <c r="H747" s="19" t="n">
        <v>1</v>
      </c>
      <c r="I747" s="32" t="n">
        <v>0.1</v>
      </c>
      <c r="J747" s="30" t="s">
        <v>52</v>
      </c>
      <c r="K747" s="30" t="s">
        <v>47</v>
      </c>
      <c r="L747" s="30" t="s">
        <v>94</v>
      </c>
      <c r="M747" s="31" t="n">
        <f aca="false">AVERAGEIF($E$2:$E$1197,E747,$G$2:$G$1197)</f>
        <v>2870.26771653543</v>
      </c>
      <c r="N747" s="19" t="str">
        <f aca="false">IF(G747&gt;M747*3,"نعم","لا")</f>
        <v>لا</v>
      </c>
      <c r="O747" s="19" t="str">
        <f aca="false">IF(OR(C747="",ISNUMBER(C747)),"لا","نعم")</f>
        <v>لا</v>
      </c>
      <c r="P747" s="19" t="str">
        <f aca="false">IF(COUNTIF($B$2:B747,B747)&gt;1,"مكرر","فريد")</f>
        <v>فريد</v>
      </c>
      <c r="Q747" s="19" t="str">
        <f aca="false">IF(COUNTBLANK(D747:L747)&gt;0,"نعم","لا")</f>
        <v>لا</v>
      </c>
    </row>
    <row r="748" customFormat="false" ht="15" hidden="false" customHeight="false" outlineLevel="0" collapsed="false">
      <c r="A748" s="19" t="n">
        <v>747</v>
      </c>
      <c r="B748" s="30" t="s">
        <v>237</v>
      </c>
      <c r="C748" s="44" t="n">
        <v>45316</v>
      </c>
      <c r="D748" s="30" t="s">
        <v>46</v>
      </c>
      <c r="E748" s="30" t="s">
        <v>105</v>
      </c>
      <c r="F748" s="30" t="s">
        <v>179</v>
      </c>
      <c r="G748" s="31" t="n">
        <v>1709</v>
      </c>
      <c r="H748" s="19" t="n">
        <v>2</v>
      </c>
      <c r="I748" s="32" t="n">
        <v>0</v>
      </c>
      <c r="J748" s="30" t="s">
        <v>55</v>
      </c>
      <c r="K748" s="30" t="s">
        <v>51</v>
      </c>
      <c r="L748" s="30" t="s">
        <v>99</v>
      </c>
      <c r="M748" s="31" t="n">
        <f aca="false">AVERAGEIF($E$2:$E$1197,E748,$G$2:$G$1197)</f>
        <v>2870.26771653543</v>
      </c>
      <c r="N748" s="19" t="str">
        <f aca="false">IF(G748&gt;M748*3,"نعم","لا")</f>
        <v>لا</v>
      </c>
      <c r="O748" s="19" t="str">
        <f aca="false">IF(OR(C748="",ISNUMBER(C748)),"لا","نعم")</f>
        <v>لا</v>
      </c>
      <c r="P748" s="19" t="str">
        <f aca="false">IF(COUNTIF($B$2:B748,B748)&gt;1,"مكرر","فريد")</f>
        <v>فريد</v>
      </c>
      <c r="Q748" s="19" t="str">
        <f aca="false">IF(COUNTBLANK(D748:L748)&gt;0,"نعم","لا")</f>
        <v>لا</v>
      </c>
    </row>
    <row r="749" customFormat="false" ht="15" hidden="false" customHeight="false" outlineLevel="0" collapsed="false">
      <c r="A749" s="19" t="n">
        <v>748</v>
      </c>
      <c r="B749" s="30" t="s">
        <v>1039</v>
      </c>
      <c r="C749" s="44" t="n">
        <v>45594</v>
      </c>
      <c r="D749" s="30" t="s">
        <v>57</v>
      </c>
      <c r="E749" s="30" t="s">
        <v>105</v>
      </c>
      <c r="F749" s="30" t="s">
        <v>85</v>
      </c>
      <c r="G749" s="31" t="n">
        <v>4209</v>
      </c>
      <c r="H749" s="19" t="n">
        <v>1</v>
      </c>
      <c r="I749" s="32" t="n">
        <v>0.05</v>
      </c>
      <c r="J749" s="30" t="s">
        <v>52</v>
      </c>
      <c r="K749" s="30" t="s">
        <v>47</v>
      </c>
      <c r="L749" s="30" t="s">
        <v>78</v>
      </c>
      <c r="M749" s="31" t="n">
        <f aca="false">AVERAGEIF($E$2:$E$1197,E749,$G$2:$G$1197)</f>
        <v>2870.26771653543</v>
      </c>
      <c r="N749" s="19" t="str">
        <f aca="false">IF(G749&gt;M749*3,"نعم","لا")</f>
        <v>لا</v>
      </c>
      <c r="O749" s="19" t="str">
        <f aca="false">IF(OR(C749="",ISNUMBER(C749)),"لا","نعم")</f>
        <v>لا</v>
      </c>
      <c r="P749" s="19" t="str">
        <f aca="false">IF(COUNTIF($B$2:B749,B749)&gt;1,"مكرر","فريد")</f>
        <v>فريد</v>
      </c>
      <c r="Q749" s="19" t="str">
        <f aca="false">IF(COUNTBLANK(D749:L749)&gt;0,"نعم","لا")</f>
        <v>لا</v>
      </c>
    </row>
    <row r="750" customFormat="false" ht="15" hidden="false" customHeight="false" outlineLevel="0" collapsed="false">
      <c r="A750" s="19" t="n">
        <v>749</v>
      </c>
      <c r="B750" s="30" t="s">
        <v>451</v>
      </c>
      <c r="C750" s="44" t="n">
        <v>45389</v>
      </c>
      <c r="D750" s="30" t="s">
        <v>50</v>
      </c>
      <c r="E750" s="30" t="s">
        <v>111</v>
      </c>
      <c r="F750" s="30" t="s">
        <v>120</v>
      </c>
      <c r="G750" s="31" t="n">
        <v>189</v>
      </c>
      <c r="H750" s="19" t="n">
        <v>1</v>
      </c>
      <c r="I750" s="32" t="n">
        <v>0</v>
      </c>
      <c r="J750" s="30" t="s">
        <v>55</v>
      </c>
      <c r="K750" s="30" t="s">
        <v>47</v>
      </c>
      <c r="L750" s="30" t="s">
        <v>94</v>
      </c>
      <c r="M750" s="31" t="n">
        <f aca="false">AVERAGEIF($E$2:$E$1197,E750,$G$2:$G$1197)</f>
        <v>366.306569343066</v>
      </c>
      <c r="N750" s="19" t="str">
        <f aca="false">IF(G750&gt;M750*3,"نعم","لا")</f>
        <v>لا</v>
      </c>
      <c r="O750" s="19" t="str">
        <f aca="false">IF(OR(C750="",ISNUMBER(C750)),"لا","نعم")</f>
        <v>لا</v>
      </c>
      <c r="P750" s="19" t="str">
        <f aca="false">IF(COUNTIF($B$2:B750,B750)&gt;1,"مكرر","فريد")</f>
        <v>فريد</v>
      </c>
      <c r="Q750" s="19" t="str">
        <f aca="false">IF(COUNTBLANK(D750:L750)&gt;0,"نعم","لا")</f>
        <v>لا</v>
      </c>
    </row>
    <row r="751" customFormat="false" ht="15" hidden="false" customHeight="false" outlineLevel="0" collapsed="false">
      <c r="A751" s="19" t="n">
        <v>750</v>
      </c>
      <c r="B751" s="30" t="s">
        <v>847</v>
      </c>
      <c r="C751" s="44" t="n">
        <v>45529</v>
      </c>
      <c r="D751" s="30" t="s">
        <v>60</v>
      </c>
      <c r="E751" s="30" t="s">
        <v>109</v>
      </c>
      <c r="F751" s="30" t="s">
        <v>1461</v>
      </c>
      <c r="G751" s="31" t="n">
        <v>49</v>
      </c>
      <c r="H751" s="19" t="n">
        <v>1</v>
      </c>
      <c r="I751" s="32" t="n">
        <v>0</v>
      </c>
      <c r="J751" s="30" t="s">
        <v>55</v>
      </c>
      <c r="K751" s="30" t="s">
        <v>47</v>
      </c>
      <c r="L751" s="30" t="s">
        <v>92</v>
      </c>
      <c r="M751" s="31" t="n">
        <f aca="false">AVERAGEIF($E$2:$E$1197,E751,$G$2:$G$1197)</f>
        <v>186.056291390729</v>
      </c>
      <c r="N751" s="19" t="str">
        <f aca="false">IF(G751&gt;M751*3,"نعم","لا")</f>
        <v>لا</v>
      </c>
      <c r="O751" s="19" t="str">
        <f aca="false">IF(OR(C751="",ISNUMBER(C751)),"لا","نعم")</f>
        <v>لا</v>
      </c>
      <c r="P751" s="19" t="str">
        <f aca="false">IF(COUNTIF($B$2:B751,B751)&gt;1,"مكرر","فريد")</f>
        <v>فريد</v>
      </c>
      <c r="Q751" s="19" t="str">
        <f aca="false">IF(COUNTBLANK(D751:L751)&gt;0,"نعم","لا")</f>
        <v>لا</v>
      </c>
    </row>
    <row r="752" customFormat="false" ht="15" hidden="false" customHeight="false" outlineLevel="0" collapsed="false">
      <c r="A752" s="19" t="n">
        <v>751</v>
      </c>
      <c r="B752" s="30" t="s">
        <v>255</v>
      </c>
      <c r="C752" s="44" t="n">
        <v>45324</v>
      </c>
      <c r="D752" s="30" t="s">
        <v>46</v>
      </c>
      <c r="E752" s="30" t="s">
        <v>109</v>
      </c>
      <c r="F752" s="30" t="s">
        <v>175</v>
      </c>
      <c r="G752" s="31" t="n">
        <v>309</v>
      </c>
      <c r="H752" s="19" t="n">
        <v>1</v>
      </c>
      <c r="I752" s="32" t="n">
        <v>0</v>
      </c>
      <c r="J752" s="30" t="s">
        <v>55</v>
      </c>
      <c r="K752" s="30" t="s">
        <v>47</v>
      </c>
      <c r="L752" s="30" t="s">
        <v>81</v>
      </c>
      <c r="M752" s="31" t="n">
        <f aca="false">AVERAGEIF($E$2:$E$1197,E752,$G$2:$G$1197)</f>
        <v>186.056291390729</v>
      </c>
      <c r="N752" s="19" t="str">
        <f aca="false">IF(G752&gt;M752*3,"نعم","لا")</f>
        <v>لا</v>
      </c>
      <c r="O752" s="19" t="str">
        <f aca="false">IF(OR(C752="",ISNUMBER(C752)),"لا","نعم")</f>
        <v>لا</v>
      </c>
      <c r="P752" s="19" t="str">
        <f aca="false">IF(COUNTIF($B$2:B752,B752)&gt;1,"مكرر","فريد")</f>
        <v>فريد</v>
      </c>
      <c r="Q752" s="19" t="str">
        <f aca="false">IF(COUNTBLANK(D752:L752)&gt;0,"نعم","لا")</f>
        <v>لا</v>
      </c>
    </row>
    <row r="753" customFormat="false" ht="15" hidden="false" customHeight="false" outlineLevel="0" collapsed="false">
      <c r="A753" s="19" t="n">
        <v>752</v>
      </c>
      <c r="B753" s="30" t="s">
        <v>595</v>
      </c>
      <c r="C753" s="44" t="n">
        <v>45450</v>
      </c>
      <c r="D753" s="30" t="s">
        <v>60</v>
      </c>
      <c r="E753" s="30" t="s">
        <v>105</v>
      </c>
      <c r="F753" s="30" t="s">
        <v>85</v>
      </c>
      <c r="G753" s="31" t="n">
        <v>2679</v>
      </c>
      <c r="H753" s="19" t="n">
        <v>1</v>
      </c>
      <c r="I753" s="32" t="n">
        <v>0.1</v>
      </c>
      <c r="J753" s="30" t="s">
        <v>48</v>
      </c>
      <c r="K753" s="30" t="s">
        <v>47</v>
      </c>
      <c r="L753" s="30" t="s">
        <v>78</v>
      </c>
      <c r="M753" s="31" t="n">
        <f aca="false">AVERAGEIF($E$2:$E$1197,E753,$G$2:$G$1197)</f>
        <v>2870.26771653543</v>
      </c>
      <c r="N753" s="19" t="str">
        <f aca="false">IF(G753&gt;M753*3,"نعم","لا")</f>
        <v>لا</v>
      </c>
      <c r="O753" s="19" t="str">
        <f aca="false">IF(OR(C753="",ISNUMBER(C753)),"لا","نعم")</f>
        <v>لا</v>
      </c>
      <c r="P753" s="19" t="str">
        <f aca="false">IF(COUNTIF($B$2:B753,B753)&gt;1,"مكرر","فريد")</f>
        <v>فريد</v>
      </c>
      <c r="Q753" s="19" t="str">
        <f aca="false">IF(COUNTBLANK(D753:L753)&gt;0,"نعم","لا")</f>
        <v>لا</v>
      </c>
    </row>
    <row r="754" customFormat="false" ht="15" hidden="false" customHeight="false" outlineLevel="0" collapsed="false">
      <c r="A754" s="19" t="n">
        <v>753</v>
      </c>
      <c r="B754" s="30" t="s">
        <v>941</v>
      </c>
      <c r="C754" s="30" t="s">
        <v>1462</v>
      </c>
      <c r="D754" s="30" t="s">
        <v>50</v>
      </c>
      <c r="E754" s="30" t="s">
        <v>111</v>
      </c>
      <c r="F754" s="30" t="s">
        <v>122</v>
      </c>
      <c r="G754" s="31" t="n">
        <v>459</v>
      </c>
      <c r="H754" s="19" t="n">
        <v>1</v>
      </c>
      <c r="I754" s="32"/>
      <c r="J754" s="30" t="s">
        <v>48</v>
      </c>
      <c r="K754" s="30" t="s">
        <v>47</v>
      </c>
      <c r="L754" s="30" t="s">
        <v>99</v>
      </c>
      <c r="M754" s="31" t="n">
        <f aca="false">AVERAGEIF($E$2:$E$1197,E754,$G$2:$G$1197)</f>
        <v>366.306569343066</v>
      </c>
      <c r="N754" s="19" t="str">
        <f aca="false">IF(G754&gt;M754*3,"نعم","لا")</f>
        <v>لا</v>
      </c>
      <c r="O754" s="19" t="str">
        <f aca="false">IF(OR(C754="",ISNUMBER(C754)),"لا","نعم")</f>
        <v>نعم</v>
      </c>
      <c r="P754" s="19" t="str">
        <f aca="false">IF(COUNTIF($B$2:B754,B754)&gt;1,"مكرر","فريد")</f>
        <v>فريد</v>
      </c>
      <c r="Q754" s="19" t="str">
        <f aca="false">IF(COUNTBLANK(D754:L754)&gt;0,"نعم","لا")</f>
        <v>نعم</v>
      </c>
    </row>
    <row r="755" customFormat="false" ht="15" hidden="false" customHeight="false" outlineLevel="0" collapsed="false">
      <c r="A755" s="19" t="n">
        <v>754</v>
      </c>
      <c r="B755" s="30" t="s">
        <v>323</v>
      </c>
      <c r="C755" s="44" t="n">
        <v>45351</v>
      </c>
      <c r="D755" s="30" t="s">
        <v>60</v>
      </c>
      <c r="E755" s="30" t="s">
        <v>113</v>
      </c>
      <c r="F755" s="30" t="s">
        <v>121</v>
      </c>
      <c r="G755" s="31" t="n">
        <v>199</v>
      </c>
      <c r="H755" s="19" t="n">
        <v>1</v>
      </c>
      <c r="I755" s="32" t="n">
        <v>0</v>
      </c>
      <c r="J755" s="30" t="s">
        <v>55</v>
      </c>
      <c r="K755" s="30" t="s">
        <v>47</v>
      </c>
      <c r="L755" s="30" t="s">
        <v>99</v>
      </c>
      <c r="M755" s="31" t="n">
        <f aca="false">AVERAGEIF($E$2:$E$1197,E755,$G$2:$G$1197)</f>
        <v>545.358823529412</v>
      </c>
      <c r="N755" s="19" t="str">
        <f aca="false">IF(G755&gt;M755*3,"نعم","لا")</f>
        <v>لا</v>
      </c>
      <c r="O755" s="19" t="str">
        <f aca="false">IF(OR(C755="",ISNUMBER(C755)),"لا","نعم")</f>
        <v>لا</v>
      </c>
      <c r="P755" s="19" t="str">
        <f aca="false">IF(COUNTIF($B$2:B755,B755)&gt;1,"مكرر","فريد")</f>
        <v>فريد</v>
      </c>
      <c r="Q755" s="19" t="str">
        <f aca="false">IF(COUNTBLANK(D755:L755)&gt;0,"نعم","لا")</f>
        <v>لا</v>
      </c>
    </row>
    <row r="756" customFormat="false" ht="15" hidden="false" customHeight="false" outlineLevel="0" collapsed="false">
      <c r="A756" s="19" t="n">
        <v>755</v>
      </c>
      <c r="B756" s="30" t="s">
        <v>243</v>
      </c>
      <c r="C756" s="44" t="n">
        <v>45320</v>
      </c>
      <c r="D756" s="30" t="s">
        <v>57</v>
      </c>
      <c r="E756" s="30" t="s">
        <v>109</v>
      </c>
      <c r="F756" s="30" t="s">
        <v>192</v>
      </c>
      <c r="G756" s="31" t="n">
        <v>239</v>
      </c>
      <c r="H756" s="19" t="n">
        <v>1</v>
      </c>
      <c r="I756" s="32" t="n">
        <v>0.2</v>
      </c>
      <c r="J756" s="30" t="s">
        <v>58</v>
      </c>
      <c r="K756" s="30" t="s">
        <v>47</v>
      </c>
      <c r="L756" s="30" t="s">
        <v>99</v>
      </c>
      <c r="M756" s="31" t="n">
        <f aca="false">AVERAGEIF($E$2:$E$1197,E756,$G$2:$G$1197)</f>
        <v>186.056291390729</v>
      </c>
      <c r="N756" s="19" t="str">
        <f aca="false">IF(G756&gt;M756*3,"نعم","لا")</f>
        <v>لا</v>
      </c>
      <c r="O756" s="19" t="str">
        <f aca="false">IF(OR(C756="",ISNUMBER(C756)),"لا","نعم")</f>
        <v>لا</v>
      </c>
      <c r="P756" s="19" t="str">
        <f aca="false">IF(COUNTIF($B$2:B756,B756)&gt;1,"مكرر","فريد")</f>
        <v>فريد</v>
      </c>
      <c r="Q756" s="19" t="str">
        <f aca="false">IF(COUNTBLANK(D756:L756)&gt;0,"نعم","لا")</f>
        <v>لا</v>
      </c>
    </row>
    <row r="757" customFormat="false" ht="15" hidden="false" customHeight="false" outlineLevel="0" collapsed="false">
      <c r="A757" s="19" t="n">
        <v>756</v>
      </c>
      <c r="B757" s="30" t="s">
        <v>1224</v>
      </c>
      <c r="C757" s="44" t="n">
        <v>45637</v>
      </c>
      <c r="D757" s="30" t="s">
        <v>50</v>
      </c>
      <c r="E757" s="30" t="s">
        <v>105</v>
      </c>
      <c r="F757" s="30" t="s">
        <v>85</v>
      </c>
      <c r="G757" s="31" t="n">
        <v>3079</v>
      </c>
      <c r="H757" s="19" t="n">
        <v>2</v>
      </c>
      <c r="I757" s="32" t="n">
        <v>0.05</v>
      </c>
      <c r="J757" s="30" t="s">
        <v>48</v>
      </c>
      <c r="K757" s="30" t="s">
        <v>47</v>
      </c>
      <c r="L757" s="30" t="s">
        <v>99</v>
      </c>
      <c r="M757" s="31" t="n">
        <f aca="false">AVERAGEIF($E$2:$E$1197,E757,$G$2:$G$1197)</f>
        <v>2870.26771653543</v>
      </c>
      <c r="N757" s="19" t="str">
        <f aca="false">IF(G757&gt;M757*3,"نعم","لا")</f>
        <v>لا</v>
      </c>
      <c r="O757" s="19" t="str">
        <f aca="false">IF(OR(C757="",ISNUMBER(C757)),"لا","نعم")</f>
        <v>لا</v>
      </c>
      <c r="P757" s="19" t="str">
        <f aca="false">IF(COUNTIF($B$2:B757,B757)&gt;1,"مكرر","فريد")</f>
        <v>فريد</v>
      </c>
      <c r="Q757" s="19" t="str">
        <f aca="false">IF(COUNTBLANK(D757:L757)&gt;0,"نعم","لا")</f>
        <v>لا</v>
      </c>
    </row>
    <row r="758" customFormat="false" ht="15" hidden="false" customHeight="false" outlineLevel="0" collapsed="false">
      <c r="A758" s="19" t="n">
        <v>757</v>
      </c>
      <c r="B758" s="30" t="s">
        <v>734</v>
      </c>
      <c r="C758" s="44" t="n">
        <v>45497</v>
      </c>
      <c r="D758" s="30" t="s">
        <v>46</v>
      </c>
      <c r="E758" s="30" t="s">
        <v>113</v>
      </c>
      <c r="F758" s="30" t="s">
        <v>100</v>
      </c>
      <c r="G758" s="31" t="n">
        <v>699</v>
      </c>
      <c r="H758" s="19" t="n">
        <v>2</v>
      </c>
      <c r="I758" s="32" t="n">
        <v>0</v>
      </c>
      <c r="J758" s="30" t="s">
        <v>1343</v>
      </c>
      <c r="K758" s="30" t="s">
        <v>47</v>
      </c>
      <c r="L758" s="30" t="s">
        <v>89</v>
      </c>
      <c r="M758" s="31" t="n">
        <f aca="false">AVERAGEIF($E$2:$E$1197,E758,$G$2:$G$1197)</f>
        <v>545.358823529412</v>
      </c>
      <c r="N758" s="19" t="str">
        <f aca="false">IF(G758&gt;M758*3,"نعم","لا")</f>
        <v>لا</v>
      </c>
      <c r="O758" s="19" t="str">
        <f aca="false">IF(OR(C758="",ISNUMBER(C758)),"لا","نعم")</f>
        <v>لا</v>
      </c>
      <c r="P758" s="19" t="str">
        <f aca="false">IF(COUNTIF($B$2:B758,B758)&gt;1,"مكرر","فريد")</f>
        <v>فريد</v>
      </c>
      <c r="Q758" s="19" t="str">
        <f aca="false">IF(COUNTBLANK(D758:L758)&gt;0,"نعم","لا")</f>
        <v>لا</v>
      </c>
    </row>
    <row r="759" customFormat="false" ht="15" hidden="false" customHeight="false" outlineLevel="0" collapsed="false">
      <c r="A759" s="19" t="n">
        <v>758</v>
      </c>
      <c r="B759" s="30" t="s">
        <v>607</v>
      </c>
      <c r="C759" s="44" t="n">
        <v>45454</v>
      </c>
      <c r="D759" s="30" t="s">
        <v>57</v>
      </c>
      <c r="E759" s="30" t="s">
        <v>107</v>
      </c>
      <c r="F759" s="30" t="s">
        <v>115</v>
      </c>
      <c r="G759" s="31" t="n">
        <v>5529</v>
      </c>
      <c r="H759" s="19" t="n">
        <v>1</v>
      </c>
      <c r="I759" s="32" t="n">
        <v>0</v>
      </c>
      <c r="J759" s="30" t="s">
        <v>52</v>
      </c>
      <c r="K759" s="30" t="s">
        <v>47</v>
      </c>
      <c r="L759" s="30" t="s">
        <v>94</v>
      </c>
      <c r="M759" s="31" t="n">
        <f aca="false">AVERAGEIF($E$2:$E$1197,E759,$G$2:$G$1197)</f>
        <v>4981.14563106796</v>
      </c>
      <c r="N759" s="19" t="str">
        <f aca="false">IF(G759&gt;M759*3,"نعم","لا")</f>
        <v>لا</v>
      </c>
      <c r="O759" s="19" t="str">
        <f aca="false">IF(OR(C759="",ISNUMBER(C759)),"لا","نعم")</f>
        <v>لا</v>
      </c>
      <c r="P759" s="19" t="str">
        <f aca="false">IF(COUNTIF($B$2:B759,B759)&gt;1,"مكرر","فريد")</f>
        <v>فريد</v>
      </c>
      <c r="Q759" s="19" t="str">
        <f aca="false">IF(COUNTBLANK(D759:L759)&gt;0,"نعم","لا")</f>
        <v>لا</v>
      </c>
    </row>
    <row r="760" customFormat="false" ht="15" hidden="false" customHeight="false" outlineLevel="0" collapsed="false">
      <c r="A760" s="19" t="n">
        <v>759</v>
      </c>
      <c r="B760" s="30" t="s">
        <v>854</v>
      </c>
      <c r="C760" s="44" t="n">
        <v>45531</v>
      </c>
      <c r="D760" s="30" t="s">
        <v>50</v>
      </c>
      <c r="E760" s="30" t="s">
        <v>113</v>
      </c>
      <c r="F760" s="30" t="s">
        <v>97</v>
      </c>
      <c r="G760" s="31" t="n">
        <v>719</v>
      </c>
      <c r="H760" s="19" t="n">
        <v>1</v>
      </c>
      <c r="I760" s="32" t="n">
        <v>0</v>
      </c>
      <c r="J760" s="30" t="s">
        <v>55</v>
      </c>
      <c r="K760" s="30" t="s">
        <v>47</v>
      </c>
      <c r="L760" s="30" t="s">
        <v>86</v>
      </c>
      <c r="M760" s="31" t="n">
        <f aca="false">AVERAGEIF($E$2:$E$1197,E760,$G$2:$G$1197)</f>
        <v>545.358823529412</v>
      </c>
      <c r="N760" s="19" t="str">
        <f aca="false">IF(G760&gt;M760*3,"نعم","لا")</f>
        <v>لا</v>
      </c>
      <c r="O760" s="19" t="str">
        <f aca="false">IF(OR(C760="",ISNUMBER(C760)),"لا","نعم")</f>
        <v>لا</v>
      </c>
      <c r="P760" s="19" t="str">
        <f aca="false">IF(COUNTIF($B$2:B760,B760)&gt;1,"مكرر","فريد")</f>
        <v>فريد</v>
      </c>
      <c r="Q760" s="19" t="str">
        <f aca="false">IF(COUNTBLANK(D760:L760)&gt;0,"نعم","لا")</f>
        <v>لا</v>
      </c>
    </row>
    <row r="761" customFormat="false" ht="15" hidden="false" customHeight="false" outlineLevel="0" collapsed="false">
      <c r="A761" s="19" t="n">
        <v>760</v>
      </c>
      <c r="B761" s="30" t="s">
        <v>357</v>
      </c>
      <c r="C761" s="44" t="n">
        <v>45363</v>
      </c>
      <c r="D761" s="30" t="s">
        <v>50</v>
      </c>
      <c r="E761" s="30" t="s">
        <v>105</v>
      </c>
      <c r="F761" s="30" t="s">
        <v>79</v>
      </c>
      <c r="G761" s="31" t="n">
        <v>3129</v>
      </c>
      <c r="H761" s="19" t="n">
        <v>1</v>
      </c>
      <c r="I761" s="32" t="n">
        <v>0</v>
      </c>
      <c r="J761" s="30" t="s">
        <v>48</v>
      </c>
      <c r="K761" s="30" t="s">
        <v>47</v>
      </c>
      <c r="L761" s="30" t="s">
        <v>86</v>
      </c>
      <c r="M761" s="31" t="n">
        <f aca="false">AVERAGEIF($E$2:$E$1197,E761,$G$2:$G$1197)</f>
        <v>2870.26771653543</v>
      </c>
      <c r="N761" s="19" t="str">
        <f aca="false">IF(G761&gt;M761*3,"نعم","لا")</f>
        <v>لا</v>
      </c>
      <c r="O761" s="19" t="str">
        <f aca="false">IF(OR(C761="",ISNUMBER(C761)),"لا","نعم")</f>
        <v>لا</v>
      </c>
      <c r="P761" s="19" t="str">
        <f aca="false">IF(COUNTIF($B$2:B761,B761)&gt;1,"مكرر","فريد")</f>
        <v>فريد</v>
      </c>
      <c r="Q761" s="19" t="str">
        <f aca="false">IF(COUNTBLANK(D761:L761)&gt;0,"نعم","لا")</f>
        <v>لا</v>
      </c>
    </row>
    <row r="762" customFormat="false" ht="15" hidden="false" customHeight="false" outlineLevel="0" collapsed="false">
      <c r="A762" s="19" t="n">
        <v>761</v>
      </c>
      <c r="B762" s="30" t="s">
        <v>439</v>
      </c>
      <c r="C762" s="44" t="n">
        <v>45387</v>
      </c>
      <c r="D762" s="30" t="s">
        <v>57</v>
      </c>
      <c r="E762" s="30" t="s">
        <v>111</v>
      </c>
      <c r="F762" s="30" t="s">
        <v>118</v>
      </c>
      <c r="G762" s="31" t="n">
        <v>249</v>
      </c>
      <c r="H762" s="19" t="n">
        <v>1</v>
      </c>
      <c r="I762" s="32" t="n">
        <v>0.2</v>
      </c>
      <c r="J762" s="30" t="s">
        <v>52</v>
      </c>
      <c r="K762" s="30" t="s">
        <v>47</v>
      </c>
      <c r="L762" s="30" t="s">
        <v>81</v>
      </c>
      <c r="M762" s="31" t="n">
        <f aca="false">AVERAGEIF($E$2:$E$1197,E762,$G$2:$G$1197)</f>
        <v>366.306569343066</v>
      </c>
      <c r="N762" s="19" t="str">
        <f aca="false">IF(G762&gt;M762*3,"نعم","لا")</f>
        <v>لا</v>
      </c>
      <c r="O762" s="19" t="str">
        <f aca="false">IF(OR(C762="",ISNUMBER(C762)),"لا","نعم")</f>
        <v>لا</v>
      </c>
      <c r="P762" s="19" t="str">
        <f aca="false">IF(COUNTIF($B$2:B762,B762)&gt;1,"مكرر","فريد")</f>
        <v>فريد</v>
      </c>
      <c r="Q762" s="19" t="str">
        <f aca="false">IF(COUNTBLANK(D762:L762)&gt;0,"نعم","لا")</f>
        <v>لا</v>
      </c>
    </row>
    <row r="763" customFormat="false" ht="15" hidden="false" customHeight="false" outlineLevel="0" collapsed="false">
      <c r="A763" s="19" t="n">
        <v>762</v>
      </c>
      <c r="B763" s="30" t="s">
        <v>403</v>
      </c>
      <c r="C763" s="44" t="n">
        <v>45377</v>
      </c>
      <c r="D763" s="30" t="s">
        <v>46</v>
      </c>
      <c r="E763" s="30" t="s">
        <v>107</v>
      </c>
      <c r="F763" s="30" t="s">
        <v>114</v>
      </c>
      <c r="G763" s="31" t="n">
        <v>3329</v>
      </c>
      <c r="H763" s="19" t="n">
        <v>1</v>
      </c>
      <c r="I763" s="32" t="n">
        <v>0</v>
      </c>
      <c r="J763" s="30" t="s">
        <v>58</v>
      </c>
      <c r="K763" s="30" t="s">
        <v>47</v>
      </c>
      <c r="L763" s="30" t="s">
        <v>92</v>
      </c>
      <c r="M763" s="31" t="n">
        <f aca="false">AVERAGEIF($E$2:$E$1197,E763,$G$2:$G$1197)</f>
        <v>4981.14563106796</v>
      </c>
      <c r="N763" s="19" t="str">
        <f aca="false">IF(G763&gt;M763*3,"نعم","لا")</f>
        <v>لا</v>
      </c>
      <c r="O763" s="19" t="str">
        <f aca="false">IF(OR(C763="",ISNUMBER(C763)),"لا","نعم")</f>
        <v>لا</v>
      </c>
      <c r="P763" s="19" t="str">
        <f aca="false">IF(COUNTIF($B$2:B763,B763)&gt;1,"مكرر","فريد")</f>
        <v>فريد</v>
      </c>
      <c r="Q763" s="19" t="str">
        <f aca="false">IF(COUNTBLANK(D763:L763)&gt;0,"نعم","لا")</f>
        <v>لا</v>
      </c>
    </row>
    <row r="764" customFormat="false" ht="15" hidden="false" customHeight="false" outlineLevel="0" collapsed="false">
      <c r="A764" s="19" t="n">
        <v>763</v>
      </c>
      <c r="B764" s="30" t="s">
        <v>649</v>
      </c>
      <c r="C764" s="44" t="n">
        <v>45467</v>
      </c>
      <c r="D764" s="30" t="s">
        <v>54</v>
      </c>
      <c r="E764" s="30" t="s">
        <v>105</v>
      </c>
      <c r="F764" s="30" t="s">
        <v>90</v>
      </c>
      <c r="G764" s="31" t="n">
        <v>2979</v>
      </c>
      <c r="H764" s="19" t="n">
        <v>1</v>
      </c>
      <c r="I764" s="32" t="n">
        <v>0</v>
      </c>
      <c r="J764" s="30" t="s">
        <v>55</v>
      </c>
      <c r="K764" s="30" t="s">
        <v>47</v>
      </c>
      <c r="L764" s="30" t="s">
        <v>86</v>
      </c>
      <c r="M764" s="31" t="n">
        <f aca="false">AVERAGEIF($E$2:$E$1197,E764,$G$2:$G$1197)</f>
        <v>2870.26771653543</v>
      </c>
      <c r="N764" s="19" t="str">
        <f aca="false">IF(G764&gt;M764*3,"نعم","لا")</f>
        <v>لا</v>
      </c>
      <c r="O764" s="19" t="str">
        <f aca="false">IF(OR(C764="",ISNUMBER(C764)),"لا","نعم")</f>
        <v>لا</v>
      </c>
      <c r="P764" s="19" t="str">
        <f aca="false">IF(COUNTIF($B$2:B764,B764)&gt;1,"مكرر","فريد")</f>
        <v>فريد</v>
      </c>
      <c r="Q764" s="19" t="str">
        <f aca="false">IF(COUNTBLANK(D764:L764)&gt;0,"نعم","لا")</f>
        <v>لا</v>
      </c>
    </row>
    <row r="765" customFormat="false" ht="15" hidden="false" customHeight="false" outlineLevel="0" collapsed="false">
      <c r="A765" s="19" t="n">
        <v>764</v>
      </c>
      <c r="B765" s="30" t="s">
        <v>957</v>
      </c>
      <c r="C765" s="44" t="n">
        <v>45567</v>
      </c>
      <c r="D765" s="30" t="s">
        <v>46</v>
      </c>
      <c r="E765" s="30" t="s">
        <v>111</v>
      </c>
      <c r="F765" s="30" t="s">
        <v>122</v>
      </c>
      <c r="G765" s="31" t="n">
        <v>389</v>
      </c>
      <c r="H765" s="19" t="n">
        <v>1</v>
      </c>
      <c r="I765" s="32" t="n">
        <v>0</v>
      </c>
      <c r="J765" s="30" t="s">
        <v>52</v>
      </c>
      <c r="K765" s="30" t="s">
        <v>51</v>
      </c>
      <c r="L765" s="30" t="s">
        <v>94</v>
      </c>
      <c r="M765" s="31" t="n">
        <f aca="false">AVERAGEIF($E$2:$E$1197,E765,$G$2:$G$1197)</f>
        <v>366.306569343066</v>
      </c>
      <c r="N765" s="19" t="str">
        <f aca="false">IF(G765&gt;M765*3,"نعم","لا")</f>
        <v>لا</v>
      </c>
      <c r="O765" s="19" t="str">
        <f aca="false">IF(OR(C765="",ISNUMBER(C765)),"لا","نعم")</f>
        <v>لا</v>
      </c>
      <c r="P765" s="19" t="str">
        <f aca="false">IF(COUNTIF($B$2:B765,B765)&gt;1,"مكرر","فريد")</f>
        <v>مكرر</v>
      </c>
      <c r="Q765" s="19" t="str">
        <f aca="false">IF(COUNTBLANK(D765:L765)&gt;0,"نعم","لا")</f>
        <v>لا</v>
      </c>
    </row>
    <row r="766" customFormat="false" ht="15" hidden="false" customHeight="false" outlineLevel="0" collapsed="false">
      <c r="A766" s="19" t="n">
        <v>765</v>
      </c>
      <c r="B766" s="30" t="s">
        <v>722</v>
      </c>
      <c r="C766" s="44" t="n">
        <v>45493</v>
      </c>
      <c r="D766" s="30" t="s">
        <v>54</v>
      </c>
      <c r="E766" s="30" t="s">
        <v>105</v>
      </c>
      <c r="F766" s="30" t="s">
        <v>79</v>
      </c>
      <c r="G766" s="31" t="n">
        <v>4029</v>
      </c>
      <c r="H766" s="19" t="n">
        <v>4</v>
      </c>
      <c r="I766" s="32" t="n">
        <v>0.05</v>
      </c>
      <c r="J766" s="30" t="s">
        <v>58</v>
      </c>
      <c r="K766" s="30" t="s">
        <v>51</v>
      </c>
      <c r="L766" s="30" t="s">
        <v>89</v>
      </c>
      <c r="M766" s="31" t="n">
        <f aca="false">AVERAGEIF($E$2:$E$1197,E766,$G$2:$G$1197)</f>
        <v>2870.26771653543</v>
      </c>
      <c r="N766" s="19" t="str">
        <f aca="false">IF(G766&gt;M766*3,"نعم","لا")</f>
        <v>لا</v>
      </c>
      <c r="O766" s="19" t="str">
        <f aca="false">IF(OR(C766="",ISNUMBER(C766)),"لا","نعم")</f>
        <v>لا</v>
      </c>
      <c r="P766" s="19" t="str">
        <f aca="false">IF(COUNTIF($B$2:B766,B766)&gt;1,"مكرر","فريد")</f>
        <v>فريد</v>
      </c>
      <c r="Q766" s="19" t="str">
        <f aca="false">IF(COUNTBLANK(D766:L766)&gt;0,"نعم","لا")</f>
        <v>لا</v>
      </c>
    </row>
    <row r="767" customFormat="false" ht="15" hidden="false" customHeight="false" outlineLevel="0" collapsed="false">
      <c r="A767" s="19" t="n">
        <v>766</v>
      </c>
      <c r="B767" s="30" t="s">
        <v>287</v>
      </c>
      <c r="C767" s="44" t="n">
        <v>45336</v>
      </c>
      <c r="D767" s="30" t="s">
        <v>46</v>
      </c>
      <c r="E767" s="30" t="s">
        <v>105</v>
      </c>
      <c r="F767" s="30" t="s">
        <v>90</v>
      </c>
      <c r="G767" s="31" t="n">
        <v>2399</v>
      </c>
      <c r="H767" s="19" t="n">
        <v>1</v>
      </c>
      <c r="I767" s="32" t="n">
        <v>0.05</v>
      </c>
      <c r="J767" s="30" t="s">
        <v>48</v>
      </c>
      <c r="K767" s="30" t="s">
        <v>51</v>
      </c>
      <c r="L767" s="30" t="s">
        <v>81</v>
      </c>
      <c r="M767" s="31" t="n">
        <f aca="false">AVERAGEIF($E$2:$E$1197,E767,$G$2:$G$1197)</f>
        <v>2870.26771653543</v>
      </c>
      <c r="N767" s="19" t="str">
        <f aca="false">IF(G767&gt;M767*3,"نعم","لا")</f>
        <v>لا</v>
      </c>
      <c r="O767" s="19" t="str">
        <f aca="false">IF(OR(C767="",ISNUMBER(C767)),"لا","نعم")</f>
        <v>لا</v>
      </c>
      <c r="P767" s="19" t="str">
        <f aca="false">IF(COUNTIF($B$2:B767,B767)&gt;1,"مكرر","فريد")</f>
        <v>فريد</v>
      </c>
      <c r="Q767" s="19" t="str">
        <f aca="false">IF(COUNTBLANK(D767:L767)&gt;0,"نعم","لا")</f>
        <v>لا</v>
      </c>
    </row>
    <row r="768" customFormat="false" ht="15" hidden="false" customHeight="false" outlineLevel="0" collapsed="false">
      <c r="A768" s="19" t="n">
        <v>767</v>
      </c>
      <c r="B768" s="30" t="s">
        <v>792</v>
      </c>
      <c r="C768" s="44" t="n">
        <v>45514</v>
      </c>
      <c r="D768" s="30" t="s">
        <v>50</v>
      </c>
      <c r="E768" s="30" t="s">
        <v>109</v>
      </c>
      <c r="F768" s="30" t="s">
        <v>192</v>
      </c>
      <c r="G768" s="31" t="n">
        <v>259</v>
      </c>
      <c r="H768" s="19" t="n">
        <v>1</v>
      </c>
      <c r="I768" s="32" t="n">
        <v>0.15</v>
      </c>
      <c r="J768" s="30" t="s">
        <v>48</v>
      </c>
      <c r="K768" s="30" t="s">
        <v>47</v>
      </c>
      <c r="L768" s="30" t="s">
        <v>84</v>
      </c>
      <c r="M768" s="31" t="n">
        <f aca="false">AVERAGEIF($E$2:$E$1197,E768,$G$2:$G$1197)</f>
        <v>186.056291390729</v>
      </c>
      <c r="N768" s="19" t="str">
        <f aca="false">IF(G768&gt;M768*3,"نعم","لا")</f>
        <v>لا</v>
      </c>
      <c r="O768" s="19" t="str">
        <f aca="false">IF(OR(C768="",ISNUMBER(C768)),"لا","نعم")</f>
        <v>لا</v>
      </c>
      <c r="P768" s="19" t="str">
        <f aca="false">IF(COUNTIF($B$2:B768,B768)&gt;1,"مكرر","فريد")</f>
        <v>فريد</v>
      </c>
      <c r="Q768" s="19" t="str">
        <f aca="false">IF(COUNTBLANK(D768:L768)&gt;0,"نعم","لا")</f>
        <v>لا</v>
      </c>
    </row>
    <row r="769" customFormat="false" ht="15" hidden="false" customHeight="false" outlineLevel="0" collapsed="false">
      <c r="A769" s="19" t="n">
        <v>768</v>
      </c>
      <c r="B769" s="30" t="s">
        <v>1216</v>
      </c>
      <c r="C769" s="44" t="n">
        <v>45636</v>
      </c>
      <c r="D769" s="30" t="s">
        <v>50</v>
      </c>
      <c r="E769" s="30" t="s">
        <v>109</v>
      </c>
      <c r="F769" s="30" t="s">
        <v>192</v>
      </c>
      <c r="G769" s="31" t="n">
        <v>119</v>
      </c>
      <c r="H769" s="19" t="n">
        <v>1</v>
      </c>
      <c r="I769" s="32" t="n">
        <v>0</v>
      </c>
      <c r="J769" s="30" t="s">
        <v>52</v>
      </c>
      <c r="K769" s="30" t="s">
        <v>47</v>
      </c>
      <c r="L769" s="30" t="s">
        <v>78</v>
      </c>
      <c r="M769" s="31" t="n">
        <f aca="false">AVERAGEIF($E$2:$E$1197,E769,$G$2:$G$1197)</f>
        <v>186.056291390729</v>
      </c>
      <c r="N769" s="19" t="str">
        <f aca="false">IF(G769&gt;M769*3,"نعم","لا")</f>
        <v>لا</v>
      </c>
      <c r="O769" s="19" t="str">
        <f aca="false">IF(OR(C769="",ISNUMBER(C769)),"لا","نعم")</f>
        <v>لا</v>
      </c>
      <c r="P769" s="19" t="str">
        <f aca="false">IF(COUNTIF($B$2:B769,B769)&gt;1,"مكرر","فريد")</f>
        <v>فريد</v>
      </c>
      <c r="Q769" s="19" t="str">
        <f aca="false">IF(COUNTBLANK(D769:L769)&gt;0,"نعم","لا")</f>
        <v>لا</v>
      </c>
    </row>
    <row r="770" customFormat="false" ht="15" hidden="false" customHeight="false" outlineLevel="0" collapsed="false">
      <c r="A770" s="19" t="n">
        <v>769</v>
      </c>
      <c r="B770" s="30" t="s">
        <v>900</v>
      </c>
      <c r="C770" s="44" t="n">
        <v>45545</v>
      </c>
      <c r="D770" s="30" t="s">
        <v>50</v>
      </c>
      <c r="E770" s="30" t="s">
        <v>105</v>
      </c>
      <c r="F770" s="30" t="s">
        <v>1341</v>
      </c>
      <c r="G770" s="31" t="n">
        <v>4199</v>
      </c>
      <c r="H770" s="19" t="n">
        <v>1</v>
      </c>
      <c r="I770" s="32" t="n">
        <v>0.05</v>
      </c>
      <c r="J770" s="30" t="s">
        <v>52</v>
      </c>
      <c r="K770" s="30" t="s">
        <v>47</v>
      </c>
      <c r="L770" s="30" t="s">
        <v>86</v>
      </c>
      <c r="M770" s="31" t="n">
        <f aca="false">AVERAGEIF($E$2:$E$1197,E770,$G$2:$G$1197)</f>
        <v>2870.26771653543</v>
      </c>
      <c r="N770" s="19" t="str">
        <f aca="false">IF(G770&gt;M770*3,"نعم","لا")</f>
        <v>لا</v>
      </c>
      <c r="O770" s="19" t="str">
        <f aca="false">IF(OR(C770="",ISNUMBER(C770)),"لا","نعم")</f>
        <v>لا</v>
      </c>
      <c r="P770" s="19" t="str">
        <f aca="false">IF(COUNTIF($B$2:B770,B770)&gt;1,"مكرر","فريد")</f>
        <v>فريد</v>
      </c>
      <c r="Q770" s="19" t="str">
        <f aca="false">IF(COUNTBLANK(D770:L770)&gt;0,"نعم","لا")</f>
        <v>لا</v>
      </c>
    </row>
    <row r="771" customFormat="false" ht="15" hidden="false" customHeight="false" outlineLevel="0" collapsed="false">
      <c r="A771" s="19" t="n">
        <v>770</v>
      </c>
      <c r="B771" s="30" t="s">
        <v>673</v>
      </c>
      <c r="C771" s="44" t="n">
        <v>45476</v>
      </c>
      <c r="D771" s="30" t="s">
        <v>46</v>
      </c>
      <c r="E771" s="30" t="s">
        <v>113</v>
      </c>
      <c r="F771" s="30" t="s">
        <v>121</v>
      </c>
      <c r="G771" s="31" t="n">
        <v>159</v>
      </c>
      <c r="H771" s="19" t="n">
        <v>5</v>
      </c>
      <c r="I771" s="32" t="n">
        <v>0.05</v>
      </c>
      <c r="J771" s="30" t="s">
        <v>1335</v>
      </c>
      <c r="K771" s="30" t="s">
        <v>51</v>
      </c>
      <c r="L771" s="30" t="s">
        <v>78</v>
      </c>
      <c r="M771" s="31" t="n">
        <f aca="false">AVERAGEIF($E$2:$E$1197,E771,$G$2:$G$1197)</f>
        <v>545.358823529412</v>
      </c>
      <c r="N771" s="19" t="str">
        <f aca="false">IF(G771&gt;M771*3,"نعم","لا")</f>
        <v>لا</v>
      </c>
      <c r="O771" s="19" t="str">
        <f aca="false">IF(OR(C771="",ISNUMBER(C771)),"لا","نعم")</f>
        <v>لا</v>
      </c>
      <c r="P771" s="19" t="str">
        <f aca="false">IF(COUNTIF($B$2:B771,B771)&gt;1,"مكرر","فريد")</f>
        <v>فريد</v>
      </c>
      <c r="Q771" s="19" t="str">
        <f aca="false">IF(COUNTBLANK(D771:L771)&gt;0,"نعم","لا")</f>
        <v>لا</v>
      </c>
    </row>
    <row r="772" customFormat="false" ht="15" hidden="false" customHeight="false" outlineLevel="0" collapsed="false">
      <c r="A772" s="19" t="n">
        <v>771</v>
      </c>
      <c r="B772" s="30" t="s">
        <v>787</v>
      </c>
      <c r="C772" s="44" t="n">
        <v>45513</v>
      </c>
      <c r="D772" s="30" t="s">
        <v>46</v>
      </c>
      <c r="E772" s="30" t="s">
        <v>105</v>
      </c>
      <c r="F772" s="30" t="s">
        <v>82</v>
      </c>
      <c r="G772" s="31" t="n">
        <v>4059</v>
      </c>
      <c r="H772" s="19" t="n">
        <v>2</v>
      </c>
      <c r="I772" s="32" t="n">
        <v>0.15</v>
      </c>
      <c r="J772" s="30" t="s">
        <v>48</v>
      </c>
      <c r="K772" s="30" t="s">
        <v>47</v>
      </c>
      <c r="L772" s="30" t="s">
        <v>99</v>
      </c>
      <c r="M772" s="31" t="n">
        <f aca="false">AVERAGEIF($E$2:$E$1197,E772,$G$2:$G$1197)</f>
        <v>2870.26771653543</v>
      </c>
      <c r="N772" s="19" t="str">
        <f aca="false">IF(G772&gt;M772*3,"نعم","لا")</f>
        <v>لا</v>
      </c>
      <c r="O772" s="19" t="str">
        <f aca="false">IF(OR(C772="",ISNUMBER(C772)),"لا","نعم")</f>
        <v>لا</v>
      </c>
      <c r="P772" s="19" t="str">
        <f aca="false">IF(COUNTIF($B$2:B772,B772)&gt;1,"مكرر","فريد")</f>
        <v>فريد</v>
      </c>
      <c r="Q772" s="19" t="str">
        <f aca="false">IF(COUNTBLANK(D772:L772)&gt;0,"نعم","لا")</f>
        <v>لا</v>
      </c>
    </row>
    <row r="773" customFormat="false" ht="15" hidden="false" customHeight="false" outlineLevel="0" collapsed="false">
      <c r="A773" s="19" t="n">
        <v>772</v>
      </c>
      <c r="B773" s="30" t="s">
        <v>1245</v>
      </c>
      <c r="C773" s="44" t="n">
        <v>45644</v>
      </c>
      <c r="D773" s="30" t="s">
        <v>54</v>
      </c>
      <c r="E773" s="30" t="s">
        <v>107</v>
      </c>
      <c r="F773" s="30" t="s">
        <v>115</v>
      </c>
      <c r="G773" s="31" t="n">
        <v>3489</v>
      </c>
      <c r="H773" s="19" t="n">
        <v>2</v>
      </c>
      <c r="I773" s="32" t="n">
        <v>0.05</v>
      </c>
      <c r="J773" s="30" t="s">
        <v>48</v>
      </c>
      <c r="K773" s="30"/>
      <c r="L773" s="30" t="s">
        <v>84</v>
      </c>
      <c r="M773" s="31" t="n">
        <f aca="false">AVERAGEIF($E$2:$E$1197,E773,$G$2:$G$1197)</f>
        <v>4981.14563106796</v>
      </c>
      <c r="N773" s="19" t="str">
        <f aca="false">IF(G773&gt;M773*3,"نعم","لا")</f>
        <v>لا</v>
      </c>
      <c r="O773" s="19" t="str">
        <f aca="false">IF(OR(C773="",ISNUMBER(C773)),"لا","نعم")</f>
        <v>لا</v>
      </c>
      <c r="P773" s="19" t="str">
        <f aca="false">IF(COUNTIF($B$2:B773,B773)&gt;1,"مكرر","فريد")</f>
        <v>فريد</v>
      </c>
      <c r="Q773" s="19" t="str">
        <f aca="false">IF(COUNTBLANK(D773:L773)&gt;0,"نعم","لا")</f>
        <v>نعم</v>
      </c>
    </row>
    <row r="774" customFormat="false" ht="15" hidden="false" customHeight="false" outlineLevel="0" collapsed="false">
      <c r="A774" s="19" t="n">
        <v>773</v>
      </c>
      <c r="B774" s="30" t="s">
        <v>1145</v>
      </c>
      <c r="C774" s="44" t="n">
        <v>45617</v>
      </c>
      <c r="D774" s="30" t="s">
        <v>50</v>
      </c>
      <c r="E774" s="30" t="s">
        <v>105</v>
      </c>
      <c r="F774" s="30" t="s">
        <v>179</v>
      </c>
      <c r="G774" s="31" t="n">
        <v>1679</v>
      </c>
      <c r="H774" s="19" t="n">
        <v>1</v>
      </c>
      <c r="I774" s="32" t="n">
        <v>0</v>
      </c>
      <c r="J774" s="30" t="s">
        <v>48</v>
      </c>
      <c r="K774" s="30" t="s">
        <v>47</v>
      </c>
      <c r="L774" s="30" t="s">
        <v>94</v>
      </c>
      <c r="M774" s="31" t="n">
        <f aca="false">AVERAGEIF($E$2:$E$1197,E774,$G$2:$G$1197)</f>
        <v>2870.26771653543</v>
      </c>
      <c r="N774" s="19" t="str">
        <f aca="false">IF(G774&gt;M774*3,"نعم","لا")</f>
        <v>لا</v>
      </c>
      <c r="O774" s="19" t="str">
        <f aca="false">IF(OR(C774="",ISNUMBER(C774)),"لا","نعم")</f>
        <v>لا</v>
      </c>
      <c r="P774" s="19" t="str">
        <f aca="false">IF(COUNTIF($B$2:B774,B774)&gt;1,"مكرر","فريد")</f>
        <v>فريد</v>
      </c>
      <c r="Q774" s="19" t="str">
        <f aca="false">IF(COUNTBLANK(D774:L774)&gt;0,"نعم","لا")</f>
        <v>لا</v>
      </c>
    </row>
    <row r="775" customFormat="false" ht="15" hidden="false" customHeight="false" outlineLevel="0" collapsed="false">
      <c r="A775" s="19" t="n">
        <v>774</v>
      </c>
      <c r="B775" s="30" t="s">
        <v>993</v>
      </c>
      <c r="C775" s="44" t="n">
        <v>45579</v>
      </c>
      <c r="D775" s="30" t="s">
        <v>57</v>
      </c>
      <c r="E775" s="30" t="s">
        <v>107</v>
      </c>
      <c r="F775" s="30" t="s">
        <v>184</v>
      </c>
      <c r="G775" s="31" t="n">
        <v>3529</v>
      </c>
      <c r="H775" s="19" t="n">
        <v>2</v>
      </c>
      <c r="I775" s="32" t="n">
        <v>0.1</v>
      </c>
      <c r="J775" s="30" t="s">
        <v>48</v>
      </c>
      <c r="K775" s="30" t="s">
        <v>47</v>
      </c>
      <c r="L775" s="30" t="s">
        <v>99</v>
      </c>
      <c r="M775" s="31" t="n">
        <f aca="false">AVERAGEIF($E$2:$E$1197,E775,$G$2:$G$1197)</f>
        <v>4981.14563106796</v>
      </c>
      <c r="N775" s="19" t="str">
        <f aca="false">IF(G775&gt;M775*3,"نعم","لا")</f>
        <v>لا</v>
      </c>
      <c r="O775" s="19" t="str">
        <f aca="false">IF(OR(C775="",ISNUMBER(C775)),"لا","نعم")</f>
        <v>لا</v>
      </c>
      <c r="P775" s="19" t="str">
        <f aca="false">IF(COUNTIF($B$2:B775,B775)&gt;1,"مكرر","فريد")</f>
        <v>فريد</v>
      </c>
      <c r="Q775" s="19" t="str">
        <f aca="false">IF(COUNTBLANK(D775:L775)&gt;0,"نعم","لا")</f>
        <v>لا</v>
      </c>
    </row>
    <row r="776" customFormat="false" ht="15" hidden="false" customHeight="false" outlineLevel="0" collapsed="false">
      <c r="A776" s="19" t="n">
        <v>775</v>
      </c>
      <c r="B776" s="30" t="s">
        <v>297</v>
      </c>
      <c r="C776" s="44" t="n">
        <v>45339</v>
      </c>
      <c r="D776" s="30" t="s">
        <v>46</v>
      </c>
      <c r="E776" s="30" t="s">
        <v>109</v>
      </c>
      <c r="F776" s="30" t="s">
        <v>192</v>
      </c>
      <c r="G776" s="31" t="n">
        <v>199</v>
      </c>
      <c r="H776" s="19" t="n">
        <v>1</v>
      </c>
      <c r="I776" s="32" t="n">
        <v>0</v>
      </c>
      <c r="J776" s="30" t="s">
        <v>48</v>
      </c>
      <c r="K776" s="30" t="s">
        <v>47</v>
      </c>
      <c r="L776" s="30" t="s">
        <v>86</v>
      </c>
      <c r="M776" s="31" t="n">
        <f aca="false">AVERAGEIF($E$2:$E$1197,E776,$G$2:$G$1197)</f>
        <v>186.056291390729</v>
      </c>
      <c r="N776" s="19" t="str">
        <f aca="false">IF(G776&gt;M776*3,"نعم","لا")</f>
        <v>لا</v>
      </c>
      <c r="O776" s="19" t="str">
        <f aca="false">IF(OR(C776="",ISNUMBER(C776)),"لا","نعم")</f>
        <v>لا</v>
      </c>
      <c r="P776" s="19" t="str">
        <f aca="false">IF(COUNTIF($B$2:B776,B776)&gt;1,"مكرر","فريد")</f>
        <v>فريد</v>
      </c>
      <c r="Q776" s="19" t="str">
        <f aca="false">IF(COUNTBLANK(D776:L776)&gt;0,"نعم","لا")</f>
        <v>لا</v>
      </c>
    </row>
    <row r="777" customFormat="false" ht="15" hidden="false" customHeight="false" outlineLevel="0" collapsed="false">
      <c r="A777" s="19" t="n">
        <v>776</v>
      </c>
      <c r="B777" s="30" t="s">
        <v>288</v>
      </c>
      <c r="C777" s="44" t="n">
        <v>45336</v>
      </c>
      <c r="D777" s="30" t="s">
        <v>54</v>
      </c>
      <c r="E777" s="30" t="s">
        <v>105</v>
      </c>
      <c r="F777" s="30" t="s">
        <v>82</v>
      </c>
      <c r="G777" s="31" t="n">
        <v>3589</v>
      </c>
      <c r="H777" s="19" t="n">
        <v>1</v>
      </c>
      <c r="I777" s="32" t="n">
        <v>0.15</v>
      </c>
      <c r="J777" s="30" t="s">
        <v>55</v>
      </c>
      <c r="K777" s="30" t="s">
        <v>47</v>
      </c>
      <c r="L777" s="30" t="s">
        <v>86</v>
      </c>
      <c r="M777" s="31" t="n">
        <f aca="false">AVERAGEIF($E$2:$E$1197,E777,$G$2:$G$1197)</f>
        <v>2870.26771653543</v>
      </c>
      <c r="N777" s="19" t="str">
        <f aca="false">IF(G777&gt;M777*3,"نعم","لا")</f>
        <v>لا</v>
      </c>
      <c r="O777" s="19" t="str">
        <f aca="false">IF(OR(C777="",ISNUMBER(C777)),"لا","نعم")</f>
        <v>لا</v>
      </c>
      <c r="P777" s="19" t="str">
        <f aca="false">IF(COUNTIF($B$2:B777,B777)&gt;1,"مكرر","فريد")</f>
        <v>فريد</v>
      </c>
      <c r="Q777" s="19" t="str">
        <f aca="false">IF(COUNTBLANK(D777:L777)&gt;0,"نعم","لا")</f>
        <v>لا</v>
      </c>
    </row>
    <row r="778" customFormat="false" ht="15" hidden="false" customHeight="false" outlineLevel="0" collapsed="false">
      <c r="A778" s="19" t="n">
        <v>777</v>
      </c>
      <c r="B778" s="30" t="s">
        <v>634</v>
      </c>
      <c r="C778" s="44" t="n">
        <v>45463</v>
      </c>
      <c r="D778" s="30" t="s">
        <v>46</v>
      </c>
      <c r="E778" s="30" t="s">
        <v>105</v>
      </c>
      <c r="F778" s="30" t="s">
        <v>90</v>
      </c>
      <c r="G778" s="31" t="n">
        <v>3629</v>
      </c>
      <c r="H778" s="19" t="n">
        <v>1</v>
      </c>
      <c r="I778" s="32" t="n">
        <v>0.05</v>
      </c>
      <c r="J778" s="30" t="s">
        <v>1348</v>
      </c>
      <c r="K778" s="30" t="s">
        <v>47</v>
      </c>
      <c r="L778" s="30" t="s">
        <v>81</v>
      </c>
      <c r="M778" s="31" t="n">
        <f aca="false">AVERAGEIF($E$2:$E$1197,E778,$G$2:$G$1197)</f>
        <v>2870.26771653543</v>
      </c>
      <c r="N778" s="19" t="str">
        <f aca="false">IF(G778&gt;M778*3,"نعم","لا")</f>
        <v>لا</v>
      </c>
      <c r="O778" s="19" t="str">
        <f aca="false">IF(OR(C778="",ISNUMBER(C778)),"لا","نعم")</f>
        <v>لا</v>
      </c>
      <c r="P778" s="19" t="str">
        <f aca="false">IF(COUNTIF($B$2:B778,B778)&gt;1,"مكرر","فريد")</f>
        <v>فريد</v>
      </c>
      <c r="Q778" s="19" t="str">
        <f aca="false">IF(COUNTBLANK(D778:L778)&gt;0,"نعم","لا")</f>
        <v>لا</v>
      </c>
    </row>
    <row r="779" customFormat="false" ht="15" hidden="false" customHeight="false" outlineLevel="0" collapsed="false">
      <c r="A779" s="19" t="n">
        <v>778</v>
      </c>
      <c r="B779" s="30" t="s">
        <v>892</v>
      </c>
      <c r="C779" s="44" t="n">
        <v>45542</v>
      </c>
      <c r="D779" s="30" t="s">
        <v>54</v>
      </c>
      <c r="E779" s="30" t="s">
        <v>105</v>
      </c>
      <c r="F779" s="30" t="s">
        <v>179</v>
      </c>
      <c r="G779" s="31" t="n">
        <v>1089</v>
      </c>
      <c r="H779" s="19" t="n">
        <v>2</v>
      </c>
      <c r="I779" s="32" t="n">
        <v>0.15</v>
      </c>
      <c r="J779" s="30" t="s">
        <v>55</v>
      </c>
      <c r="K779" s="30" t="s">
        <v>51</v>
      </c>
      <c r="L779" s="30" t="s">
        <v>92</v>
      </c>
      <c r="M779" s="31" t="n">
        <f aca="false">AVERAGEIF($E$2:$E$1197,E779,$G$2:$G$1197)</f>
        <v>2870.26771653543</v>
      </c>
      <c r="N779" s="19" t="str">
        <f aca="false">IF(G779&gt;M779*3,"نعم","لا")</f>
        <v>لا</v>
      </c>
      <c r="O779" s="19" t="str">
        <f aca="false">IF(OR(C779="",ISNUMBER(C779)),"لا","نعم")</f>
        <v>لا</v>
      </c>
      <c r="P779" s="19" t="str">
        <f aca="false">IF(COUNTIF($B$2:B779,B779)&gt;1,"مكرر","فريد")</f>
        <v>فريد</v>
      </c>
      <c r="Q779" s="19" t="str">
        <f aca="false">IF(COUNTBLANK(D779:L779)&gt;0,"نعم","لا")</f>
        <v>لا</v>
      </c>
    </row>
    <row r="780" customFormat="false" ht="15" hidden="false" customHeight="false" outlineLevel="0" collapsed="false">
      <c r="A780" s="19" t="n">
        <v>779</v>
      </c>
      <c r="B780" s="30" t="s">
        <v>1129</v>
      </c>
      <c r="C780" s="44" t="n">
        <v>45614</v>
      </c>
      <c r="D780" s="30" t="s">
        <v>46</v>
      </c>
      <c r="E780" s="30" t="s">
        <v>113</v>
      </c>
      <c r="F780" s="30" t="s">
        <v>95</v>
      </c>
      <c r="G780" s="31" t="n">
        <v>159</v>
      </c>
      <c r="H780" s="19" t="n">
        <v>3</v>
      </c>
      <c r="I780" s="32" t="n">
        <v>0.15</v>
      </c>
      <c r="J780" s="30" t="s">
        <v>55</v>
      </c>
      <c r="K780" s="30" t="s">
        <v>51</v>
      </c>
      <c r="L780" s="30" t="s">
        <v>92</v>
      </c>
      <c r="M780" s="31" t="n">
        <f aca="false">AVERAGEIF($E$2:$E$1197,E780,$G$2:$G$1197)</f>
        <v>545.358823529412</v>
      </c>
      <c r="N780" s="19" t="str">
        <f aca="false">IF(G780&gt;M780*3,"نعم","لا")</f>
        <v>لا</v>
      </c>
      <c r="O780" s="19" t="str">
        <f aca="false">IF(OR(C780="",ISNUMBER(C780)),"لا","نعم")</f>
        <v>لا</v>
      </c>
      <c r="P780" s="19" t="str">
        <f aca="false">IF(COUNTIF($B$2:B780,B780)&gt;1,"مكرر","فريد")</f>
        <v>فريد</v>
      </c>
      <c r="Q780" s="19" t="str">
        <f aca="false">IF(COUNTBLANK(D780:L780)&gt;0,"نعم","لا")</f>
        <v>لا</v>
      </c>
    </row>
    <row r="781" customFormat="false" ht="15" hidden="false" customHeight="false" outlineLevel="0" collapsed="false">
      <c r="A781" s="19" t="n">
        <v>780</v>
      </c>
      <c r="B781" s="30" t="s">
        <v>228</v>
      </c>
      <c r="C781" s="44" t="n">
        <v>45312</v>
      </c>
      <c r="D781" s="30" t="s">
        <v>46</v>
      </c>
      <c r="E781" s="30" t="s">
        <v>109</v>
      </c>
      <c r="F781" s="30" t="s">
        <v>175</v>
      </c>
      <c r="G781" s="31" t="n">
        <v>279</v>
      </c>
      <c r="H781" s="19" t="n">
        <v>1</v>
      </c>
      <c r="I781" s="32" t="n">
        <v>0</v>
      </c>
      <c r="J781" s="30" t="s">
        <v>48</v>
      </c>
      <c r="K781" s="30" t="s">
        <v>47</v>
      </c>
      <c r="L781" s="30" t="s">
        <v>99</v>
      </c>
      <c r="M781" s="31" t="n">
        <f aca="false">AVERAGEIF($E$2:$E$1197,E781,$G$2:$G$1197)</f>
        <v>186.056291390729</v>
      </c>
      <c r="N781" s="19" t="str">
        <f aca="false">IF(G781&gt;M781*3,"نعم","لا")</f>
        <v>لا</v>
      </c>
      <c r="O781" s="19" t="str">
        <f aca="false">IF(OR(C781="",ISNUMBER(C781)),"لا","نعم")</f>
        <v>لا</v>
      </c>
      <c r="P781" s="19" t="str">
        <f aca="false">IF(COUNTIF($B$2:B781,B781)&gt;1,"مكرر","فريد")</f>
        <v>فريد</v>
      </c>
      <c r="Q781" s="19" t="str">
        <f aca="false">IF(COUNTBLANK(D781:L781)&gt;0,"نعم","لا")</f>
        <v>لا</v>
      </c>
    </row>
    <row r="782" customFormat="false" ht="15" hidden="false" customHeight="false" outlineLevel="0" collapsed="false">
      <c r="A782" s="19" t="n">
        <v>781</v>
      </c>
      <c r="B782" s="30" t="s">
        <v>759</v>
      </c>
      <c r="C782" s="44" t="n">
        <v>45506</v>
      </c>
      <c r="D782" s="30" t="s">
        <v>57</v>
      </c>
      <c r="E782" s="30" t="s">
        <v>109</v>
      </c>
      <c r="F782" s="30" t="s">
        <v>110</v>
      </c>
      <c r="G782" s="31" t="n">
        <v>149</v>
      </c>
      <c r="H782" s="19" t="n">
        <v>1</v>
      </c>
      <c r="I782" s="32" t="n">
        <v>0</v>
      </c>
      <c r="J782" s="30" t="s">
        <v>58</v>
      </c>
      <c r="K782" s="30" t="s">
        <v>47</v>
      </c>
      <c r="L782" s="30" t="s">
        <v>89</v>
      </c>
      <c r="M782" s="31" t="n">
        <f aca="false">AVERAGEIF($E$2:$E$1197,E782,$G$2:$G$1197)</f>
        <v>186.056291390729</v>
      </c>
      <c r="N782" s="19" t="str">
        <f aca="false">IF(G782&gt;M782*3,"نعم","لا")</f>
        <v>لا</v>
      </c>
      <c r="O782" s="19" t="str">
        <f aca="false">IF(OR(C782="",ISNUMBER(C782)),"لا","نعم")</f>
        <v>لا</v>
      </c>
      <c r="P782" s="19" t="str">
        <f aca="false">IF(COUNTIF($B$2:B782,B782)&gt;1,"مكرر","فريد")</f>
        <v>فريد</v>
      </c>
      <c r="Q782" s="19" t="str">
        <f aca="false">IF(COUNTBLANK(D782:L782)&gt;0,"نعم","لا")</f>
        <v>لا</v>
      </c>
    </row>
    <row r="783" customFormat="false" ht="15" hidden="false" customHeight="false" outlineLevel="0" collapsed="false">
      <c r="A783" s="19" t="n">
        <v>782</v>
      </c>
      <c r="B783" s="30" t="s">
        <v>1108</v>
      </c>
      <c r="C783" s="44" t="n">
        <v>45609</v>
      </c>
      <c r="D783" s="30" t="s">
        <v>60</v>
      </c>
      <c r="E783" s="30" t="s">
        <v>105</v>
      </c>
      <c r="F783" s="30" t="s">
        <v>79</v>
      </c>
      <c r="G783" s="31" t="n">
        <v>3359</v>
      </c>
      <c r="H783" s="19" t="n">
        <v>3</v>
      </c>
      <c r="I783" s="32" t="n">
        <v>0.2</v>
      </c>
      <c r="J783" s="30" t="s">
        <v>52</v>
      </c>
      <c r="K783" s="30" t="s">
        <v>47</v>
      </c>
      <c r="L783" s="30" t="s">
        <v>84</v>
      </c>
      <c r="M783" s="31" t="n">
        <f aca="false">AVERAGEIF($E$2:$E$1197,E783,$G$2:$G$1197)</f>
        <v>2870.26771653543</v>
      </c>
      <c r="N783" s="19" t="str">
        <f aca="false">IF(G783&gt;M783*3,"نعم","لا")</f>
        <v>لا</v>
      </c>
      <c r="O783" s="19" t="str">
        <f aca="false">IF(OR(C783="",ISNUMBER(C783)),"لا","نعم")</f>
        <v>لا</v>
      </c>
      <c r="P783" s="19" t="str">
        <f aca="false">IF(COUNTIF($B$2:B783,B783)&gt;1,"مكرر","فريد")</f>
        <v>فريد</v>
      </c>
      <c r="Q783" s="19" t="str">
        <f aca="false">IF(COUNTBLANK(D783:L783)&gt;0,"نعم","لا")</f>
        <v>لا</v>
      </c>
    </row>
    <row r="784" customFormat="false" ht="15" hidden="false" customHeight="false" outlineLevel="0" collapsed="false">
      <c r="A784" s="19" t="n">
        <v>783</v>
      </c>
      <c r="B784" s="30" t="s">
        <v>811</v>
      </c>
      <c r="C784" s="30" t="s">
        <v>1432</v>
      </c>
      <c r="D784" s="30" t="s">
        <v>60</v>
      </c>
      <c r="E784" s="30" t="s">
        <v>109</v>
      </c>
      <c r="F784" s="30" t="s">
        <v>110</v>
      </c>
      <c r="G784" s="31" t="n">
        <v>179</v>
      </c>
      <c r="H784" s="19" t="n">
        <v>10</v>
      </c>
      <c r="I784" s="32" t="n">
        <v>0</v>
      </c>
      <c r="J784" s="30" t="s">
        <v>58</v>
      </c>
      <c r="K784" s="30" t="s">
        <v>51</v>
      </c>
      <c r="L784" s="30" t="s">
        <v>86</v>
      </c>
      <c r="M784" s="31" t="n">
        <f aca="false">AVERAGEIF($E$2:$E$1197,E784,$G$2:$G$1197)</f>
        <v>186.056291390729</v>
      </c>
      <c r="N784" s="19" t="str">
        <f aca="false">IF(G784&gt;M784*3,"نعم","لا")</f>
        <v>لا</v>
      </c>
      <c r="O784" s="19" t="str">
        <f aca="false">IF(OR(C784="",ISNUMBER(C784)),"لا","نعم")</f>
        <v>نعم</v>
      </c>
      <c r="P784" s="19" t="str">
        <f aca="false">IF(COUNTIF($B$2:B784,B784)&gt;1,"مكرر","فريد")</f>
        <v>فريد</v>
      </c>
      <c r="Q784" s="19" t="str">
        <f aca="false">IF(COUNTBLANK(D784:L784)&gt;0,"نعم","لا")</f>
        <v>لا</v>
      </c>
    </row>
    <row r="785" customFormat="false" ht="15" hidden="false" customHeight="false" outlineLevel="0" collapsed="false">
      <c r="A785" s="19" t="n">
        <v>784</v>
      </c>
      <c r="B785" s="30" t="s">
        <v>1147</v>
      </c>
      <c r="C785" s="44" t="n">
        <v>45618</v>
      </c>
      <c r="D785" s="30" t="s">
        <v>54</v>
      </c>
      <c r="E785" s="30" t="s">
        <v>105</v>
      </c>
      <c r="F785" s="30" t="s">
        <v>179</v>
      </c>
      <c r="G785" s="31" t="n">
        <v>2379</v>
      </c>
      <c r="H785" s="19" t="n">
        <v>2</v>
      </c>
      <c r="I785" s="32" t="n">
        <v>0.1</v>
      </c>
      <c r="J785" s="30" t="s">
        <v>48</v>
      </c>
      <c r="K785" s="30" t="s">
        <v>47</v>
      </c>
      <c r="L785" s="30" t="s">
        <v>78</v>
      </c>
      <c r="M785" s="31" t="n">
        <f aca="false">AVERAGEIF($E$2:$E$1197,E785,$G$2:$G$1197)</f>
        <v>2870.26771653543</v>
      </c>
      <c r="N785" s="19" t="str">
        <f aca="false">IF(G785&gt;M785*3,"نعم","لا")</f>
        <v>لا</v>
      </c>
      <c r="O785" s="19" t="str">
        <f aca="false">IF(OR(C785="",ISNUMBER(C785)),"لا","نعم")</f>
        <v>لا</v>
      </c>
      <c r="P785" s="19" t="str">
        <f aca="false">IF(COUNTIF($B$2:B785,B785)&gt;1,"مكرر","فريد")</f>
        <v>فريد</v>
      </c>
      <c r="Q785" s="19" t="str">
        <f aca="false">IF(COUNTBLANK(D785:L785)&gt;0,"نعم","لا")</f>
        <v>لا</v>
      </c>
    </row>
    <row r="786" customFormat="false" ht="15" hidden="false" customHeight="false" outlineLevel="0" collapsed="false">
      <c r="A786" s="19" t="n">
        <v>785</v>
      </c>
      <c r="B786" s="30" t="s">
        <v>1060</v>
      </c>
      <c r="C786" s="44" t="n">
        <v>45599</v>
      </c>
      <c r="D786" s="30" t="s">
        <v>46</v>
      </c>
      <c r="E786" s="30" t="s">
        <v>109</v>
      </c>
      <c r="F786" s="30" t="s">
        <v>171</v>
      </c>
      <c r="G786" s="31" t="n">
        <v>149</v>
      </c>
      <c r="H786" s="19" t="n">
        <v>2</v>
      </c>
      <c r="I786" s="32" t="n">
        <v>0.2</v>
      </c>
      <c r="J786" s="30" t="s">
        <v>48</v>
      </c>
      <c r="K786" s="30" t="s">
        <v>47</v>
      </c>
      <c r="L786" s="30" t="s">
        <v>99</v>
      </c>
      <c r="M786" s="31" t="n">
        <f aca="false">AVERAGEIF($E$2:$E$1197,E786,$G$2:$G$1197)</f>
        <v>186.056291390729</v>
      </c>
      <c r="N786" s="19" t="str">
        <f aca="false">IF(G786&gt;M786*3,"نعم","لا")</f>
        <v>لا</v>
      </c>
      <c r="O786" s="19" t="str">
        <f aca="false">IF(OR(C786="",ISNUMBER(C786)),"لا","نعم")</f>
        <v>لا</v>
      </c>
      <c r="P786" s="19" t="str">
        <f aca="false">IF(COUNTIF($B$2:B786,B786)&gt;1,"مكرر","فريد")</f>
        <v>فريد</v>
      </c>
      <c r="Q786" s="19" t="str">
        <f aca="false">IF(COUNTBLANK(D786:L786)&gt;0,"نعم","لا")</f>
        <v>لا</v>
      </c>
    </row>
    <row r="787" customFormat="false" ht="15" hidden="false" customHeight="false" outlineLevel="0" collapsed="false">
      <c r="A787" s="19" t="n">
        <v>786</v>
      </c>
      <c r="B787" s="30" t="s">
        <v>276</v>
      </c>
      <c r="C787" s="44" t="n">
        <v>45330</v>
      </c>
      <c r="D787" s="30" t="s">
        <v>50</v>
      </c>
      <c r="E787" s="30" t="s">
        <v>113</v>
      </c>
      <c r="F787" s="30" t="s">
        <v>100</v>
      </c>
      <c r="G787" s="31" t="n">
        <v>819</v>
      </c>
      <c r="H787" s="19" t="n">
        <v>1</v>
      </c>
      <c r="I787" s="32" t="n">
        <v>0.05</v>
      </c>
      <c r="J787" s="30" t="s">
        <v>48</v>
      </c>
      <c r="K787" s="30" t="s">
        <v>47</v>
      </c>
      <c r="L787" s="30" t="s">
        <v>81</v>
      </c>
      <c r="M787" s="31" t="n">
        <f aca="false">AVERAGEIF($E$2:$E$1197,E787,$G$2:$G$1197)</f>
        <v>545.358823529412</v>
      </c>
      <c r="N787" s="19" t="str">
        <f aca="false">IF(G787&gt;M787*3,"نعم","لا")</f>
        <v>لا</v>
      </c>
      <c r="O787" s="19" t="str">
        <f aca="false">IF(OR(C787="",ISNUMBER(C787)),"لا","نعم")</f>
        <v>لا</v>
      </c>
      <c r="P787" s="19" t="str">
        <f aca="false">IF(COUNTIF($B$2:B787,B787)&gt;1,"مكرر","فريد")</f>
        <v>فريد</v>
      </c>
      <c r="Q787" s="19" t="str">
        <f aca="false">IF(COUNTBLANK(D787:L787)&gt;0,"نعم","لا")</f>
        <v>لا</v>
      </c>
    </row>
    <row r="788" customFormat="false" ht="15" hidden="false" customHeight="false" outlineLevel="0" collapsed="false">
      <c r="A788" s="19" t="n">
        <v>787</v>
      </c>
      <c r="B788" s="30" t="s">
        <v>791</v>
      </c>
      <c r="C788" s="44" t="n">
        <v>45514</v>
      </c>
      <c r="D788" s="30" t="s">
        <v>60</v>
      </c>
      <c r="E788" s="30" t="s">
        <v>111</v>
      </c>
      <c r="F788" s="30" t="s">
        <v>122</v>
      </c>
      <c r="G788" s="31" t="n">
        <v>319</v>
      </c>
      <c r="H788" s="19" t="n">
        <v>1</v>
      </c>
      <c r="I788" s="32" t="n">
        <v>0</v>
      </c>
      <c r="J788" s="30" t="s">
        <v>48</v>
      </c>
      <c r="K788" s="30" t="s">
        <v>47</v>
      </c>
      <c r="L788" s="30" t="s">
        <v>99</v>
      </c>
      <c r="M788" s="31" t="n">
        <f aca="false">AVERAGEIF($E$2:$E$1197,E788,$G$2:$G$1197)</f>
        <v>366.306569343066</v>
      </c>
      <c r="N788" s="19" t="str">
        <f aca="false">IF(G788&gt;M788*3,"نعم","لا")</f>
        <v>لا</v>
      </c>
      <c r="O788" s="19" t="str">
        <f aca="false">IF(OR(C788="",ISNUMBER(C788)),"لا","نعم")</f>
        <v>لا</v>
      </c>
      <c r="P788" s="19" t="str">
        <f aca="false">IF(COUNTIF($B$2:B788,B788)&gt;1,"مكرر","فريد")</f>
        <v>فريد</v>
      </c>
      <c r="Q788" s="19" t="str">
        <f aca="false">IF(COUNTBLANK(D788:L788)&gt;0,"نعم","لا")</f>
        <v>لا</v>
      </c>
    </row>
    <row r="789" customFormat="false" ht="15" hidden="false" customHeight="false" outlineLevel="0" collapsed="false">
      <c r="A789" s="19" t="n">
        <v>788</v>
      </c>
      <c r="B789" s="30" t="s">
        <v>529</v>
      </c>
      <c r="C789" s="30" t="s">
        <v>1463</v>
      </c>
      <c r="D789" s="30" t="s">
        <v>46</v>
      </c>
      <c r="E789" s="30" t="s">
        <v>105</v>
      </c>
      <c r="F789" s="30" t="s">
        <v>179</v>
      </c>
      <c r="G789" s="31" t="n">
        <v>2159</v>
      </c>
      <c r="H789" s="19" t="n">
        <v>2</v>
      </c>
      <c r="I789" s="32" t="n">
        <v>0.2</v>
      </c>
      <c r="J789" s="30" t="s">
        <v>58</v>
      </c>
      <c r="K789" s="30" t="s">
        <v>47</v>
      </c>
      <c r="L789" s="30" t="s">
        <v>76</v>
      </c>
      <c r="M789" s="31" t="n">
        <f aca="false">AVERAGEIF($E$2:$E$1197,E789,$G$2:$G$1197)</f>
        <v>2870.26771653543</v>
      </c>
      <c r="N789" s="19" t="str">
        <f aca="false">IF(G789&gt;M789*3,"نعم","لا")</f>
        <v>لا</v>
      </c>
      <c r="O789" s="19" t="str">
        <f aca="false">IF(OR(C789="",ISNUMBER(C789)),"لا","نعم")</f>
        <v>نعم</v>
      </c>
      <c r="P789" s="19" t="str">
        <f aca="false">IF(COUNTIF($B$2:B789,B789)&gt;1,"مكرر","فريد")</f>
        <v>فريد</v>
      </c>
      <c r="Q789" s="19" t="str">
        <f aca="false">IF(COUNTBLANK(D789:L789)&gt;0,"نعم","لا")</f>
        <v>لا</v>
      </c>
    </row>
    <row r="790" customFormat="false" ht="15" hidden="false" customHeight="false" outlineLevel="0" collapsed="false">
      <c r="A790" s="19" t="n">
        <v>789</v>
      </c>
      <c r="B790" s="30" t="s">
        <v>433</v>
      </c>
      <c r="C790" s="30" t="s">
        <v>1464</v>
      </c>
      <c r="D790" s="30" t="s">
        <v>46</v>
      </c>
      <c r="E790" s="30" t="s">
        <v>105</v>
      </c>
      <c r="F790" s="30" t="s">
        <v>79</v>
      </c>
      <c r="G790" s="31" t="n">
        <v>2849</v>
      </c>
      <c r="H790" s="19" t="n">
        <v>1</v>
      </c>
      <c r="I790" s="32" t="n">
        <v>0</v>
      </c>
      <c r="J790" s="30" t="s">
        <v>55</v>
      </c>
      <c r="K790" s="30" t="s">
        <v>47</v>
      </c>
      <c r="L790" s="30" t="s">
        <v>76</v>
      </c>
      <c r="M790" s="31" t="n">
        <f aca="false">AVERAGEIF($E$2:$E$1197,E790,$G$2:$G$1197)</f>
        <v>2870.26771653543</v>
      </c>
      <c r="N790" s="19" t="str">
        <f aca="false">IF(G790&gt;M790*3,"نعم","لا")</f>
        <v>لا</v>
      </c>
      <c r="O790" s="19" t="str">
        <f aca="false">IF(OR(C790="",ISNUMBER(C790)),"لا","نعم")</f>
        <v>نعم</v>
      </c>
      <c r="P790" s="19" t="str">
        <f aca="false">IF(COUNTIF($B$2:B790,B790)&gt;1,"مكرر","فريد")</f>
        <v>فريد</v>
      </c>
      <c r="Q790" s="19" t="str">
        <f aca="false">IF(COUNTBLANK(D790:L790)&gt;0,"نعم","لا")</f>
        <v>لا</v>
      </c>
    </row>
    <row r="791" customFormat="false" ht="15" hidden="false" customHeight="false" outlineLevel="0" collapsed="false">
      <c r="A791" s="19" t="n">
        <v>790</v>
      </c>
      <c r="B791" s="30" t="s">
        <v>807</v>
      </c>
      <c r="C791" s="44" t="n">
        <v>45518</v>
      </c>
      <c r="D791" s="30" t="s">
        <v>50</v>
      </c>
      <c r="E791" s="30" t="s">
        <v>111</v>
      </c>
      <c r="F791" s="30" t="s">
        <v>118</v>
      </c>
      <c r="G791" s="31" t="n">
        <v>219</v>
      </c>
      <c r="H791" s="19" t="n">
        <v>1</v>
      </c>
      <c r="I791" s="32" t="n">
        <v>0.05</v>
      </c>
      <c r="J791" s="30" t="s">
        <v>48</v>
      </c>
      <c r="K791" s="30" t="s">
        <v>47</v>
      </c>
      <c r="L791" s="30" t="s">
        <v>84</v>
      </c>
      <c r="M791" s="31" t="n">
        <f aca="false">AVERAGEIF($E$2:$E$1197,E791,$G$2:$G$1197)</f>
        <v>366.306569343066</v>
      </c>
      <c r="N791" s="19" t="str">
        <f aca="false">IF(G791&gt;M791*3,"نعم","لا")</f>
        <v>لا</v>
      </c>
      <c r="O791" s="19" t="str">
        <f aca="false">IF(OR(C791="",ISNUMBER(C791)),"لا","نعم")</f>
        <v>لا</v>
      </c>
      <c r="P791" s="19" t="str">
        <f aca="false">IF(COUNTIF($B$2:B791,B791)&gt;1,"مكرر","فريد")</f>
        <v>فريد</v>
      </c>
      <c r="Q791" s="19" t="str">
        <f aca="false">IF(COUNTBLANK(D791:L791)&gt;0,"نعم","لا")</f>
        <v>لا</v>
      </c>
    </row>
    <row r="792" customFormat="false" ht="15" hidden="false" customHeight="false" outlineLevel="0" collapsed="false">
      <c r="A792" s="19" t="n">
        <v>791</v>
      </c>
      <c r="B792" s="30" t="s">
        <v>216</v>
      </c>
      <c r="C792" s="30" t="s">
        <v>1465</v>
      </c>
      <c r="D792" s="30" t="s">
        <v>46</v>
      </c>
      <c r="E792" s="30" t="s">
        <v>105</v>
      </c>
      <c r="F792" s="30" t="s">
        <v>79</v>
      </c>
      <c r="G792" s="31" t="n">
        <v>3199</v>
      </c>
      <c r="H792" s="19" t="n">
        <v>1</v>
      </c>
      <c r="I792" s="32" t="n">
        <v>0</v>
      </c>
      <c r="J792" s="30" t="s">
        <v>52</v>
      </c>
      <c r="K792" s="30" t="s">
        <v>47</v>
      </c>
      <c r="L792" s="30" t="s">
        <v>81</v>
      </c>
      <c r="M792" s="31" t="n">
        <f aca="false">AVERAGEIF($E$2:$E$1197,E792,$G$2:$G$1197)</f>
        <v>2870.26771653543</v>
      </c>
      <c r="N792" s="19" t="str">
        <f aca="false">IF(G792&gt;M792*3,"نعم","لا")</f>
        <v>لا</v>
      </c>
      <c r="O792" s="19" t="str">
        <f aca="false">IF(OR(C792="",ISNUMBER(C792)),"لا","نعم")</f>
        <v>نعم</v>
      </c>
      <c r="P792" s="19" t="str">
        <f aca="false">IF(COUNTIF($B$2:B792,B792)&gt;1,"مكرر","فريد")</f>
        <v>فريد</v>
      </c>
      <c r="Q792" s="19" t="str">
        <f aca="false">IF(COUNTBLANK(D792:L792)&gt;0,"نعم","لا")</f>
        <v>لا</v>
      </c>
    </row>
    <row r="793" customFormat="false" ht="15" hidden="false" customHeight="false" outlineLevel="0" collapsed="false">
      <c r="A793" s="19" t="n">
        <v>792</v>
      </c>
      <c r="B793" s="30" t="s">
        <v>511</v>
      </c>
      <c r="C793" s="30" t="s">
        <v>1466</v>
      </c>
      <c r="D793" s="30" t="s">
        <v>50</v>
      </c>
      <c r="E793" s="30" t="s">
        <v>105</v>
      </c>
      <c r="F793" s="30" t="s">
        <v>82</v>
      </c>
      <c r="G793" s="31" t="n">
        <v>959</v>
      </c>
      <c r="H793" s="19" t="n">
        <v>1</v>
      </c>
      <c r="I793" s="32" t="n">
        <v>0</v>
      </c>
      <c r="J793" s="30" t="s">
        <v>48</v>
      </c>
      <c r="K793" s="30" t="s">
        <v>47</v>
      </c>
      <c r="L793" s="30" t="s">
        <v>89</v>
      </c>
      <c r="M793" s="31" t="n">
        <f aca="false">AVERAGEIF($E$2:$E$1197,E793,$G$2:$G$1197)</f>
        <v>2870.26771653543</v>
      </c>
      <c r="N793" s="19" t="str">
        <f aca="false">IF(G793&gt;M793*3,"نعم","لا")</f>
        <v>لا</v>
      </c>
      <c r="O793" s="19" t="str">
        <f aca="false">IF(OR(C793="",ISNUMBER(C793)),"لا","نعم")</f>
        <v>نعم</v>
      </c>
      <c r="P793" s="19" t="str">
        <f aca="false">IF(COUNTIF($B$2:B793,B793)&gt;1,"مكرر","فريد")</f>
        <v>فريد</v>
      </c>
      <c r="Q793" s="19" t="str">
        <f aca="false">IF(COUNTBLANK(D793:L793)&gt;0,"نعم","لا")</f>
        <v>لا</v>
      </c>
    </row>
    <row r="794" customFormat="false" ht="15" hidden="false" customHeight="false" outlineLevel="0" collapsed="false">
      <c r="A794" s="19" t="n">
        <v>793</v>
      </c>
      <c r="B794" s="30" t="s">
        <v>924</v>
      </c>
      <c r="C794" s="44" t="n">
        <v>45556</v>
      </c>
      <c r="D794" s="30" t="s">
        <v>1361</v>
      </c>
      <c r="E794" s="30" t="s">
        <v>105</v>
      </c>
      <c r="F794" s="30" t="s">
        <v>85</v>
      </c>
      <c r="G794" s="31" t="n">
        <v>4489</v>
      </c>
      <c r="H794" s="19" t="n">
        <v>1</v>
      </c>
      <c r="I794" s="32" t="n">
        <v>0</v>
      </c>
      <c r="J794" s="30" t="s">
        <v>55</v>
      </c>
      <c r="K794" s="30" t="s">
        <v>47</v>
      </c>
      <c r="L794" s="30" t="s">
        <v>89</v>
      </c>
      <c r="M794" s="31" t="n">
        <f aca="false">AVERAGEIF($E$2:$E$1197,E794,$G$2:$G$1197)</f>
        <v>2870.26771653543</v>
      </c>
      <c r="N794" s="19" t="str">
        <f aca="false">IF(G794&gt;M794*3,"نعم","لا")</f>
        <v>لا</v>
      </c>
      <c r="O794" s="19" t="str">
        <f aca="false">IF(OR(C794="",ISNUMBER(C794)),"لا","نعم")</f>
        <v>لا</v>
      </c>
      <c r="P794" s="19" t="str">
        <f aca="false">IF(COUNTIF($B$2:B794,B794)&gt;1,"مكرر","فريد")</f>
        <v>فريد</v>
      </c>
      <c r="Q794" s="19" t="str">
        <f aca="false">IF(COUNTBLANK(D794:L794)&gt;0,"نعم","لا")</f>
        <v>لا</v>
      </c>
    </row>
    <row r="795" customFormat="false" ht="15" hidden="false" customHeight="false" outlineLevel="0" collapsed="false">
      <c r="A795" s="19" t="n">
        <v>794</v>
      </c>
      <c r="B795" s="30" t="s">
        <v>366</v>
      </c>
      <c r="C795" s="44" t="n">
        <v>45365</v>
      </c>
      <c r="D795" s="30" t="s">
        <v>57</v>
      </c>
      <c r="E795" s="30" t="s">
        <v>105</v>
      </c>
      <c r="F795" s="30" t="s">
        <v>90</v>
      </c>
      <c r="G795" s="31" t="n">
        <v>2479</v>
      </c>
      <c r="H795" s="19" t="n">
        <v>3</v>
      </c>
      <c r="I795" s="32" t="n">
        <v>0</v>
      </c>
      <c r="J795" s="30" t="s">
        <v>48</v>
      </c>
      <c r="K795" s="30" t="s">
        <v>47</v>
      </c>
      <c r="L795" s="30" t="s">
        <v>86</v>
      </c>
      <c r="M795" s="31" t="n">
        <f aca="false">AVERAGEIF($E$2:$E$1197,E795,$G$2:$G$1197)</f>
        <v>2870.26771653543</v>
      </c>
      <c r="N795" s="19" t="str">
        <f aca="false">IF(G795&gt;M795*3,"نعم","لا")</f>
        <v>لا</v>
      </c>
      <c r="O795" s="19" t="str">
        <f aca="false">IF(OR(C795="",ISNUMBER(C795)),"لا","نعم")</f>
        <v>لا</v>
      </c>
      <c r="P795" s="19" t="str">
        <f aca="false">IF(COUNTIF($B$2:B795,B795)&gt;1,"مكرر","فريد")</f>
        <v>فريد</v>
      </c>
      <c r="Q795" s="19" t="str">
        <f aca="false">IF(COUNTBLANK(D795:L795)&gt;0,"نعم","لا")</f>
        <v>لا</v>
      </c>
    </row>
    <row r="796" customFormat="false" ht="15" hidden="false" customHeight="false" outlineLevel="0" collapsed="false">
      <c r="A796" s="19" t="n">
        <v>795</v>
      </c>
      <c r="B796" s="30" t="s">
        <v>271</v>
      </c>
      <c r="C796" s="44" t="n">
        <v>45330</v>
      </c>
      <c r="D796" s="30" t="s">
        <v>46</v>
      </c>
      <c r="E796" s="30" t="s">
        <v>107</v>
      </c>
      <c r="F796" s="30" t="s">
        <v>272</v>
      </c>
      <c r="G796" s="31" t="n">
        <v>2979</v>
      </c>
      <c r="H796" s="19" t="n">
        <v>1</v>
      </c>
      <c r="I796" s="32" t="n">
        <v>0.05</v>
      </c>
      <c r="J796" s="30" t="s">
        <v>48</v>
      </c>
      <c r="K796" s="30" t="s">
        <v>47</v>
      </c>
      <c r="L796" s="30" t="s">
        <v>92</v>
      </c>
      <c r="M796" s="31" t="n">
        <f aca="false">AVERAGEIF($E$2:$E$1197,E796,$G$2:$G$1197)</f>
        <v>4981.14563106796</v>
      </c>
      <c r="N796" s="19" t="str">
        <f aca="false">IF(G796&gt;M796*3,"نعم","لا")</f>
        <v>لا</v>
      </c>
      <c r="O796" s="19" t="str">
        <f aca="false">IF(OR(C796="",ISNUMBER(C796)),"لا","نعم")</f>
        <v>لا</v>
      </c>
      <c r="P796" s="19" t="str">
        <f aca="false">IF(COUNTIF($B$2:B796,B796)&gt;1,"مكرر","فريد")</f>
        <v>فريد</v>
      </c>
      <c r="Q796" s="19" t="str">
        <f aca="false">IF(COUNTBLANK(D796:L796)&gt;0,"نعم","لا")</f>
        <v>لا</v>
      </c>
    </row>
    <row r="797" customFormat="false" ht="15" hidden="false" customHeight="false" outlineLevel="0" collapsed="false">
      <c r="A797" s="19" t="n">
        <v>796</v>
      </c>
      <c r="B797" s="30" t="s">
        <v>174</v>
      </c>
      <c r="C797" s="44" t="n">
        <v>45294</v>
      </c>
      <c r="D797" s="30" t="s">
        <v>46</v>
      </c>
      <c r="E797" s="30" t="s">
        <v>109</v>
      </c>
      <c r="F797" s="30" t="s">
        <v>175</v>
      </c>
      <c r="G797" s="31" t="n">
        <v>159</v>
      </c>
      <c r="H797" s="19" t="n">
        <v>2</v>
      </c>
      <c r="I797" s="32" t="n">
        <v>0.15</v>
      </c>
      <c r="J797" s="30" t="s">
        <v>58</v>
      </c>
      <c r="K797" s="30" t="s">
        <v>47</v>
      </c>
      <c r="L797" s="30" t="s">
        <v>94</v>
      </c>
      <c r="M797" s="31" t="n">
        <f aca="false">AVERAGEIF($E$2:$E$1197,E797,$G$2:$G$1197)</f>
        <v>186.056291390729</v>
      </c>
      <c r="N797" s="19" t="str">
        <f aca="false">IF(G797&gt;M797*3,"نعم","لا")</f>
        <v>لا</v>
      </c>
      <c r="O797" s="19" t="str">
        <f aca="false">IF(OR(C797="",ISNUMBER(C797)),"لا","نعم")</f>
        <v>لا</v>
      </c>
      <c r="P797" s="19" t="str">
        <f aca="false">IF(COUNTIF($B$2:B797,B797)&gt;1,"مكرر","فريد")</f>
        <v>فريد</v>
      </c>
      <c r="Q797" s="19" t="str">
        <f aca="false">IF(COUNTBLANK(D797:L797)&gt;0,"نعم","لا")</f>
        <v>لا</v>
      </c>
    </row>
    <row r="798" customFormat="false" ht="15" hidden="false" customHeight="false" outlineLevel="0" collapsed="false">
      <c r="A798" s="19" t="n">
        <v>797</v>
      </c>
      <c r="B798" s="30" t="s">
        <v>777</v>
      </c>
      <c r="C798" s="44" t="n">
        <v>45510</v>
      </c>
      <c r="D798" s="30" t="s">
        <v>50</v>
      </c>
      <c r="E798" s="30" t="s">
        <v>105</v>
      </c>
      <c r="F798" s="30" t="s">
        <v>79</v>
      </c>
      <c r="G798" s="31" t="n">
        <v>3669</v>
      </c>
      <c r="H798" s="19" t="n">
        <v>1</v>
      </c>
      <c r="I798" s="32" t="n">
        <v>0</v>
      </c>
      <c r="J798" s="30" t="s">
        <v>48</v>
      </c>
      <c r="K798" s="30" t="s">
        <v>47</v>
      </c>
      <c r="L798" s="30" t="s">
        <v>96</v>
      </c>
      <c r="M798" s="31" t="n">
        <f aca="false">AVERAGEIF($E$2:$E$1197,E798,$G$2:$G$1197)</f>
        <v>2870.26771653543</v>
      </c>
      <c r="N798" s="19" t="str">
        <f aca="false">IF(G798&gt;M798*3,"نعم","لا")</f>
        <v>لا</v>
      </c>
      <c r="O798" s="19" t="str">
        <f aca="false">IF(OR(C798="",ISNUMBER(C798)),"لا","نعم")</f>
        <v>لا</v>
      </c>
      <c r="P798" s="19" t="str">
        <f aca="false">IF(COUNTIF($B$2:B798,B798)&gt;1,"مكرر","فريد")</f>
        <v>فريد</v>
      </c>
      <c r="Q798" s="19" t="str">
        <f aca="false">IF(COUNTBLANK(D798:L798)&gt;0,"نعم","لا")</f>
        <v>لا</v>
      </c>
    </row>
    <row r="799" customFormat="false" ht="15" hidden="false" customHeight="false" outlineLevel="0" collapsed="false">
      <c r="A799" s="19" t="n">
        <v>798</v>
      </c>
      <c r="B799" s="30" t="s">
        <v>1128</v>
      </c>
      <c r="C799" s="44" t="n">
        <v>45613</v>
      </c>
      <c r="D799" s="30" t="s">
        <v>46</v>
      </c>
      <c r="E799" s="30" t="s">
        <v>113</v>
      </c>
      <c r="F799" s="30" t="s">
        <v>97</v>
      </c>
      <c r="G799" s="31" t="n">
        <v>719</v>
      </c>
      <c r="H799" s="19" t="n">
        <v>3</v>
      </c>
      <c r="I799" s="32" t="n">
        <v>0</v>
      </c>
      <c r="J799" s="30" t="s">
        <v>48</v>
      </c>
      <c r="K799" s="30" t="s">
        <v>51</v>
      </c>
      <c r="L799" s="30" t="s">
        <v>86</v>
      </c>
      <c r="M799" s="31" t="n">
        <f aca="false">AVERAGEIF($E$2:$E$1197,E799,$G$2:$G$1197)</f>
        <v>545.358823529412</v>
      </c>
      <c r="N799" s="19" t="str">
        <f aca="false">IF(G799&gt;M799*3,"نعم","لا")</f>
        <v>لا</v>
      </c>
      <c r="O799" s="19" t="str">
        <f aca="false">IF(OR(C799="",ISNUMBER(C799)),"لا","نعم")</f>
        <v>لا</v>
      </c>
      <c r="P799" s="19" t="str">
        <f aca="false">IF(COUNTIF($B$2:B799,B799)&gt;1,"مكرر","فريد")</f>
        <v>فريد</v>
      </c>
      <c r="Q799" s="19" t="str">
        <f aca="false">IF(COUNTBLANK(D799:L799)&gt;0,"نعم","لا")</f>
        <v>لا</v>
      </c>
    </row>
    <row r="800" customFormat="false" ht="15" hidden="false" customHeight="false" outlineLevel="0" collapsed="false">
      <c r="A800" s="19" t="n">
        <v>799</v>
      </c>
      <c r="B800" s="30" t="s">
        <v>224</v>
      </c>
      <c r="C800" s="44" t="n">
        <v>45311</v>
      </c>
      <c r="D800" s="30" t="s">
        <v>46</v>
      </c>
      <c r="E800" s="30" t="s">
        <v>113</v>
      </c>
      <c r="F800" s="30" t="s">
        <v>121</v>
      </c>
      <c r="G800" s="31" t="n">
        <v>809</v>
      </c>
      <c r="H800" s="19" t="n">
        <v>1</v>
      </c>
      <c r="I800" s="32" t="n">
        <v>0</v>
      </c>
      <c r="J800" s="30" t="s">
        <v>48</v>
      </c>
      <c r="K800" s="30" t="s">
        <v>47</v>
      </c>
      <c r="L800" s="30" t="s">
        <v>99</v>
      </c>
      <c r="M800" s="31" t="n">
        <f aca="false">AVERAGEIF($E$2:$E$1197,E800,$G$2:$G$1197)</f>
        <v>545.358823529412</v>
      </c>
      <c r="N800" s="19" t="str">
        <f aca="false">IF(G800&gt;M800*3,"نعم","لا")</f>
        <v>لا</v>
      </c>
      <c r="O800" s="19" t="str">
        <f aca="false">IF(OR(C800="",ISNUMBER(C800)),"لا","نعم")</f>
        <v>لا</v>
      </c>
      <c r="P800" s="19" t="str">
        <f aca="false">IF(COUNTIF($B$2:B800,B800)&gt;1,"مكرر","فريد")</f>
        <v>فريد</v>
      </c>
      <c r="Q800" s="19" t="str">
        <f aca="false">IF(COUNTBLANK(D800:L800)&gt;0,"نعم","لا")</f>
        <v>لا</v>
      </c>
    </row>
    <row r="801" customFormat="false" ht="15" hidden="false" customHeight="false" outlineLevel="0" collapsed="false">
      <c r="A801" s="19" t="n">
        <v>800</v>
      </c>
      <c r="B801" s="30" t="s">
        <v>431</v>
      </c>
      <c r="C801" s="44" t="n">
        <v>45384</v>
      </c>
      <c r="D801" s="30" t="s">
        <v>50</v>
      </c>
      <c r="E801" s="30" t="s">
        <v>111</v>
      </c>
      <c r="F801" s="30" t="s">
        <v>122</v>
      </c>
      <c r="G801" s="31" t="n">
        <v>579</v>
      </c>
      <c r="H801" s="19" t="n">
        <v>2</v>
      </c>
      <c r="I801" s="32" t="n">
        <v>0.15</v>
      </c>
      <c r="J801" s="30" t="s">
        <v>58</v>
      </c>
      <c r="K801" s="30" t="s">
        <v>47</v>
      </c>
      <c r="L801" s="30" t="s">
        <v>96</v>
      </c>
      <c r="M801" s="31" t="n">
        <f aca="false">AVERAGEIF($E$2:$E$1197,E801,$G$2:$G$1197)</f>
        <v>366.306569343066</v>
      </c>
      <c r="N801" s="19" t="str">
        <f aca="false">IF(G801&gt;M801*3,"نعم","لا")</f>
        <v>لا</v>
      </c>
      <c r="O801" s="19" t="str">
        <f aca="false">IF(OR(C801="",ISNUMBER(C801)),"لا","نعم")</f>
        <v>لا</v>
      </c>
      <c r="P801" s="19" t="str">
        <f aca="false">IF(COUNTIF($B$2:B801,B801)&gt;1,"مكرر","فريد")</f>
        <v>فريد</v>
      </c>
      <c r="Q801" s="19" t="str">
        <f aca="false">IF(COUNTBLANK(D801:L801)&gt;0,"نعم","لا")</f>
        <v>لا</v>
      </c>
    </row>
    <row r="802" customFormat="false" ht="15" hidden="false" customHeight="false" outlineLevel="0" collapsed="false">
      <c r="A802" s="19" t="n">
        <v>801</v>
      </c>
      <c r="B802" s="30" t="s">
        <v>1234</v>
      </c>
      <c r="C802" s="44" t="n">
        <v>45639</v>
      </c>
      <c r="D802" s="30" t="s">
        <v>46</v>
      </c>
      <c r="E802" s="30" t="s">
        <v>107</v>
      </c>
      <c r="F802" s="30" t="s">
        <v>184</v>
      </c>
      <c r="G802" s="31" t="n">
        <v>23190</v>
      </c>
      <c r="H802" s="19" t="n">
        <v>1</v>
      </c>
      <c r="I802" s="32" t="n">
        <v>0</v>
      </c>
      <c r="J802" s="30" t="s">
        <v>52</v>
      </c>
      <c r="K802" s="30" t="s">
        <v>47</v>
      </c>
      <c r="L802" s="30" t="s">
        <v>76</v>
      </c>
      <c r="M802" s="31" t="n">
        <f aca="false">AVERAGEIF($E$2:$E$1197,E802,$G$2:$G$1197)</f>
        <v>4981.14563106796</v>
      </c>
      <c r="N802" s="19" t="str">
        <f aca="false">IF(G802&gt;M802*3,"نعم","لا")</f>
        <v>نعم</v>
      </c>
      <c r="O802" s="19" t="str">
        <f aca="false">IF(OR(C802="",ISNUMBER(C802)),"لا","نعم")</f>
        <v>لا</v>
      </c>
      <c r="P802" s="19" t="str">
        <f aca="false">IF(COUNTIF($B$2:B802,B802)&gt;1,"مكرر","فريد")</f>
        <v>فريد</v>
      </c>
      <c r="Q802" s="19" t="str">
        <f aca="false">IF(COUNTBLANK(D802:L802)&gt;0,"نعم","لا")</f>
        <v>لا</v>
      </c>
    </row>
    <row r="803" customFormat="false" ht="15" hidden="false" customHeight="false" outlineLevel="0" collapsed="false">
      <c r="A803" s="19" t="n">
        <v>802</v>
      </c>
      <c r="B803" s="30" t="s">
        <v>600</v>
      </c>
      <c r="C803" s="44" t="n">
        <v>45452</v>
      </c>
      <c r="D803" s="30" t="s">
        <v>54</v>
      </c>
      <c r="E803" s="30" t="s">
        <v>111</v>
      </c>
      <c r="F803" s="30" t="s">
        <v>108</v>
      </c>
      <c r="G803" s="31" t="n">
        <v>489</v>
      </c>
      <c r="H803" s="19" t="n">
        <v>2</v>
      </c>
      <c r="I803" s="32" t="n">
        <v>0</v>
      </c>
      <c r="J803" s="30" t="s">
        <v>55</v>
      </c>
      <c r="K803" s="30" t="s">
        <v>47</v>
      </c>
      <c r="L803" s="30" t="s">
        <v>84</v>
      </c>
      <c r="M803" s="31" t="n">
        <f aca="false">AVERAGEIF($E$2:$E$1197,E803,$G$2:$G$1197)</f>
        <v>366.306569343066</v>
      </c>
      <c r="N803" s="19" t="str">
        <f aca="false">IF(G803&gt;M803*3,"نعم","لا")</f>
        <v>لا</v>
      </c>
      <c r="O803" s="19" t="str">
        <f aca="false">IF(OR(C803="",ISNUMBER(C803)),"لا","نعم")</f>
        <v>لا</v>
      </c>
      <c r="P803" s="19" t="str">
        <f aca="false">IF(COUNTIF($B$2:B803,B803)&gt;1,"مكرر","فريد")</f>
        <v>فريد</v>
      </c>
      <c r="Q803" s="19" t="str">
        <f aca="false">IF(COUNTBLANK(D803:L803)&gt;0,"نعم","لا")</f>
        <v>لا</v>
      </c>
    </row>
    <row r="804" customFormat="false" ht="15" hidden="false" customHeight="false" outlineLevel="0" collapsed="false">
      <c r="A804" s="19" t="n">
        <v>803</v>
      </c>
      <c r="B804" s="30" t="s">
        <v>1110</v>
      </c>
      <c r="C804" s="44" t="n">
        <v>45609</v>
      </c>
      <c r="D804" s="30" t="s">
        <v>50</v>
      </c>
      <c r="E804" s="30" t="s">
        <v>113</v>
      </c>
      <c r="F804" s="30" t="s">
        <v>97</v>
      </c>
      <c r="G804" s="31" t="n">
        <v>419</v>
      </c>
      <c r="H804" s="19" t="n">
        <v>2</v>
      </c>
      <c r="I804" s="32" t="n">
        <v>0</v>
      </c>
      <c r="J804" s="30" t="s">
        <v>55</v>
      </c>
      <c r="K804" s="30" t="s">
        <v>47</v>
      </c>
      <c r="L804" s="30" t="s">
        <v>78</v>
      </c>
      <c r="M804" s="31" t="n">
        <f aca="false">AVERAGEIF($E$2:$E$1197,E804,$G$2:$G$1197)</f>
        <v>545.358823529412</v>
      </c>
      <c r="N804" s="19" t="str">
        <f aca="false">IF(G804&gt;M804*3,"نعم","لا")</f>
        <v>لا</v>
      </c>
      <c r="O804" s="19" t="str">
        <f aca="false">IF(OR(C804="",ISNUMBER(C804)),"لا","نعم")</f>
        <v>لا</v>
      </c>
      <c r="P804" s="19" t="str">
        <f aca="false">IF(COUNTIF($B$2:B804,B804)&gt;1,"مكرر","فريد")</f>
        <v>فريد</v>
      </c>
      <c r="Q804" s="19" t="str">
        <f aca="false">IF(COUNTBLANK(D804:L804)&gt;0,"نعم","لا")</f>
        <v>لا</v>
      </c>
    </row>
    <row r="805" customFormat="false" ht="15" hidden="false" customHeight="false" outlineLevel="0" collapsed="false">
      <c r="A805" s="19" t="n">
        <v>804</v>
      </c>
      <c r="B805" s="30" t="s">
        <v>931</v>
      </c>
      <c r="C805" s="30" t="s">
        <v>1467</v>
      </c>
      <c r="D805" s="30" t="s">
        <v>46</v>
      </c>
      <c r="E805" s="30" t="s">
        <v>113</v>
      </c>
      <c r="F805" s="30" t="s">
        <v>121</v>
      </c>
      <c r="G805" s="31" t="n">
        <v>539</v>
      </c>
      <c r="H805" s="19" t="n">
        <v>2</v>
      </c>
      <c r="I805" s="32" t="n">
        <v>0</v>
      </c>
      <c r="J805" s="30" t="s">
        <v>52</v>
      </c>
      <c r="K805" s="30"/>
      <c r="L805" s="30" t="s">
        <v>86</v>
      </c>
      <c r="M805" s="31" t="n">
        <f aca="false">AVERAGEIF($E$2:$E$1197,E805,$G$2:$G$1197)</f>
        <v>545.358823529412</v>
      </c>
      <c r="N805" s="19" t="str">
        <f aca="false">IF(G805&gt;M805*3,"نعم","لا")</f>
        <v>لا</v>
      </c>
      <c r="O805" s="19" t="str">
        <f aca="false">IF(OR(C805="",ISNUMBER(C805)),"لا","نعم")</f>
        <v>نعم</v>
      </c>
      <c r="P805" s="19" t="str">
        <f aca="false">IF(COUNTIF($B$2:B805,B805)&gt;1,"مكرر","فريد")</f>
        <v>فريد</v>
      </c>
      <c r="Q805" s="19" t="str">
        <f aca="false">IF(COUNTBLANK(D805:L805)&gt;0,"نعم","لا")</f>
        <v>نعم</v>
      </c>
    </row>
    <row r="806" customFormat="false" ht="15" hidden="false" customHeight="false" outlineLevel="0" collapsed="false">
      <c r="A806" s="19" t="n">
        <v>805</v>
      </c>
      <c r="B806" s="30" t="s">
        <v>987</v>
      </c>
      <c r="C806" s="44" t="n">
        <v>45576</v>
      </c>
      <c r="D806" s="30" t="s">
        <v>50</v>
      </c>
      <c r="E806" s="30" t="s">
        <v>105</v>
      </c>
      <c r="F806" s="30" t="s">
        <v>85</v>
      </c>
      <c r="G806" s="31" t="n">
        <v>1169</v>
      </c>
      <c r="H806" s="19" t="n">
        <v>1</v>
      </c>
      <c r="I806" s="32" t="n">
        <v>0</v>
      </c>
      <c r="J806" s="30" t="s">
        <v>52</v>
      </c>
      <c r="K806" s="30" t="s">
        <v>47</v>
      </c>
      <c r="L806" s="30" t="s">
        <v>89</v>
      </c>
      <c r="M806" s="31" t="n">
        <f aca="false">AVERAGEIF($E$2:$E$1197,E806,$G$2:$G$1197)</f>
        <v>2870.26771653543</v>
      </c>
      <c r="N806" s="19" t="str">
        <f aca="false">IF(G806&gt;M806*3,"نعم","لا")</f>
        <v>لا</v>
      </c>
      <c r="O806" s="19" t="str">
        <f aca="false">IF(OR(C806="",ISNUMBER(C806)),"لا","نعم")</f>
        <v>لا</v>
      </c>
      <c r="P806" s="19" t="str">
        <f aca="false">IF(COUNTIF($B$2:B806,B806)&gt;1,"مكرر","فريد")</f>
        <v>فريد</v>
      </c>
      <c r="Q806" s="19" t="str">
        <f aca="false">IF(COUNTBLANK(D806:L806)&gt;0,"نعم","لا")</f>
        <v>لا</v>
      </c>
    </row>
    <row r="807" customFormat="false" ht="15" hidden="false" customHeight="false" outlineLevel="0" collapsed="false">
      <c r="A807" s="19" t="n">
        <v>806</v>
      </c>
      <c r="B807" s="30" t="s">
        <v>841</v>
      </c>
      <c r="C807" s="44" t="n">
        <v>45527</v>
      </c>
      <c r="D807" s="30" t="s">
        <v>46</v>
      </c>
      <c r="E807" s="30" t="s">
        <v>105</v>
      </c>
      <c r="F807" s="30" t="s">
        <v>85</v>
      </c>
      <c r="G807" s="31" t="n">
        <v>3209</v>
      </c>
      <c r="H807" s="19" t="n">
        <v>1</v>
      </c>
      <c r="I807" s="32" t="n">
        <v>0.05</v>
      </c>
      <c r="J807" s="30" t="s">
        <v>48</v>
      </c>
      <c r="K807" s="30" t="s">
        <v>47</v>
      </c>
      <c r="L807" s="30" t="s">
        <v>89</v>
      </c>
      <c r="M807" s="31" t="n">
        <f aca="false">AVERAGEIF($E$2:$E$1197,E807,$G$2:$G$1197)</f>
        <v>2870.26771653543</v>
      </c>
      <c r="N807" s="19" t="str">
        <f aca="false">IF(G807&gt;M807*3,"نعم","لا")</f>
        <v>لا</v>
      </c>
      <c r="O807" s="19" t="str">
        <f aca="false">IF(OR(C807="",ISNUMBER(C807)),"لا","نعم")</f>
        <v>لا</v>
      </c>
      <c r="P807" s="19" t="str">
        <f aca="false">IF(COUNTIF($B$2:B807,B807)&gt;1,"مكرر","فريد")</f>
        <v>فريد</v>
      </c>
      <c r="Q807" s="19" t="str">
        <f aca="false">IF(COUNTBLANK(D807:L807)&gt;0,"نعم","لا")</f>
        <v>لا</v>
      </c>
    </row>
    <row r="808" customFormat="false" ht="15" hidden="false" customHeight="false" outlineLevel="0" collapsed="false">
      <c r="A808" s="19" t="n">
        <v>807</v>
      </c>
      <c r="B808" s="30" t="s">
        <v>472</v>
      </c>
      <c r="C808" s="44" t="n">
        <v>45399</v>
      </c>
      <c r="D808" s="30" t="s">
        <v>54</v>
      </c>
      <c r="E808" s="30" t="s">
        <v>113</v>
      </c>
      <c r="F808" s="30" t="s">
        <v>121</v>
      </c>
      <c r="G808" s="31" t="n">
        <v>899</v>
      </c>
      <c r="H808" s="19" t="n">
        <v>1</v>
      </c>
      <c r="I808" s="32" t="n">
        <v>0</v>
      </c>
      <c r="J808" s="30" t="s">
        <v>48</v>
      </c>
      <c r="K808" s="30" t="s">
        <v>47</v>
      </c>
      <c r="L808" s="30" t="s">
        <v>78</v>
      </c>
      <c r="M808" s="31" t="n">
        <f aca="false">AVERAGEIF($E$2:$E$1197,E808,$G$2:$G$1197)</f>
        <v>545.358823529412</v>
      </c>
      <c r="N808" s="19" t="str">
        <f aca="false">IF(G808&gt;M808*3,"نعم","لا")</f>
        <v>لا</v>
      </c>
      <c r="O808" s="19" t="str">
        <f aca="false">IF(OR(C808="",ISNUMBER(C808)),"لا","نعم")</f>
        <v>لا</v>
      </c>
      <c r="P808" s="19" t="str">
        <f aca="false">IF(COUNTIF($B$2:B808,B808)&gt;1,"مكرر","فريد")</f>
        <v>فريد</v>
      </c>
      <c r="Q808" s="19" t="str">
        <f aca="false">IF(COUNTBLANK(D808:L808)&gt;0,"نعم","لا")</f>
        <v>لا</v>
      </c>
    </row>
    <row r="809" customFormat="false" ht="15" hidden="false" customHeight="false" outlineLevel="0" collapsed="false">
      <c r="A809" s="19" t="n">
        <v>808</v>
      </c>
      <c r="B809" s="30" t="s">
        <v>502</v>
      </c>
      <c r="C809" s="44" t="n">
        <v>45416</v>
      </c>
      <c r="D809" s="30" t="s">
        <v>54</v>
      </c>
      <c r="E809" s="30" t="s">
        <v>109</v>
      </c>
      <c r="F809" s="30" t="s">
        <v>171</v>
      </c>
      <c r="G809" s="31" t="n">
        <v>149</v>
      </c>
      <c r="H809" s="19" t="n">
        <v>3</v>
      </c>
      <c r="I809" s="32" t="n">
        <v>0</v>
      </c>
      <c r="J809" s="30" t="s">
        <v>52</v>
      </c>
      <c r="K809" s="30" t="s">
        <v>47</v>
      </c>
      <c r="L809" s="30" t="s">
        <v>84</v>
      </c>
      <c r="M809" s="31" t="n">
        <f aca="false">AVERAGEIF($E$2:$E$1197,E809,$G$2:$G$1197)</f>
        <v>186.056291390729</v>
      </c>
      <c r="N809" s="19" t="str">
        <f aca="false">IF(G809&gt;M809*3,"نعم","لا")</f>
        <v>لا</v>
      </c>
      <c r="O809" s="19" t="str">
        <f aca="false">IF(OR(C809="",ISNUMBER(C809)),"لا","نعم")</f>
        <v>لا</v>
      </c>
      <c r="P809" s="19" t="str">
        <f aca="false">IF(COUNTIF($B$2:B809,B809)&gt;1,"مكرر","فريد")</f>
        <v>فريد</v>
      </c>
      <c r="Q809" s="19" t="str">
        <f aca="false">IF(COUNTBLANK(D809:L809)&gt;0,"نعم","لا")</f>
        <v>لا</v>
      </c>
    </row>
    <row r="810" customFormat="false" ht="15" hidden="false" customHeight="false" outlineLevel="0" collapsed="false">
      <c r="A810" s="19" t="n">
        <v>809</v>
      </c>
      <c r="B810" s="30" t="s">
        <v>1008</v>
      </c>
      <c r="C810" s="44" t="n">
        <v>45585</v>
      </c>
      <c r="D810" s="30" t="s">
        <v>46</v>
      </c>
      <c r="E810" s="30" t="s">
        <v>111</v>
      </c>
      <c r="F810" s="30" t="s">
        <v>122</v>
      </c>
      <c r="G810" s="31" t="n">
        <v>99</v>
      </c>
      <c r="H810" s="19" t="n">
        <v>1</v>
      </c>
      <c r="I810" s="32" t="n">
        <v>0.05</v>
      </c>
      <c r="J810" s="30" t="s">
        <v>52</v>
      </c>
      <c r="K810" s="30" t="s">
        <v>47</v>
      </c>
      <c r="L810" s="30" t="s">
        <v>94</v>
      </c>
      <c r="M810" s="31" t="n">
        <f aca="false">AVERAGEIF($E$2:$E$1197,E810,$G$2:$G$1197)</f>
        <v>366.306569343066</v>
      </c>
      <c r="N810" s="19" t="str">
        <f aca="false">IF(G810&gt;M810*3,"نعم","لا")</f>
        <v>لا</v>
      </c>
      <c r="O810" s="19" t="str">
        <f aca="false">IF(OR(C810="",ISNUMBER(C810)),"لا","نعم")</f>
        <v>لا</v>
      </c>
      <c r="P810" s="19" t="str">
        <f aca="false">IF(COUNTIF($B$2:B810,B810)&gt;1,"مكرر","فريد")</f>
        <v>فريد</v>
      </c>
      <c r="Q810" s="19" t="str">
        <f aca="false">IF(COUNTBLANK(D810:L810)&gt;0,"نعم","لا")</f>
        <v>لا</v>
      </c>
    </row>
    <row r="811" customFormat="false" ht="15" hidden="false" customHeight="false" outlineLevel="0" collapsed="false">
      <c r="A811" s="19" t="n">
        <v>810</v>
      </c>
      <c r="B811" s="30" t="s">
        <v>478</v>
      </c>
      <c r="C811" s="44" t="n">
        <v>45404</v>
      </c>
      <c r="D811" s="30" t="s">
        <v>60</v>
      </c>
      <c r="E811" s="30" t="s">
        <v>105</v>
      </c>
      <c r="F811" s="30" t="s">
        <v>85</v>
      </c>
      <c r="G811" s="31" t="n">
        <v>3449</v>
      </c>
      <c r="H811" s="19" t="n">
        <v>1</v>
      </c>
      <c r="I811" s="32" t="n">
        <v>0.2</v>
      </c>
      <c r="J811" s="30" t="s">
        <v>48</v>
      </c>
      <c r="K811" s="30" t="s">
        <v>47</v>
      </c>
      <c r="L811" s="30" t="s">
        <v>94</v>
      </c>
      <c r="M811" s="31" t="n">
        <f aca="false">AVERAGEIF($E$2:$E$1197,E811,$G$2:$G$1197)</f>
        <v>2870.26771653543</v>
      </c>
      <c r="N811" s="19" t="str">
        <f aca="false">IF(G811&gt;M811*3,"نعم","لا")</f>
        <v>لا</v>
      </c>
      <c r="O811" s="19" t="str">
        <f aca="false">IF(OR(C811="",ISNUMBER(C811)),"لا","نعم")</f>
        <v>لا</v>
      </c>
      <c r="P811" s="19" t="str">
        <f aca="false">IF(COUNTIF($B$2:B811,B811)&gt;1,"مكرر","فريد")</f>
        <v>فريد</v>
      </c>
      <c r="Q811" s="19" t="str">
        <f aca="false">IF(COUNTBLANK(D811:L811)&gt;0,"نعم","لا")</f>
        <v>لا</v>
      </c>
    </row>
    <row r="812" customFormat="false" ht="15" hidden="false" customHeight="false" outlineLevel="0" collapsed="false">
      <c r="A812" s="19" t="n">
        <v>811</v>
      </c>
      <c r="B812" s="30" t="s">
        <v>317</v>
      </c>
      <c r="C812" s="30" t="s">
        <v>1468</v>
      </c>
      <c r="D812" s="30" t="s">
        <v>1397</v>
      </c>
      <c r="E812" s="30" t="s">
        <v>105</v>
      </c>
      <c r="F812" s="30" t="s">
        <v>79</v>
      </c>
      <c r="G812" s="31" t="n">
        <v>1159</v>
      </c>
      <c r="H812" s="19" t="n">
        <v>3</v>
      </c>
      <c r="I812" s="32" t="n">
        <v>0.1</v>
      </c>
      <c r="J812" s="30" t="s">
        <v>48</v>
      </c>
      <c r="K812" s="30" t="s">
        <v>47</v>
      </c>
      <c r="L812" s="30" t="s">
        <v>96</v>
      </c>
      <c r="M812" s="31" t="n">
        <f aca="false">AVERAGEIF($E$2:$E$1197,E812,$G$2:$G$1197)</f>
        <v>2870.26771653543</v>
      </c>
      <c r="N812" s="19" t="str">
        <f aca="false">IF(G812&gt;M812*3,"نعم","لا")</f>
        <v>لا</v>
      </c>
      <c r="O812" s="19" t="str">
        <f aca="false">IF(OR(C812="",ISNUMBER(C812)),"لا","نعم")</f>
        <v>نعم</v>
      </c>
      <c r="P812" s="19" t="str">
        <f aca="false">IF(COUNTIF($B$2:B812,B812)&gt;1,"مكرر","فريد")</f>
        <v>فريد</v>
      </c>
      <c r="Q812" s="19" t="str">
        <f aca="false">IF(COUNTBLANK(D812:L812)&gt;0,"نعم","لا")</f>
        <v>لا</v>
      </c>
    </row>
    <row r="813" customFormat="false" ht="15" hidden="false" customHeight="false" outlineLevel="0" collapsed="false">
      <c r="A813" s="19" t="n">
        <v>812</v>
      </c>
      <c r="B813" s="30" t="s">
        <v>295</v>
      </c>
      <c r="C813" s="44" t="n">
        <v>45338</v>
      </c>
      <c r="D813" s="30" t="s">
        <v>57</v>
      </c>
      <c r="E813" s="30" t="s">
        <v>109</v>
      </c>
      <c r="F813" s="30" t="s">
        <v>192</v>
      </c>
      <c r="G813" s="31" t="n">
        <v>229</v>
      </c>
      <c r="H813" s="19" t="n">
        <v>5</v>
      </c>
      <c r="I813" s="32" t="n">
        <v>0.1</v>
      </c>
      <c r="J813" s="30" t="s">
        <v>48</v>
      </c>
      <c r="K813" s="30" t="s">
        <v>51</v>
      </c>
      <c r="L813" s="30" t="s">
        <v>89</v>
      </c>
      <c r="M813" s="31" t="n">
        <f aca="false">AVERAGEIF($E$2:$E$1197,E813,$G$2:$G$1197)</f>
        <v>186.056291390729</v>
      </c>
      <c r="N813" s="19" t="str">
        <f aca="false">IF(G813&gt;M813*3,"نعم","لا")</f>
        <v>لا</v>
      </c>
      <c r="O813" s="19" t="str">
        <f aca="false">IF(OR(C813="",ISNUMBER(C813)),"لا","نعم")</f>
        <v>لا</v>
      </c>
      <c r="P813" s="19" t="str">
        <f aca="false">IF(COUNTIF($B$2:B813,B813)&gt;1,"مكرر","فريد")</f>
        <v>فريد</v>
      </c>
      <c r="Q813" s="19" t="str">
        <f aca="false">IF(COUNTBLANK(D813:L813)&gt;0,"نعم","لا")</f>
        <v>لا</v>
      </c>
    </row>
    <row r="814" customFormat="false" ht="15" hidden="false" customHeight="false" outlineLevel="0" collapsed="false">
      <c r="A814" s="19" t="n">
        <v>813</v>
      </c>
      <c r="B814" s="30" t="s">
        <v>1205</v>
      </c>
      <c r="C814" s="44" t="n">
        <v>45632</v>
      </c>
      <c r="D814" s="30" t="s">
        <v>46</v>
      </c>
      <c r="E814" s="30" t="s">
        <v>107</v>
      </c>
      <c r="F814" s="30" t="s">
        <v>115</v>
      </c>
      <c r="G814" s="31" t="n">
        <v>6869</v>
      </c>
      <c r="H814" s="19" t="n">
        <v>1</v>
      </c>
      <c r="I814" s="32" t="n">
        <v>0</v>
      </c>
      <c r="J814" s="30" t="s">
        <v>48</v>
      </c>
      <c r="K814" s="30" t="s">
        <v>47</v>
      </c>
      <c r="L814" s="30" t="s">
        <v>96</v>
      </c>
      <c r="M814" s="31" t="n">
        <f aca="false">AVERAGEIF($E$2:$E$1197,E814,$G$2:$G$1197)</f>
        <v>4981.14563106796</v>
      </c>
      <c r="N814" s="19" t="str">
        <f aca="false">IF(G814&gt;M814*3,"نعم","لا")</f>
        <v>لا</v>
      </c>
      <c r="O814" s="19" t="str">
        <f aca="false">IF(OR(C814="",ISNUMBER(C814)),"لا","نعم")</f>
        <v>لا</v>
      </c>
      <c r="P814" s="19" t="str">
        <f aca="false">IF(COUNTIF($B$2:B814,B814)&gt;1,"مكرر","فريد")</f>
        <v>فريد</v>
      </c>
      <c r="Q814" s="19" t="str">
        <f aca="false">IF(COUNTBLANK(D814:L814)&gt;0,"نعم","لا")</f>
        <v>لا</v>
      </c>
    </row>
    <row r="815" customFormat="false" ht="15" hidden="false" customHeight="false" outlineLevel="0" collapsed="false">
      <c r="A815" s="19" t="n">
        <v>814</v>
      </c>
      <c r="B815" s="30" t="s">
        <v>732</v>
      </c>
      <c r="C815" s="44" t="n">
        <v>45496</v>
      </c>
      <c r="D815" s="30" t="s">
        <v>60</v>
      </c>
      <c r="E815" s="30" t="s">
        <v>105</v>
      </c>
      <c r="F815" s="30" t="s">
        <v>90</v>
      </c>
      <c r="G815" s="31" t="n">
        <v>2099</v>
      </c>
      <c r="H815" s="19" t="n">
        <v>3</v>
      </c>
      <c r="I815" s="32" t="n">
        <v>0</v>
      </c>
      <c r="J815" s="30" t="s">
        <v>52</v>
      </c>
      <c r="K815" s="30" t="s">
        <v>51</v>
      </c>
      <c r="L815" s="30" t="s">
        <v>99</v>
      </c>
      <c r="M815" s="31" t="n">
        <f aca="false">AVERAGEIF($E$2:$E$1197,E815,$G$2:$G$1197)</f>
        <v>2870.26771653543</v>
      </c>
      <c r="N815" s="19" t="str">
        <f aca="false">IF(G815&gt;M815*3,"نعم","لا")</f>
        <v>لا</v>
      </c>
      <c r="O815" s="19" t="str">
        <f aca="false">IF(OR(C815="",ISNUMBER(C815)),"لا","نعم")</f>
        <v>لا</v>
      </c>
      <c r="P815" s="19" t="str">
        <f aca="false">IF(COUNTIF($B$2:B815,B815)&gt;1,"مكرر","فريد")</f>
        <v>فريد</v>
      </c>
      <c r="Q815" s="19" t="str">
        <f aca="false">IF(COUNTBLANK(D815:L815)&gt;0,"نعم","لا")</f>
        <v>لا</v>
      </c>
    </row>
    <row r="816" customFormat="false" ht="15" hidden="false" customHeight="false" outlineLevel="0" collapsed="false">
      <c r="A816" s="19" t="n">
        <v>815</v>
      </c>
      <c r="B816" s="30" t="s">
        <v>846</v>
      </c>
      <c r="C816" s="44" t="n">
        <v>45529</v>
      </c>
      <c r="D816" s="30" t="s">
        <v>46</v>
      </c>
      <c r="E816" s="30" t="s">
        <v>113</v>
      </c>
      <c r="F816" s="30" t="s">
        <v>121</v>
      </c>
      <c r="G816" s="31" t="n">
        <v>489</v>
      </c>
      <c r="H816" s="19" t="n">
        <v>1</v>
      </c>
      <c r="I816" s="32" t="n">
        <v>0</v>
      </c>
      <c r="J816" s="30" t="s">
        <v>55</v>
      </c>
      <c r="K816" s="30" t="s">
        <v>47</v>
      </c>
      <c r="L816" s="30" t="s">
        <v>92</v>
      </c>
      <c r="M816" s="31" t="n">
        <f aca="false">AVERAGEIF($E$2:$E$1197,E816,$G$2:$G$1197)</f>
        <v>545.358823529412</v>
      </c>
      <c r="N816" s="19" t="str">
        <f aca="false">IF(G816&gt;M816*3,"نعم","لا")</f>
        <v>لا</v>
      </c>
      <c r="O816" s="19" t="str">
        <f aca="false">IF(OR(C816="",ISNUMBER(C816)),"لا","نعم")</f>
        <v>لا</v>
      </c>
      <c r="P816" s="19" t="str">
        <f aca="false">IF(COUNTIF($B$2:B816,B816)&gt;1,"مكرر","فريد")</f>
        <v>فريد</v>
      </c>
      <c r="Q816" s="19" t="str">
        <f aca="false">IF(COUNTBLANK(D816:L816)&gt;0,"نعم","لا")</f>
        <v>لا</v>
      </c>
    </row>
    <row r="817" customFormat="false" ht="15" hidden="false" customHeight="false" outlineLevel="0" collapsed="false">
      <c r="A817" s="19" t="n">
        <v>816</v>
      </c>
      <c r="B817" s="30" t="s">
        <v>814</v>
      </c>
      <c r="C817" s="44" t="n">
        <v>45520</v>
      </c>
      <c r="D817" s="30" t="s">
        <v>60</v>
      </c>
      <c r="E817" s="30" t="s">
        <v>107</v>
      </c>
      <c r="F817" s="30" t="s">
        <v>115</v>
      </c>
      <c r="G817" s="31" t="n">
        <v>2149</v>
      </c>
      <c r="H817" s="19" t="n">
        <v>1</v>
      </c>
      <c r="I817" s="32" t="n">
        <v>0</v>
      </c>
      <c r="J817" s="30" t="s">
        <v>52</v>
      </c>
      <c r="K817" s="30" t="s">
        <v>47</v>
      </c>
      <c r="L817" s="30" t="s">
        <v>81</v>
      </c>
      <c r="M817" s="31" t="n">
        <f aca="false">AVERAGEIF($E$2:$E$1197,E817,$G$2:$G$1197)</f>
        <v>4981.14563106796</v>
      </c>
      <c r="N817" s="19" t="str">
        <f aca="false">IF(G817&gt;M817*3,"نعم","لا")</f>
        <v>لا</v>
      </c>
      <c r="O817" s="19" t="str">
        <f aca="false">IF(OR(C817="",ISNUMBER(C817)),"لا","نعم")</f>
        <v>لا</v>
      </c>
      <c r="P817" s="19" t="str">
        <f aca="false">IF(COUNTIF($B$2:B817,B817)&gt;1,"مكرر","فريد")</f>
        <v>فريد</v>
      </c>
      <c r="Q817" s="19" t="str">
        <f aca="false">IF(COUNTBLANK(D817:L817)&gt;0,"نعم","لا")</f>
        <v>لا</v>
      </c>
    </row>
    <row r="818" customFormat="false" ht="15" hidden="false" customHeight="false" outlineLevel="0" collapsed="false">
      <c r="A818" s="19" t="n">
        <v>817</v>
      </c>
      <c r="B818" s="30" t="s">
        <v>222</v>
      </c>
      <c r="C818" s="44" t="n">
        <v>45310</v>
      </c>
      <c r="D818" s="30" t="s">
        <v>54</v>
      </c>
      <c r="E818" s="30" t="s">
        <v>111</v>
      </c>
      <c r="F818" s="30" t="s">
        <v>108</v>
      </c>
      <c r="G818" s="31" t="n">
        <v>499</v>
      </c>
      <c r="H818" s="19" t="n">
        <v>1</v>
      </c>
      <c r="I818" s="32" t="n">
        <v>0.1</v>
      </c>
      <c r="J818" s="30" t="s">
        <v>52</v>
      </c>
      <c r="K818" s="30" t="s">
        <v>47</v>
      </c>
      <c r="L818" s="30" t="s">
        <v>84</v>
      </c>
      <c r="M818" s="31" t="n">
        <f aca="false">AVERAGEIF($E$2:$E$1197,E818,$G$2:$G$1197)</f>
        <v>366.306569343066</v>
      </c>
      <c r="N818" s="19" t="str">
        <f aca="false">IF(G818&gt;M818*3,"نعم","لا")</f>
        <v>لا</v>
      </c>
      <c r="O818" s="19" t="str">
        <f aca="false">IF(OR(C818="",ISNUMBER(C818)),"لا","نعم")</f>
        <v>لا</v>
      </c>
      <c r="P818" s="19" t="str">
        <f aca="false">IF(COUNTIF($B$2:B818,B818)&gt;1,"مكرر","فريد")</f>
        <v>فريد</v>
      </c>
      <c r="Q818" s="19" t="str">
        <f aca="false">IF(COUNTBLANK(D818:L818)&gt;0,"نعم","لا")</f>
        <v>لا</v>
      </c>
    </row>
    <row r="819" customFormat="false" ht="15" hidden="false" customHeight="false" outlineLevel="0" collapsed="false">
      <c r="A819" s="19" t="n">
        <v>818</v>
      </c>
      <c r="B819" s="30" t="s">
        <v>876</v>
      </c>
      <c r="C819" s="44" t="n">
        <v>45536</v>
      </c>
      <c r="D819" s="30" t="s">
        <v>46</v>
      </c>
      <c r="E819" s="30" t="s">
        <v>109</v>
      </c>
      <c r="F819" s="30" t="s">
        <v>93</v>
      </c>
      <c r="G819" s="31" t="n">
        <v>69</v>
      </c>
      <c r="H819" s="19" t="n">
        <v>1</v>
      </c>
      <c r="I819" s="32" t="n">
        <v>0</v>
      </c>
      <c r="J819" s="30" t="s">
        <v>52</v>
      </c>
      <c r="K819" s="30" t="s">
        <v>47</v>
      </c>
      <c r="L819" s="30" t="s">
        <v>86</v>
      </c>
      <c r="M819" s="31" t="n">
        <f aca="false">AVERAGEIF($E$2:$E$1197,E819,$G$2:$G$1197)</f>
        <v>186.056291390729</v>
      </c>
      <c r="N819" s="19" t="str">
        <f aca="false">IF(G819&gt;M819*3,"نعم","لا")</f>
        <v>لا</v>
      </c>
      <c r="O819" s="19" t="str">
        <f aca="false">IF(OR(C819="",ISNUMBER(C819)),"لا","نعم")</f>
        <v>لا</v>
      </c>
      <c r="P819" s="19" t="str">
        <f aca="false">IF(COUNTIF($B$2:B819,B819)&gt;1,"مكرر","فريد")</f>
        <v>فريد</v>
      </c>
      <c r="Q819" s="19" t="str">
        <f aca="false">IF(COUNTBLANK(D819:L819)&gt;0,"نعم","لا")</f>
        <v>لا</v>
      </c>
    </row>
    <row r="820" customFormat="false" ht="15" hidden="false" customHeight="false" outlineLevel="0" collapsed="false">
      <c r="A820" s="19" t="n">
        <v>819</v>
      </c>
      <c r="B820" s="30" t="s">
        <v>949</v>
      </c>
      <c r="C820" s="44" t="n">
        <v>45564</v>
      </c>
      <c r="D820" s="30" t="s">
        <v>46</v>
      </c>
      <c r="E820" s="30" t="s">
        <v>107</v>
      </c>
      <c r="F820" s="30" t="s">
        <v>114</v>
      </c>
      <c r="G820" s="31" t="n">
        <v>4029</v>
      </c>
      <c r="H820" s="19" t="n">
        <v>10</v>
      </c>
      <c r="I820" s="32" t="n">
        <v>0.1</v>
      </c>
      <c r="J820" s="30" t="s">
        <v>48</v>
      </c>
      <c r="K820" s="30" t="s">
        <v>51</v>
      </c>
      <c r="L820" s="30" t="s">
        <v>86</v>
      </c>
      <c r="M820" s="31" t="n">
        <f aca="false">AVERAGEIF($E$2:$E$1197,E820,$G$2:$G$1197)</f>
        <v>4981.14563106796</v>
      </c>
      <c r="N820" s="19" t="str">
        <f aca="false">IF(G820&gt;M820*3,"نعم","لا")</f>
        <v>لا</v>
      </c>
      <c r="O820" s="19" t="str">
        <f aca="false">IF(OR(C820="",ISNUMBER(C820)),"لا","نعم")</f>
        <v>لا</v>
      </c>
      <c r="P820" s="19" t="str">
        <f aca="false">IF(COUNTIF($B$2:B820,B820)&gt;1,"مكرر","فريد")</f>
        <v>فريد</v>
      </c>
      <c r="Q820" s="19" t="str">
        <f aca="false">IF(COUNTBLANK(D820:L820)&gt;0,"نعم","لا")</f>
        <v>لا</v>
      </c>
    </row>
    <row r="821" customFormat="false" ht="15" hidden="false" customHeight="false" outlineLevel="0" collapsed="false">
      <c r="A821" s="19" t="n">
        <v>820</v>
      </c>
      <c r="B821" s="30" t="s">
        <v>513</v>
      </c>
      <c r="C821" s="44" t="n">
        <v>45420</v>
      </c>
      <c r="D821" s="30" t="s">
        <v>46</v>
      </c>
      <c r="E821" s="30" t="s">
        <v>107</v>
      </c>
      <c r="F821" s="30" t="s">
        <v>184</v>
      </c>
      <c r="G821" s="31" t="n">
        <v>2529</v>
      </c>
      <c r="H821" s="19" t="n">
        <v>3</v>
      </c>
      <c r="I821" s="32" t="n">
        <v>0</v>
      </c>
      <c r="J821" s="30" t="s">
        <v>55</v>
      </c>
      <c r="K821" s="30" t="s">
        <v>51</v>
      </c>
      <c r="L821" s="30" t="s">
        <v>78</v>
      </c>
      <c r="M821" s="31" t="n">
        <f aca="false">AVERAGEIF($E$2:$E$1197,E821,$G$2:$G$1197)</f>
        <v>4981.14563106796</v>
      </c>
      <c r="N821" s="19" t="str">
        <f aca="false">IF(G821&gt;M821*3,"نعم","لا")</f>
        <v>لا</v>
      </c>
      <c r="O821" s="19" t="str">
        <f aca="false">IF(OR(C821="",ISNUMBER(C821)),"لا","نعم")</f>
        <v>لا</v>
      </c>
      <c r="P821" s="19" t="str">
        <f aca="false">IF(COUNTIF($B$2:B821,B821)&gt;1,"مكرر","فريد")</f>
        <v>فريد</v>
      </c>
      <c r="Q821" s="19" t="str">
        <f aca="false">IF(COUNTBLANK(D821:L821)&gt;0,"نعم","لا")</f>
        <v>لا</v>
      </c>
    </row>
    <row r="822" customFormat="false" ht="15" hidden="false" customHeight="false" outlineLevel="0" collapsed="false">
      <c r="A822" s="19" t="n">
        <v>821</v>
      </c>
      <c r="B822" s="30" t="s">
        <v>1288</v>
      </c>
      <c r="C822" s="44" t="n">
        <v>45657</v>
      </c>
      <c r="D822" s="30" t="s">
        <v>54</v>
      </c>
      <c r="E822" s="30" t="s">
        <v>111</v>
      </c>
      <c r="F822" s="30" t="s">
        <v>120</v>
      </c>
      <c r="G822" s="31" t="n">
        <v>239</v>
      </c>
      <c r="H822" s="19" t="n">
        <v>2</v>
      </c>
      <c r="I822" s="32" t="n">
        <v>0.1</v>
      </c>
      <c r="J822" s="30" t="s">
        <v>55</v>
      </c>
      <c r="K822" s="30" t="s">
        <v>47</v>
      </c>
      <c r="L822" s="30" t="s">
        <v>84</v>
      </c>
      <c r="M822" s="31" t="n">
        <f aca="false">AVERAGEIF($E$2:$E$1197,E822,$G$2:$G$1197)</f>
        <v>366.306569343066</v>
      </c>
      <c r="N822" s="19" t="str">
        <f aca="false">IF(G822&gt;M822*3,"نعم","لا")</f>
        <v>لا</v>
      </c>
      <c r="O822" s="19" t="str">
        <f aca="false">IF(OR(C822="",ISNUMBER(C822)),"لا","نعم")</f>
        <v>لا</v>
      </c>
      <c r="P822" s="19" t="str">
        <f aca="false">IF(COUNTIF($B$2:B822,B822)&gt;1,"مكرر","فريد")</f>
        <v>فريد</v>
      </c>
      <c r="Q822" s="19" t="str">
        <f aca="false">IF(COUNTBLANK(D822:L822)&gt;0,"نعم","لا")</f>
        <v>لا</v>
      </c>
    </row>
    <row r="823" customFormat="false" ht="15" hidden="false" customHeight="false" outlineLevel="0" collapsed="false">
      <c r="A823" s="19" t="n">
        <v>822</v>
      </c>
      <c r="B823" s="30" t="s">
        <v>311</v>
      </c>
      <c r="C823" s="44" t="n">
        <v>45347</v>
      </c>
      <c r="D823" s="30" t="s">
        <v>57</v>
      </c>
      <c r="E823" s="30" t="s">
        <v>105</v>
      </c>
      <c r="F823" s="30" t="s">
        <v>79</v>
      </c>
      <c r="G823" s="31" t="n">
        <v>3309</v>
      </c>
      <c r="H823" s="19" t="n">
        <v>3</v>
      </c>
      <c r="I823" s="32" t="n">
        <v>0</v>
      </c>
      <c r="J823" s="30" t="s">
        <v>48</v>
      </c>
      <c r="K823" s="30" t="s">
        <v>47</v>
      </c>
      <c r="L823" s="30" t="s">
        <v>86</v>
      </c>
      <c r="M823" s="31" t="n">
        <f aca="false">AVERAGEIF($E$2:$E$1197,E823,$G$2:$G$1197)</f>
        <v>2870.26771653543</v>
      </c>
      <c r="N823" s="19" t="str">
        <f aca="false">IF(G823&gt;M823*3,"نعم","لا")</f>
        <v>لا</v>
      </c>
      <c r="O823" s="19" t="str">
        <f aca="false">IF(OR(C823="",ISNUMBER(C823)),"لا","نعم")</f>
        <v>لا</v>
      </c>
      <c r="P823" s="19" t="str">
        <f aca="false">IF(COUNTIF($B$2:B823,B823)&gt;1,"مكرر","فريد")</f>
        <v>فريد</v>
      </c>
      <c r="Q823" s="19" t="str">
        <f aca="false">IF(COUNTBLANK(D823:L823)&gt;0,"نعم","لا")</f>
        <v>لا</v>
      </c>
    </row>
    <row r="824" customFormat="false" ht="15" hidden="false" customHeight="false" outlineLevel="0" collapsed="false">
      <c r="A824" s="19" t="n">
        <v>823</v>
      </c>
      <c r="B824" s="30" t="s">
        <v>631</v>
      </c>
      <c r="C824" s="44" t="n">
        <v>45461</v>
      </c>
      <c r="D824" s="30" t="s">
        <v>54</v>
      </c>
      <c r="E824" s="30" t="s">
        <v>107</v>
      </c>
      <c r="F824" s="30" t="s">
        <v>184</v>
      </c>
      <c r="G824" s="31" t="n">
        <v>3359</v>
      </c>
      <c r="H824" s="19" t="n">
        <v>3</v>
      </c>
      <c r="I824" s="32" t="n">
        <v>0.15</v>
      </c>
      <c r="J824" s="30" t="s">
        <v>48</v>
      </c>
      <c r="K824" s="30" t="s">
        <v>51</v>
      </c>
      <c r="L824" s="30" t="s">
        <v>84</v>
      </c>
      <c r="M824" s="31" t="n">
        <f aca="false">AVERAGEIF($E$2:$E$1197,E824,$G$2:$G$1197)</f>
        <v>4981.14563106796</v>
      </c>
      <c r="N824" s="19" t="str">
        <f aca="false">IF(G824&gt;M824*3,"نعم","لا")</f>
        <v>لا</v>
      </c>
      <c r="O824" s="19" t="str">
        <f aca="false">IF(OR(C824="",ISNUMBER(C824)),"لا","نعم")</f>
        <v>لا</v>
      </c>
      <c r="P824" s="19" t="str">
        <f aca="false">IF(COUNTIF($B$2:B824,B824)&gt;1,"مكرر","فريد")</f>
        <v>فريد</v>
      </c>
      <c r="Q824" s="19" t="str">
        <f aca="false">IF(COUNTBLANK(D824:L824)&gt;0,"نعم","لا")</f>
        <v>لا</v>
      </c>
    </row>
    <row r="825" customFormat="false" ht="15" hidden="false" customHeight="false" outlineLevel="0" collapsed="false">
      <c r="A825" s="19" t="n">
        <v>824</v>
      </c>
      <c r="B825" s="30" t="s">
        <v>806</v>
      </c>
      <c r="C825" s="44" t="n">
        <v>45518</v>
      </c>
      <c r="D825" s="30" t="s">
        <v>46</v>
      </c>
      <c r="E825" s="30" t="s">
        <v>107</v>
      </c>
      <c r="F825" s="30" t="s">
        <v>184</v>
      </c>
      <c r="G825" s="31" t="n">
        <v>2279</v>
      </c>
      <c r="H825" s="19" t="n">
        <v>1</v>
      </c>
      <c r="I825" s="32" t="n">
        <v>0</v>
      </c>
      <c r="J825" s="30" t="s">
        <v>48</v>
      </c>
      <c r="K825" s="30" t="s">
        <v>47</v>
      </c>
      <c r="L825" s="30" t="s">
        <v>92</v>
      </c>
      <c r="M825" s="31" t="n">
        <f aca="false">AVERAGEIF($E$2:$E$1197,E825,$G$2:$G$1197)</f>
        <v>4981.14563106796</v>
      </c>
      <c r="N825" s="19" t="str">
        <f aca="false">IF(G825&gt;M825*3,"نعم","لا")</f>
        <v>لا</v>
      </c>
      <c r="O825" s="19" t="str">
        <f aca="false">IF(OR(C825="",ISNUMBER(C825)),"لا","نعم")</f>
        <v>لا</v>
      </c>
      <c r="P825" s="19" t="str">
        <f aca="false">IF(COUNTIF($B$2:B825,B825)&gt;1,"مكرر","فريد")</f>
        <v>فريد</v>
      </c>
      <c r="Q825" s="19" t="str">
        <f aca="false">IF(COUNTBLANK(D825:L825)&gt;0,"نعم","لا")</f>
        <v>لا</v>
      </c>
    </row>
    <row r="826" customFormat="false" ht="15" hidden="false" customHeight="false" outlineLevel="0" collapsed="false">
      <c r="A826" s="19" t="n">
        <v>825</v>
      </c>
      <c r="B826" s="30" t="s">
        <v>562</v>
      </c>
      <c r="C826" s="44" t="n">
        <v>45435</v>
      </c>
      <c r="D826" s="30" t="s">
        <v>54</v>
      </c>
      <c r="E826" s="30" t="s">
        <v>109</v>
      </c>
      <c r="F826" s="30" t="s">
        <v>110</v>
      </c>
      <c r="G826" s="31" t="n">
        <v>159</v>
      </c>
      <c r="H826" s="19" t="n">
        <v>1</v>
      </c>
      <c r="I826" s="32" t="n">
        <v>0.05</v>
      </c>
      <c r="J826" s="30" t="s">
        <v>48</v>
      </c>
      <c r="K826" s="30" t="s">
        <v>47</v>
      </c>
      <c r="L826" s="30" t="s">
        <v>78</v>
      </c>
      <c r="M826" s="31" t="n">
        <f aca="false">AVERAGEIF($E$2:$E$1197,E826,$G$2:$G$1197)</f>
        <v>186.056291390729</v>
      </c>
      <c r="N826" s="19" t="str">
        <f aca="false">IF(G826&gt;M826*3,"نعم","لا")</f>
        <v>لا</v>
      </c>
      <c r="O826" s="19" t="str">
        <f aca="false">IF(OR(C826="",ISNUMBER(C826)),"لا","نعم")</f>
        <v>لا</v>
      </c>
      <c r="P826" s="19" t="str">
        <f aca="false">IF(COUNTIF($B$2:B826,B826)&gt;1,"مكرر","فريد")</f>
        <v>فريد</v>
      </c>
      <c r="Q826" s="19" t="str">
        <f aca="false">IF(COUNTBLANK(D826:L826)&gt;0,"نعم","لا")</f>
        <v>لا</v>
      </c>
    </row>
    <row r="827" customFormat="false" ht="15" hidden="false" customHeight="false" outlineLevel="0" collapsed="false">
      <c r="A827" s="19" t="n">
        <v>826</v>
      </c>
      <c r="B827" s="30" t="s">
        <v>1035</v>
      </c>
      <c r="C827" s="44" t="n">
        <v>45594</v>
      </c>
      <c r="D827" s="30" t="s">
        <v>50</v>
      </c>
      <c r="E827" s="30" t="s">
        <v>105</v>
      </c>
      <c r="F827" s="30" t="s">
        <v>179</v>
      </c>
      <c r="G827" s="31" t="n">
        <v>4379</v>
      </c>
      <c r="H827" s="19" t="n">
        <v>8</v>
      </c>
      <c r="I827" s="32" t="n">
        <v>0.2</v>
      </c>
      <c r="J827" s="30" t="s">
        <v>48</v>
      </c>
      <c r="K827" s="30" t="s">
        <v>51</v>
      </c>
      <c r="L827" s="30" t="s">
        <v>99</v>
      </c>
      <c r="M827" s="31" t="n">
        <f aca="false">AVERAGEIF($E$2:$E$1197,E827,$G$2:$G$1197)</f>
        <v>2870.26771653543</v>
      </c>
      <c r="N827" s="19" t="str">
        <f aca="false">IF(G827&gt;M827*3,"نعم","لا")</f>
        <v>لا</v>
      </c>
      <c r="O827" s="19" t="str">
        <f aca="false">IF(OR(C827="",ISNUMBER(C827)),"لا","نعم")</f>
        <v>لا</v>
      </c>
      <c r="P827" s="19" t="str">
        <f aca="false">IF(COUNTIF($B$2:B827,B827)&gt;1,"مكرر","فريد")</f>
        <v>فريد</v>
      </c>
      <c r="Q827" s="19" t="str">
        <f aca="false">IF(COUNTBLANK(D827:L827)&gt;0,"نعم","لا")</f>
        <v>لا</v>
      </c>
    </row>
    <row r="828" customFormat="false" ht="15" hidden="false" customHeight="false" outlineLevel="0" collapsed="false">
      <c r="A828" s="19" t="n">
        <v>827</v>
      </c>
      <c r="B828" s="30" t="s">
        <v>1054</v>
      </c>
      <c r="C828" s="44" t="n">
        <v>45598</v>
      </c>
      <c r="D828" s="30" t="s">
        <v>50</v>
      </c>
      <c r="E828" s="30" t="s">
        <v>109</v>
      </c>
      <c r="F828" s="30" t="s">
        <v>93</v>
      </c>
      <c r="G828" s="31" t="n">
        <v>349</v>
      </c>
      <c r="H828" s="19"/>
      <c r="I828" s="32"/>
      <c r="J828" s="30" t="s">
        <v>48</v>
      </c>
      <c r="K828" s="30" t="s">
        <v>47</v>
      </c>
      <c r="L828" s="30" t="s">
        <v>89</v>
      </c>
      <c r="M828" s="31" t="n">
        <f aca="false">AVERAGEIF($E$2:$E$1197,E828,$G$2:$G$1197)</f>
        <v>186.056291390729</v>
      </c>
      <c r="N828" s="19" t="str">
        <f aca="false">IF(G828&gt;M828*3,"نعم","لا")</f>
        <v>لا</v>
      </c>
      <c r="O828" s="19" t="str">
        <f aca="false">IF(OR(C828="",ISNUMBER(C828)),"لا","نعم")</f>
        <v>لا</v>
      </c>
      <c r="P828" s="19" t="str">
        <f aca="false">IF(COUNTIF($B$2:B828,B828)&gt;1,"مكرر","فريد")</f>
        <v>فريد</v>
      </c>
      <c r="Q828" s="19" t="str">
        <f aca="false">IF(COUNTBLANK(D828:L828)&gt;0,"نعم","لا")</f>
        <v>نعم</v>
      </c>
    </row>
    <row r="829" customFormat="false" ht="15" hidden="false" customHeight="false" outlineLevel="0" collapsed="false">
      <c r="A829" s="19" t="n">
        <v>828</v>
      </c>
      <c r="B829" s="30" t="s">
        <v>485</v>
      </c>
      <c r="C829" s="44" t="n">
        <v>45407</v>
      </c>
      <c r="D829" s="30" t="s">
        <v>50</v>
      </c>
      <c r="E829" s="30" t="s">
        <v>109</v>
      </c>
      <c r="F829" s="30" t="s">
        <v>175</v>
      </c>
      <c r="G829" s="31" t="n">
        <v>159</v>
      </c>
      <c r="H829" s="19"/>
      <c r="I829" s="32" t="n">
        <v>0.05</v>
      </c>
      <c r="J829" s="30" t="s">
        <v>55</v>
      </c>
      <c r="K829" s="30" t="s">
        <v>47</v>
      </c>
      <c r="L829" s="30" t="s">
        <v>84</v>
      </c>
      <c r="M829" s="31" t="n">
        <f aca="false">AVERAGEIF($E$2:$E$1197,E829,$G$2:$G$1197)</f>
        <v>186.056291390729</v>
      </c>
      <c r="N829" s="19" t="str">
        <f aca="false">IF(G829&gt;M829*3,"نعم","لا")</f>
        <v>لا</v>
      </c>
      <c r="O829" s="19" t="str">
        <f aca="false">IF(OR(C829="",ISNUMBER(C829)),"لا","نعم")</f>
        <v>لا</v>
      </c>
      <c r="P829" s="19" t="str">
        <f aca="false">IF(COUNTIF($B$2:B829,B829)&gt;1,"مكرر","فريد")</f>
        <v>فريد</v>
      </c>
      <c r="Q829" s="19" t="str">
        <f aca="false">IF(COUNTBLANK(D829:L829)&gt;0,"نعم","لا")</f>
        <v>نعم</v>
      </c>
    </row>
    <row r="830" customFormat="false" ht="15" hidden="false" customHeight="false" outlineLevel="0" collapsed="false">
      <c r="A830" s="19" t="n">
        <v>829</v>
      </c>
      <c r="B830" s="30" t="s">
        <v>185</v>
      </c>
      <c r="C830" s="44" t="n">
        <v>45298</v>
      </c>
      <c r="D830" s="30" t="s">
        <v>46</v>
      </c>
      <c r="E830" s="30" t="s">
        <v>109</v>
      </c>
      <c r="F830" s="30" t="s">
        <v>171</v>
      </c>
      <c r="G830" s="31" t="n">
        <v>209</v>
      </c>
      <c r="H830" s="19" t="n">
        <v>4</v>
      </c>
      <c r="I830" s="32" t="n">
        <v>0</v>
      </c>
      <c r="J830" s="30" t="s">
        <v>58</v>
      </c>
      <c r="K830" s="30" t="s">
        <v>51</v>
      </c>
      <c r="L830" s="30" t="s">
        <v>92</v>
      </c>
      <c r="M830" s="31" t="n">
        <f aca="false">AVERAGEIF($E$2:$E$1197,E830,$G$2:$G$1197)</f>
        <v>186.056291390729</v>
      </c>
      <c r="N830" s="19" t="str">
        <f aca="false">IF(G830&gt;M830*3,"نعم","لا")</f>
        <v>لا</v>
      </c>
      <c r="O830" s="19" t="str">
        <f aca="false">IF(OR(C830="",ISNUMBER(C830)),"لا","نعم")</f>
        <v>لا</v>
      </c>
      <c r="P830" s="19" t="str">
        <f aca="false">IF(COUNTIF($B$2:B830,B830)&gt;1,"مكرر","فريد")</f>
        <v>فريد</v>
      </c>
      <c r="Q830" s="19" t="str">
        <f aca="false">IF(COUNTBLANK(D830:L830)&gt;0,"نعم","لا")</f>
        <v>لا</v>
      </c>
    </row>
    <row r="831" customFormat="false" ht="15" hidden="false" customHeight="false" outlineLevel="0" collapsed="false">
      <c r="A831" s="19" t="n">
        <v>830</v>
      </c>
      <c r="B831" s="30" t="s">
        <v>836</v>
      </c>
      <c r="C831" s="44" t="n">
        <v>45525</v>
      </c>
      <c r="D831" s="30" t="s">
        <v>57</v>
      </c>
      <c r="E831" s="30" t="s">
        <v>105</v>
      </c>
      <c r="F831" s="30" t="s">
        <v>179</v>
      </c>
      <c r="G831" s="31" t="n">
        <v>2269</v>
      </c>
      <c r="H831" s="19" t="n">
        <v>1</v>
      </c>
      <c r="I831" s="32" t="n">
        <v>0.15</v>
      </c>
      <c r="J831" s="30" t="s">
        <v>48</v>
      </c>
      <c r="K831" s="30" t="s">
        <v>47</v>
      </c>
      <c r="L831" s="30" t="s">
        <v>86</v>
      </c>
      <c r="M831" s="31" t="n">
        <f aca="false">AVERAGEIF($E$2:$E$1197,E831,$G$2:$G$1197)</f>
        <v>2870.26771653543</v>
      </c>
      <c r="N831" s="19" t="str">
        <f aca="false">IF(G831&gt;M831*3,"نعم","لا")</f>
        <v>لا</v>
      </c>
      <c r="O831" s="19" t="str">
        <f aca="false">IF(OR(C831="",ISNUMBER(C831)),"لا","نعم")</f>
        <v>لا</v>
      </c>
      <c r="P831" s="19" t="str">
        <f aca="false">IF(COUNTIF($B$2:B831,B831)&gt;1,"مكرر","فريد")</f>
        <v>فريد</v>
      </c>
      <c r="Q831" s="19" t="str">
        <f aca="false">IF(COUNTBLANK(D831:L831)&gt;0,"نعم","لا")</f>
        <v>لا</v>
      </c>
    </row>
    <row r="832" customFormat="false" ht="15" hidden="false" customHeight="false" outlineLevel="0" collapsed="false">
      <c r="A832" s="19" t="n">
        <v>831</v>
      </c>
      <c r="B832" s="30" t="s">
        <v>209</v>
      </c>
      <c r="C832" s="44" t="n">
        <v>45305</v>
      </c>
      <c r="D832" s="30" t="s">
        <v>46</v>
      </c>
      <c r="E832" s="30" t="s">
        <v>107</v>
      </c>
      <c r="F832" s="30" t="s">
        <v>115</v>
      </c>
      <c r="G832" s="31" t="n">
        <v>4709</v>
      </c>
      <c r="H832" s="19" t="n">
        <v>2</v>
      </c>
      <c r="I832" s="32" t="n">
        <v>0.05</v>
      </c>
      <c r="J832" s="30" t="s">
        <v>52</v>
      </c>
      <c r="K832" s="30" t="s">
        <v>47</v>
      </c>
      <c r="L832" s="30" t="s">
        <v>86</v>
      </c>
      <c r="M832" s="31" t="n">
        <f aca="false">AVERAGEIF($E$2:$E$1197,E832,$G$2:$G$1197)</f>
        <v>4981.14563106796</v>
      </c>
      <c r="N832" s="19" t="str">
        <f aca="false">IF(G832&gt;M832*3,"نعم","لا")</f>
        <v>لا</v>
      </c>
      <c r="O832" s="19" t="str">
        <f aca="false">IF(OR(C832="",ISNUMBER(C832)),"لا","نعم")</f>
        <v>لا</v>
      </c>
      <c r="P832" s="19" t="str">
        <f aca="false">IF(COUNTIF($B$2:B832,B832)&gt;1,"مكرر","فريد")</f>
        <v>فريد</v>
      </c>
      <c r="Q832" s="19" t="str">
        <f aca="false">IF(COUNTBLANK(D832:L832)&gt;0,"نعم","لا")</f>
        <v>لا</v>
      </c>
    </row>
    <row r="833" customFormat="false" ht="15" hidden="false" customHeight="false" outlineLevel="0" collapsed="false">
      <c r="A833" s="19" t="n">
        <v>832</v>
      </c>
      <c r="B833" s="30" t="s">
        <v>972</v>
      </c>
      <c r="C833" s="44" t="n">
        <v>45572</v>
      </c>
      <c r="D833" s="30" t="s">
        <v>46</v>
      </c>
      <c r="E833" s="30" t="s">
        <v>105</v>
      </c>
      <c r="F833" s="30" t="s">
        <v>179</v>
      </c>
      <c r="G833" s="31" t="n">
        <v>2619</v>
      </c>
      <c r="H833" s="19" t="n">
        <v>3</v>
      </c>
      <c r="I833" s="32" t="n">
        <v>0</v>
      </c>
      <c r="J833" s="30" t="s">
        <v>52</v>
      </c>
      <c r="K833" s="30" t="s">
        <v>47</v>
      </c>
      <c r="L833" s="30" t="s">
        <v>94</v>
      </c>
      <c r="M833" s="31" t="n">
        <f aca="false">AVERAGEIF($E$2:$E$1197,E833,$G$2:$G$1197)</f>
        <v>2870.26771653543</v>
      </c>
      <c r="N833" s="19" t="str">
        <f aca="false">IF(G833&gt;M833*3,"نعم","لا")</f>
        <v>لا</v>
      </c>
      <c r="O833" s="19" t="str">
        <f aca="false">IF(OR(C833="",ISNUMBER(C833)),"لا","نعم")</f>
        <v>لا</v>
      </c>
      <c r="P833" s="19" t="str">
        <f aca="false">IF(COUNTIF($B$2:B833,B833)&gt;1,"مكرر","فريد")</f>
        <v>فريد</v>
      </c>
      <c r="Q833" s="19" t="str">
        <f aca="false">IF(COUNTBLANK(D833:L833)&gt;0,"نعم","لا")</f>
        <v>لا</v>
      </c>
    </row>
    <row r="834" customFormat="false" ht="15" hidden="false" customHeight="false" outlineLevel="0" collapsed="false">
      <c r="A834" s="19" t="n">
        <v>833</v>
      </c>
      <c r="B834" s="30" t="s">
        <v>668</v>
      </c>
      <c r="C834" s="44" t="n">
        <v>45473</v>
      </c>
      <c r="D834" s="30" t="s">
        <v>50</v>
      </c>
      <c r="E834" s="30" t="s">
        <v>113</v>
      </c>
      <c r="F834" s="30" t="s">
        <v>121</v>
      </c>
      <c r="G834" s="31" t="n">
        <v>129</v>
      </c>
      <c r="H834" s="19" t="n">
        <v>2</v>
      </c>
      <c r="I834" s="32" t="n">
        <v>0</v>
      </c>
      <c r="J834" s="30" t="s">
        <v>1360</v>
      </c>
      <c r="K834" s="30" t="s">
        <v>47</v>
      </c>
      <c r="L834" s="30" t="s">
        <v>99</v>
      </c>
      <c r="M834" s="31" t="n">
        <f aca="false">AVERAGEIF($E$2:$E$1197,E834,$G$2:$G$1197)</f>
        <v>545.358823529412</v>
      </c>
      <c r="N834" s="19" t="str">
        <f aca="false">IF(G834&gt;M834*3,"نعم","لا")</f>
        <v>لا</v>
      </c>
      <c r="O834" s="19" t="str">
        <f aca="false">IF(OR(C834="",ISNUMBER(C834)),"لا","نعم")</f>
        <v>لا</v>
      </c>
      <c r="P834" s="19" t="str">
        <f aca="false">IF(COUNTIF($B$2:B834,B834)&gt;1,"مكرر","فريد")</f>
        <v>فريد</v>
      </c>
      <c r="Q834" s="19" t="str">
        <f aca="false">IF(COUNTBLANK(D834:L834)&gt;0,"نعم","لا")</f>
        <v>لا</v>
      </c>
    </row>
    <row r="835" customFormat="false" ht="15" hidden="false" customHeight="false" outlineLevel="0" collapsed="false">
      <c r="A835" s="19" t="n">
        <v>834</v>
      </c>
      <c r="B835" s="30" t="s">
        <v>976</v>
      </c>
      <c r="C835" s="30" t="s">
        <v>1469</v>
      </c>
      <c r="D835" s="30" t="s">
        <v>46</v>
      </c>
      <c r="E835" s="30" t="s">
        <v>111</v>
      </c>
      <c r="F835" s="30" t="s">
        <v>120</v>
      </c>
      <c r="G835" s="31" t="n">
        <v>229</v>
      </c>
      <c r="H835" s="19" t="n">
        <v>1</v>
      </c>
      <c r="I835" s="32" t="n">
        <v>0.1</v>
      </c>
      <c r="J835" s="30" t="s">
        <v>52</v>
      </c>
      <c r="K835" s="30" t="s">
        <v>51</v>
      </c>
      <c r="L835" s="30" t="s">
        <v>86</v>
      </c>
      <c r="M835" s="31" t="n">
        <f aca="false">AVERAGEIF($E$2:$E$1197,E835,$G$2:$G$1197)</f>
        <v>366.306569343066</v>
      </c>
      <c r="N835" s="19" t="str">
        <f aca="false">IF(G835&gt;M835*3,"نعم","لا")</f>
        <v>لا</v>
      </c>
      <c r="O835" s="19" t="str">
        <f aca="false">IF(OR(C835="",ISNUMBER(C835)),"لا","نعم")</f>
        <v>نعم</v>
      </c>
      <c r="P835" s="19" t="str">
        <f aca="false">IF(COUNTIF($B$2:B835,B835)&gt;1,"مكرر","فريد")</f>
        <v>فريد</v>
      </c>
      <c r="Q835" s="19" t="str">
        <f aca="false">IF(COUNTBLANK(D835:L835)&gt;0,"نعم","لا")</f>
        <v>لا</v>
      </c>
    </row>
    <row r="836" customFormat="false" ht="15" hidden="false" customHeight="false" outlineLevel="0" collapsed="false">
      <c r="A836" s="19" t="n">
        <v>835</v>
      </c>
      <c r="B836" s="30" t="s">
        <v>1210</v>
      </c>
      <c r="C836" s="44" t="n">
        <v>45633</v>
      </c>
      <c r="D836" s="30" t="s">
        <v>60</v>
      </c>
      <c r="E836" s="30" t="s">
        <v>109</v>
      </c>
      <c r="F836" s="30" t="s">
        <v>110</v>
      </c>
      <c r="G836" s="31" t="n">
        <v>179</v>
      </c>
      <c r="H836" s="19" t="n">
        <v>5</v>
      </c>
      <c r="I836" s="32" t="n">
        <v>0</v>
      </c>
      <c r="J836" s="30" t="s">
        <v>52</v>
      </c>
      <c r="K836" s="30" t="s">
        <v>51</v>
      </c>
      <c r="L836" s="30" t="s">
        <v>84</v>
      </c>
      <c r="M836" s="31" t="n">
        <f aca="false">AVERAGEIF($E$2:$E$1197,E836,$G$2:$G$1197)</f>
        <v>186.056291390729</v>
      </c>
      <c r="N836" s="19" t="str">
        <f aca="false">IF(G836&gt;M836*3,"نعم","لا")</f>
        <v>لا</v>
      </c>
      <c r="O836" s="19" t="str">
        <f aca="false">IF(OR(C836="",ISNUMBER(C836)),"لا","نعم")</f>
        <v>لا</v>
      </c>
      <c r="P836" s="19" t="str">
        <f aca="false">IF(COUNTIF($B$2:B836,B836)&gt;1,"مكرر","فريد")</f>
        <v>فريد</v>
      </c>
      <c r="Q836" s="19" t="str">
        <f aca="false">IF(COUNTBLANK(D836:L836)&gt;0,"نعم","لا")</f>
        <v>لا</v>
      </c>
    </row>
    <row r="837" customFormat="false" ht="15" hidden="false" customHeight="false" outlineLevel="0" collapsed="false">
      <c r="A837" s="19" t="n">
        <v>836</v>
      </c>
      <c r="B837" s="30" t="s">
        <v>567</v>
      </c>
      <c r="C837" s="44" t="n">
        <v>45437</v>
      </c>
      <c r="D837" s="30" t="s">
        <v>50</v>
      </c>
      <c r="E837" s="30" t="s">
        <v>107</v>
      </c>
      <c r="F837" s="30" t="s">
        <v>184</v>
      </c>
      <c r="G837" s="31" t="n">
        <v>3929</v>
      </c>
      <c r="H837" s="19" t="n">
        <v>6</v>
      </c>
      <c r="I837" s="32" t="n">
        <v>0</v>
      </c>
      <c r="J837" s="30" t="s">
        <v>48</v>
      </c>
      <c r="K837" s="30" t="s">
        <v>51</v>
      </c>
      <c r="L837" s="30" t="s">
        <v>99</v>
      </c>
      <c r="M837" s="31" t="n">
        <f aca="false">AVERAGEIF($E$2:$E$1197,E837,$G$2:$G$1197)</f>
        <v>4981.14563106796</v>
      </c>
      <c r="N837" s="19" t="str">
        <f aca="false">IF(G837&gt;M837*3,"نعم","لا")</f>
        <v>لا</v>
      </c>
      <c r="O837" s="19" t="str">
        <f aca="false">IF(OR(C837="",ISNUMBER(C837)),"لا","نعم")</f>
        <v>لا</v>
      </c>
      <c r="P837" s="19" t="str">
        <f aca="false">IF(COUNTIF($B$2:B837,B837)&gt;1,"مكرر","فريد")</f>
        <v>فريد</v>
      </c>
      <c r="Q837" s="19" t="str">
        <f aca="false">IF(COUNTBLANK(D837:L837)&gt;0,"نعم","لا")</f>
        <v>لا</v>
      </c>
    </row>
    <row r="838" customFormat="false" ht="15" hidden="false" customHeight="false" outlineLevel="0" collapsed="false">
      <c r="A838" s="19" t="n">
        <v>837</v>
      </c>
      <c r="B838" s="30" t="s">
        <v>964</v>
      </c>
      <c r="C838" s="44" t="n">
        <v>45569</v>
      </c>
      <c r="D838" s="30" t="s">
        <v>50</v>
      </c>
      <c r="E838" s="30" t="s">
        <v>105</v>
      </c>
      <c r="F838" s="30" t="s">
        <v>179</v>
      </c>
      <c r="G838" s="31" t="n">
        <v>3139</v>
      </c>
      <c r="H838" s="19" t="n">
        <v>2</v>
      </c>
      <c r="I838" s="32"/>
      <c r="J838" s="30" t="s">
        <v>52</v>
      </c>
      <c r="K838" s="30" t="s">
        <v>51</v>
      </c>
      <c r="L838" s="30" t="s">
        <v>78</v>
      </c>
      <c r="M838" s="31" t="n">
        <f aca="false">AVERAGEIF($E$2:$E$1197,E838,$G$2:$G$1197)</f>
        <v>2870.26771653543</v>
      </c>
      <c r="N838" s="19" t="str">
        <f aca="false">IF(G838&gt;M838*3,"نعم","لا")</f>
        <v>لا</v>
      </c>
      <c r="O838" s="19" t="str">
        <f aca="false">IF(OR(C838="",ISNUMBER(C838)),"لا","نعم")</f>
        <v>لا</v>
      </c>
      <c r="P838" s="19" t="str">
        <f aca="false">IF(COUNTIF($B$2:B838,B838)&gt;1,"مكرر","فريد")</f>
        <v>فريد</v>
      </c>
      <c r="Q838" s="19" t="str">
        <f aca="false">IF(COUNTBLANK(D838:L838)&gt;0,"نعم","لا")</f>
        <v>نعم</v>
      </c>
    </row>
    <row r="839" customFormat="false" ht="15" hidden="false" customHeight="false" outlineLevel="0" collapsed="false">
      <c r="A839" s="19" t="n">
        <v>838</v>
      </c>
      <c r="B839" s="30" t="s">
        <v>696</v>
      </c>
      <c r="C839" s="30" t="s">
        <v>1470</v>
      </c>
      <c r="D839" s="30" t="s">
        <v>46</v>
      </c>
      <c r="E839" s="30" t="s">
        <v>105</v>
      </c>
      <c r="F839" s="30" t="s">
        <v>85</v>
      </c>
      <c r="G839" s="31" t="n">
        <v>3229</v>
      </c>
      <c r="H839" s="19" t="n">
        <v>4</v>
      </c>
      <c r="I839" s="32" t="n">
        <v>0</v>
      </c>
      <c r="J839" s="30" t="s">
        <v>48</v>
      </c>
      <c r="K839" s="30" t="s">
        <v>51</v>
      </c>
      <c r="L839" s="30" t="s">
        <v>81</v>
      </c>
      <c r="M839" s="31" t="n">
        <f aca="false">AVERAGEIF($E$2:$E$1197,E839,$G$2:$G$1197)</f>
        <v>2870.26771653543</v>
      </c>
      <c r="N839" s="19" t="str">
        <f aca="false">IF(G839&gt;M839*3,"نعم","لا")</f>
        <v>لا</v>
      </c>
      <c r="O839" s="19" t="str">
        <f aca="false">IF(OR(C839="",ISNUMBER(C839)),"لا","نعم")</f>
        <v>نعم</v>
      </c>
      <c r="P839" s="19" t="str">
        <f aca="false">IF(COUNTIF($B$2:B839,B839)&gt;1,"مكرر","فريد")</f>
        <v>فريد</v>
      </c>
      <c r="Q839" s="19" t="str">
        <f aca="false">IF(COUNTBLANK(D839:L839)&gt;0,"نعم","لا")</f>
        <v>لا</v>
      </c>
    </row>
    <row r="840" customFormat="false" ht="15" hidden="false" customHeight="false" outlineLevel="0" collapsed="false">
      <c r="A840" s="19" t="n">
        <v>839</v>
      </c>
      <c r="B840" s="30" t="s">
        <v>908</v>
      </c>
      <c r="C840" s="44" t="n">
        <v>45549</v>
      </c>
      <c r="D840" s="30" t="s">
        <v>46</v>
      </c>
      <c r="E840" s="30" t="s">
        <v>107</v>
      </c>
      <c r="F840" s="30" t="s">
        <v>184</v>
      </c>
      <c r="G840" s="31" t="n">
        <v>2729</v>
      </c>
      <c r="H840" s="19" t="n">
        <v>1</v>
      </c>
      <c r="I840" s="32" t="n">
        <v>0</v>
      </c>
      <c r="J840" s="30" t="s">
        <v>48</v>
      </c>
      <c r="K840" s="30" t="s">
        <v>47</v>
      </c>
      <c r="L840" s="30" t="s">
        <v>99</v>
      </c>
      <c r="M840" s="31" t="n">
        <f aca="false">AVERAGEIF($E$2:$E$1197,E840,$G$2:$G$1197)</f>
        <v>4981.14563106796</v>
      </c>
      <c r="N840" s="19" t="str">
        <f aca="false">IF(G840&gt;M840*3,"نعم","لا")</f>
        <v>لا</v>
      </c>
      <c r="O840" s="19" t="str">
        <f aca="false">IF(OR(C840="",ISNUMBER(C840)),"لا","نعم")</f>
        <v>لا</v>
      </c>
      <c r="P840" s="19" t="str">
        <f aca="false">IF(COUNTIF($B$2:B840,B840)&gt;1,"مكرر","فريد")</f>
        <v>فريد</v>
      </c>
      <c r="Q840" s="19" t="str">
        <f aca="false">IF(COUNTBLANK(D840:L840)&gt;0,"نعم","لا")</f>
        <v>لا</v>
      </c>
    </row>
    <row r="841" customFormat="false" ht="15" hidden="false" customHeight="false" outlineLevel="0" collapsed="false">
      <c r="A841" s="19" t="n">
        <v>840</v>
      </c>
      <c r="B841" s="30" t="s">
        <v>1259</v>
      </c>
      <c r="C841" s="44" t="n">
        <v>45648</v>
      </c>
      <c r="D841" s="30" t="s">
        <v>46</v>
      </c>
      <c r="E841" s="30" t="s">
        <v>109</v>
      </c>
      <c r="F841" s="30" t="s">
        <v>171</v>
      </c>
      <c r="G841" s="31" t="n">
        <v>159</v>
      </c>
      <c r="H841" s="19" t="n">
        <v>1</v>
      </c>
      <c r="I841" s="32" t="n">
        <v>0.1</v>
      </c>
      <c r="J841" s="30" t="s">
        <v>52</v>
      </c>
      <c r="K841" s="30" t="s">
        <v>47</v>
      </c>
      <c r="L841" s="30" t="s">
        <v>78</v>
      </c>
      <c r="M841" s="31" t="n">
        <f aca="false">AVERAGEIF($E$2:$E$1197,E841,$G$2:$G$1197)</f>
        <v>186.056291390729</v>
      </c>
      <c r="N841" s="19" t="str">
        <f aca="false">IF(G841&gt;M841*3,"نعم","لا")</f>
        <v>لا</v>
      </c>
      <c r="O841" s="19" t="str">
        <f aca="false">IF(OR(C841="",ISNUMBER(C841)),"لا","نعم")</f>
        <v>لا</v>
      </c>
      <c r="P841" s="19" t="str">
        <f aca="false">IF(COUNTIF($B$2:B841,B841)&gt;1,"مكرر","فريد")</f>
        <v>فريد</v>
      </c>
      <c r="Q841" s="19" t="str">
        <f aca="false">IF(COUNTBLANK(D841:L841)&gt;0,"نعم","لا")</f>
        <v>لا</v>
      </c>
    </row>
    <row r="842" customFormat="false" ht="15" hidden="false" customHeight="false" outlineLevel="0" collapsed="false">
      <c r="A842" s="19" t="n">
        <v>841</v>
      </c>
      <c r="B842" s="30" t="s">
        <v>1032</v>
      </c>
      <c r="C842" s="44" t="n">
        <v>45593</v>
      </c>
      <c r="D842" s="30" t="s">
        <v>57</v>
      </c>
      <c r="E842" s="30" t="s">
        <v>105</v>
      </c>
      <c r="F842" s="30" t="s">
        <v>90</v>
      </c>
      <c r="G842" s="31" t="n">
        <v>1129</v>
      </c>
      <c r="H842" s="19" t="n">
        <v>1</v>
      </c>
      <c r="I842" s="32" t="n">
        <v>0</v>
      </c>
      <c r="J842" s="30" t="s">
        <v>48</v>
      </c>
      <c r="K842" s="30" t="s">
        <v>47</v>
      </c>
      <c r="L842" s="30" t="s">
        <v>84</v>
      </c>
      <c r="M842" s="31" t="n">
        <f aca="false">AVERAGEIF($E$2:$E$1197,E842,$G$2:$G$1197)</f>
        <v>2870.26771653543</v>
      </c>
      <c r="N842" s="19" t="str">
        <f aca="false">IF(G842&gt;M842*3,"نعم","لا")</f>
        <v>لا</v>
      </c>
      <c r="O842" s="19" t="str">
        <f aca="false">IF(OR(C842="",ISNUMBER(C842)),"لا","نعم")</f>
        <v>لا</v>
      </c>
      <c r="P842" s="19" t="str">
        <f aca="false">IF(COUNTIF($B$2:B842,B842)&gt;1,"مكرر","فريد")</f>
        <v>فريد</v>
      </c>
      <c r="Q842" s="19" t="str">
        <f aca="false">IF(COUNTBLANK(D842:L842)&gt;0,"نعم","لا")</f>
        <v>لا</v>
      </c>
    </row>
    <row r="843" customFormat="false" ht="15" hidden="false" customHeight="false" outlineLevel="0" collapsed="false">
      <c r="A843" s="19" t="n">
        <v>842</v>
      </c>
      <c r="B843" s="30" t="s">
        <v>210</v>
      </c>
      <c r="C843" s="44" t="n">
        <v>45305</v>
      </c>
      <c r="D843" s="30" t="s">
        <v>54</v>
      </c>
      <c r="E843" s="30" t="s">
        <v>107</v>
      </c>
      <c r="F843" s="30" t="s">
        <v>114</v>
      </c>
      <c r="G843" s="31" t="n">
        <v>6729</v>
      </c>
      <c r="H843" s="19" t="n">
        <v>3</v>
      </c>
      <c r="I843" s="32" t="n">
        <v>0</v>
      </c>
      <c r="J843" s="30" t="s">
        <v>55</v>
      </c>
      <c r="K843" s="30" t="s">
        <v>47</v>
      </c>
      <c r="L843" s="30" t="s">
        <v>92</v>
      </c>
      <c r="M843" s="31" t="n">
        <f aca="false">AVERAGEIF($E$2:$E$1197,E843,$G$2:$G$1197)</f>
        <v>4981.14563106796</v>
      </c>
      <c r="N843" s="19" t="str">
        <f aca="false">IF(G843&gt;M843*3,"نعم","لا")</f>
        <v>لا</v>
      </c>
      <c r="O843" s="19" t="str">
        <f aca="false">IF(OR(C843="",ISNUMBER(C843)),"لا","نعم")</f>
        <v>لا</v>
      </c>
      <c r="P843" s="19" t="str">
        <f aca="false">IF(COUNTIF($B$2:B843,B843)&gt;1,"مكرر","فريد")</f>
        <v>فريد</v>
      </c>
      <c r="Q843" s="19" t="str">
        <f aca="false">IF(COUNTBLANK(D843:L843)&gt;0,"نعم","لا")</f>
        <v>لا</v>
      </c>
    </row>
    <row r="844" customFormat="false" ht="15" hidden="false" customHeight="false" outlineLevel="0" collapsed="false">
      <c r="A844" s="19" t="n">
        <v>843</v>
      </c>
      <c r="B844" s="30" t="s">
        <v>342</v>
      </c>
      <c r="C844" s="44" t="n">
        <v>45358</v>
      </c>
      <c r="D844" s="30" t="s">
        <v>50</v>
      </c>
      <c r="E844" s="30" t="s">
        <v>105</v>
      </c>
      <c r="F844" s="30" t="s">
        <v>179</v>
      </c>
      <c r="G844" s="31" t="n">
        <v>2199</v>
      </c>
      <c r="H844" s="19" t="n">
        <v>1</v>
      </c>
      <c r="I844" s="32" t="n">
        <v>0</v>
      </c>
      <c r="J844" s="30" t="s">
        <v>58</v>
      </c>
      <c r="K844" s="30" t="s">
        <v>47</v>
      </c>
      <c r="L844" s="30" t="s">
        <v>81</v>
      </c>
      <c r="M844" s="31" t="n">
        <f aca="false">AVERAGEIF($E$2:$E$1197,E844,$G$2:$G$1197)</f>
        <v>2870.26771653543</v>
      </c>
      <c r="N844" s="19" t="str">
        <f aca="false">IF(G844&gt;M844*3,"نعم","لا")</f>
        <v>لا</v>
      </c>
      <c r="O844" s="19" t="str">
        <f aca="false">IF(OR(C844="",ISNUMBER(C844)),"لا","نعم")</f>
        <v>لا</v>
      </c>
      <c r="P844" s="19" t="str">
        <f aca="false">IF(COUNTIF($B$2:B844,B844)&gt;1,"مكرر","فريد")</f>
        <v>فريد</v>
      </c>
      <c r="Q844" s="19" t="str">
        <f aca="false">IF(COUNTBLANK(D844:L844)&gt;0,"نعم","لا")</f>
        <v>لا</v>
      </c>
    </row>
    <row r="845" customFormat="false" ht="15" hidden="false" customHeight="false" outlineLevel="0" collapsed="false">
      <c r="A845" s="19" t="n">
        <v>844</v>
      </c>
      <c r="B845" s="30" t="s">
        <v>413</v>
      </c>
      <c r="C845" s="44" t="n">
        <v>45379</v>
      </c>
      <c r="D845" s="30" t="s">
        <v>54</v>
      </c>
      <c r="E845" s="30" t="s">
        <v>109</v>
      </c>
      <c r="F845" s="30" t="s">
        <v>192</v>
      </c>
      <c r="G845" s="31" t="n">
        <v>219</v>
      </c>
      <c r="H845" s="19" t="n">
        <v>2</v>
      </c>
      <c r="I845" s="32" t="n">
        <v>0</v>
      </c>
      <c r="J845" s="30" t="s">
        <v>52</v>
      </c>
      <c r="K845" s="30" t="s">
        <v>47</v>
      </c>
      <c r="L845" s="30" t="s">
        <v>78</v>
      </c>
      <c r="M845" s="31" t="n">
        <f aca="false">AVERAGEIF($E$2:$E$1197,E845,$G$2:$G$1197)</f>
        <v>186.056291390729</v>
      </c>
      <c r="N845" s="19" t="str">
        <f aca="false">IF(G845&gt;M845*3,"نعم","لا")</f>
        <v>لا</v>
      </c>
      <c r="O845" s="19" t="str">
        <f aca="false">IF(OR(C845="",ISNUMBER(C845)),"لا","نعم")</f>
        <v>لا</v>
      </c>
      <c r="P845" s="19" t="str">
        <f aca="false">IF(COUNTIF($B$2:B845,B845)&gt;1,"مكرر","فريد")</f>
        <v>فريد</v>
      </c>
      <c r="Q845" s="19" t="str">
        <f aca="false">IF(COUNTBLANK(D845:L845)&gt;0,"نعم","لا")</f>
        <v>لا</v>
      </c>
    </row>
    <row r="846" customFormat="false" ht="15" hidden="false" customHeight="false" outlineLevel="0" collapsed="false">
      <c r="A846" s="19" t="n">
        <v>845</v>
      </c>
      <c r="B846" s="30" t="s">
        <v>959</v>
      </c>
      <c r="C846" s="44" t="n">
        <v>45567</v>
      </c>
      <c r="D846" s="30" t="s">
        <v>46</v>
      </c>
      <c r="E846" s="30" t="s">
        <v>113</v>
      </c>
      <c r="F846" s="30" t="s">
        <v>97</v>
      </c>
      <c r="G846" s="31" t="n">
        <v>439</v>
      </c>
      <c r="H846" s="19"/>
      <c r="I846" s="32" t="n">
        <v>0</v>
      </c>
      <c r="J846" s="30" t="s">
        <v>55</v>
      </c>
      <c r="K846" s="30" t="s">
        <v>47</v>
      </c>
      <c r="L846" s="30" t="s">
        <v>99</v>
      </c>
      <c r="M846" s="31" t="n">
        <f aca="false">AVERAGEIF($E$2:$E$1197,E846,$G$2:$G$1197)</f>
        <v>545.358823529412</v>
      </c>
      <c r="N846" s="19" t="str">
        <f aca="false">IF(G846&gt;M846*3,"نعم","لا")</f>
        <v>لا</v>
      </c>
      <c r="O846" s="19" t="str">
        <f aca="false">IF(OR(C846="",ISNUMBER(C846)),"لا","نعم")</f>
        <v>لا</v>
      </c>
      <c r="P846" s="19" t="str">
        <f aca="false">IF(COUNTIF($B$2:B846,B846)&gt;1,"مكرر","فريد")</f>
        <v>فريد</v>
      </c>
      <c r="Q846" s="19" t="str">
        <f aca="false">IF(COUNTBLANK(D846:L846)&gt;0,"نعم","لا")</f>
        <v>نعم</v>
      </c>
    </row>
    <row r="847" customFormat="false" ht="15" hidden="false" customHeight="false" outlineLevel="0" collapsed="false">
      <c r="A847" s="19" t="n">
        <v>846</v>
      </c>
      <c r="B847" s="30" t="s">
        <v>1223</v>
      </c>
      <c r="C847" s="44" t="n">
        <v>45637</v>
      </c>
      <c r="D847" s="30" t="s">
        <v>50</v>
      </c>
      <c r="E847" s="30" t="s">
        <v>105</v>
      </c>
      <c r="F847" s="30" t="s">
        <v>82</v>
      </c>
      <c r="G847" s="31" t="n">
        <v>2879</v>
      </c>
      <c r="H847" s="19"/>
      <c r="I847" s="32" t="n">
        <v>0</v>
      </c>
      <c r="J847" s="30" t="s">
        <v>58</v>
      </c>
      <c r="K847" s="30" t="s">
        <v>51</v>
      </c>
      <c r="L847" s="30" t="s">
        <v>84</v>
      </c>
      <c r="M847" s="31" t="n">
        <f aca="false">AVERAGEIF($E$2:$E$1197,E847,$G$2:$G$1197)</f>
        <v>2870.26771653543</v>
      </c>
      <c r="N847" s="19" t="str">
        <f aca="false">IF(G847&gt;M847*3,"نعم","لا")</f>
        <v>لا</v>
      </c>
      <c r="O847" s="19" t="str">
        <f aca="false">IF(OR(C847="",ISNUMBER(C847)),"لا","نعم")</f>
        <v>لا</v>
      </c>
      <c r="P847" s="19" t="str">
        <f aca="false">IF(COUNTIF($B$2:B847,B847)&gt;1,"مكرر","فريد")</f>
        <v>فريد</v>
      </c>
      <c r="Q847" s="19" t="str">
        <f aca="false">IF(COUNTBLANK(D847:L847)&gt;0,"نعم","لا")</f>
        <v>نعم</v>
      </c>
    </row>
    <row r="848" customFormat="false" ht="15" hidden="false" customHeight="false" outlineLevel="0" collapsed="false">
      <c r="A848" s="19" t="n">
        <v>847</v>
      </c>
      <c r="B848" s="30" t="s">
        <v>1289</v>
      </c>
      <c r="C848" s="44" t="n">
        <v>45657</v>
      </c>
      <c r="D848" s="30" t="s">
        <v>60</v>
      </c>
      <c r="E848" s="30" t="s">
        <v>109</v>
      </c>
      <c r="F848" s="30" t="s">
        <v>192</v>
      </c>
      <c r="G848" s="31" t="n">
        <v>279</v>
      </c>
      <c r="H848" s="19" t="n">
        <v>6</v>
      </c>
      <c r="I848" s="32" t="n">
        <v>0</v>
      </c>
      <c r="J848" s="30" t="s">
        <v>52</v>
      </c>
      <c r="K848" s="30" t="s">
        <v>51</v>
      </c>
      <c r="L848" s="30" t="s">
        <v>86</v>
      </c>
      <c r="M848" s="31" t="n">
        <f aca="false">AVERAGEIF($E$2:$E$1197,E848,$G$2:$G$1197)</f>
        <v>186.056291390729</v>
      </c>
      <c r="N848" s="19" t="str">
        <f aca="false">IF(G848&gt;M848*3,"نعم","لا")</f>
        <v>لا</v>
      </c>
      <c r="O848" s="19" t="str">
        <f aca="false">IF(OR(C848="",ISNUMBER(C848)),"لا","نعم")</f>
        <v>لا</v>
      </c>
      <c r="P848" s="19" t="str">
        <f aca="false">IF(COUNTIF($B$2:B848,B848)&gt;1,"مكرر","فريد")</f>
        <v>فريد</v>
      </c>
      <c r="Q848" s="19" t="str">
        <f aca="false">IF(COUNTBLANK(D848:L848)&gt;0,"نعم","لا")</f>
        <v>لا</v>
      </c>
    </row>
    <row r="849" customFormat="false" ht="15" hidden="false" customHeight="false" outlineLevel="0" collapsed="false">
      <c r="A849" s="19" t="n">
        <v>848</v>
      </c>
      <c r="B849" s="30" t="s">
        <v>933</v>
      </c>
      <c r="C849" s="44" t="n">
        <v>45559</v>
      </c>
      <c r="D849" s="30" t="s">
        <v>50</v>
      </c>
      <c r="E849" s="30" t="s">
        <v>109</v>
      </c>
      <c r="F849" s="30" t="s">
        <v>175</v>
      </c>
      <c r="G849" s="31" t="n">
        <v>309</v>
      </c>
      <c r="H849" s="19" t="n">
        <v>2</v>
      </c>
      <c r="I849" s="32" t="n">
        <v>0.1</v>
      </c>
      <c r="J849" s="30" t="s">
        <v>52</v>
      </c>
      <c r="K849" s="30" t="s">
        <v>47</v>
      </c>
      <c r="L849" s="30" t="s">
        <v>96</v>
      </c>
      <c r="M849" s="31" t="n">
        <f aca="false">AVERAGEIF($E$2:$E$1197,E849,$G$2:$G$1197)</f>
        <v>186.056291390729</v>
      </c>
      <c r="N849" s="19" t="str">
        <f aca="false">IF(G849&gt;M849*3,"نعم","لا")</f>
        <v>لا</v>
      </c>
      <c r="O849" s="19" t="str">
        <f aca="false">IF(OR(C849="",ISNUMBER(C849)),"لا","نعم")</f>
        <v>لا</v>
      </c>
      <c r="P849" s="19" t="str">
        <f aca="false">IF(COUNTIF($B$2:B849,B849)&gt;1,"مكرر","فريد")</f>
        <v>فريد</v>
      </c>
      <c r="Q849" s="19" t="str">
        <f aca="false">IF(COUNTBLANK(D849:L849)&gt;0,"نعم","لا")</f>
        <v>لا</v>
      </c>
    </row>
    <row r="850" customFormat="false" ht="15" hidden="false" customHeight="false" outlineLevel="0" collapsed="false">
      <c r="A850" s="19" t="n">
        <v>849</v>
      </c>
      <c r="B850" s="30" t="s">
        <v>822</v>
      </c>
      <c r="C850" s="44" t="n">
        <v>45522</v>
      </c>
      <c r="D850" s="30" t="s">
        <v>46</v>
      </c>
      <c r="E850" s="30" t="s">
        <v>105</v>
      </c>
      <c r="F850" s="30" t="s">
        <v>85</v>
      </c>
      <c r="G850" s="31" t="n">
        <v>1399</v>
      </c>
      <c r="H850" s="19" t="n">
        <v>1</v>
      </c>
      <c r="I850" s="32" t="n">
        <v>0.05</v>
      </c>
      <c r="J850" s="30" t="s">
        <v>52</v>
      </c>
      <c r="K850" s="30" t="s">
        <v>47</v>
      </c>
      <c r="L850" s="30" t="s">
        <v>81</v>
      </c>
      <c r="M850" s="31" t="n">
        <f aca="false">AVERAGEIF($E$2:$E$1197,E850,$G$2:$G$1197)</f>
        <v>2870.26771653543</v>
      </c>
      <c r="N850" s="19" t="str">
        <f aca="false">IF(G850&gt;M850*3,"نعم","لا")</f>
        <v>لا</v>
      </c>
      <c r="O850" s="19" t="str">
        <f aca="false">IF(OR(C850="",ISNUMBER(C850)),"لا","نعم")</f>
        <v>لا</v>
      </c>
      <c r="P850" s="19" t="str">
        <f aca="false">IF(COUNTIF($B$2:B850,B850)&gt;1,"مكرر","فريد")</f>
        <v>مكرر</v>
      </c>
      <c r="Q850" s="19" t="str">
        <f aca="false">IF(COUNTBLANK(D850:L850)&gt;0,"نعم","لا")</f>
        <v>لا</v>
      </c>
    </row>
    <row r="851" customFormat="false" ht="15" hidden="false" customHeight="false" outlineLevel="0" collapsed="false">
      <c r="A851" s="19" t="n">
        <v>850</v>
      </c>
      <c r="B851" s="30" t="s">
        <v>651</v>
      </c>
      <c r="C851" s="44" t="n">
        <v>45468</v>
      </c>
      <c r="D851" s="30" t="s">
        <v>60</v>
      </c>
      <c r="E851" s="30" t="s">
        <v>107</v>
      </c>
      <c r="F851" s="30" t="s">
        <v>114</v>
      </c>
      <c r="G851" s="31" t="n">
        <v>4729</v>
      </c>
      <c r="H851" s="19" t="n">
        <v>3</v>
      </c>
      <c r="I851" s="32" t="n">
        <v>0.05</v>
      </c>
      <c r="J851" s="30" t="s">
        <v>55</v>
      </c>
      <c r="K851" s="30" t="s">
        <v>51</v>
      </c>
      <c r="L851" s="30" t="s">
        <v>81</v>
      </c>
      <c r="M851" s="31" t="n">
        <f aca="false">AVERAGEIF($E$2:$E$1197,E851,$G$2:$G$1197)</f>
        <v>4981.14563106796</v>
      </c>
      <c r="N851" s="19" t="str">
        <f aca="false">IF(G851&gt;M851*3,"نعم","لا")</f>
        <v>لا</v>
      </c>
      <c r="O851" s="19" t="str">
        <f aca="false">IF(OR(C851="",ISNUMBER(C851)),"لا","نعم")</f>
        <v>لا</v>
      </c>
      <c r="P851" s="19" t="str">
        <f aca="false">IF(COUNTIF($B$2:B851,B851)&gt;1,"مكرر","فريد")</f>
        <v>فريد</v>
      </c>
      <c r="Q851" s="19" t="str">
        <f aca="false">IF(COUNTBLANK(D851:L851)&gt;0,"نعم","لا")</f>
        <v>لا</v>
      </c>
    </row>
    <row r="852" customFormat="false" ht="15" hidden="false" customHeight="false" outlineLevel="0" collapsed="false">
      <c r="A852" s="19" t="n">
        <v>851</v>
      </c>
      <c r="B852" s="30" t="s">
        <v>324</v>
      </c>
      <c r="C852" s="44" t="n">
        <v>45352</v>
      </c>
      <c r="D852" s="30" t="s">
        <v>60</v>
      </c>
      <c r="E852" s="30" t="s">
        <v>105</v>
      </c>
      <c r="F852" s="30" t="s">
        <v>179</v>
      </c>
      <c r="G852" s="31" t="n">
        <v>1069</v>
      </c>
      <c r="H852" s="19" t="n">
        <v>1</v>
      </c>
      <c r="I852" s="32"/>
      <c r="J852" s="30" t="s">
        <v>52</v>
      </c>
      <c r="K852" s="30" t="s">
        <v>47</v>
      </c>
      <c r="L852" s="30" t="s">
        <v>92</v>
      </c>
      <c r="M852" s="31" t="n">
        <f aca="false">AVERAGEIF($E$2:$E$1197,E852,$G$2:$G$1197)</f>
        <v>2870.26771653543</v>
      </c>
      <c r="N852" s="19" t="str">
        <f aca="false">IF(G852&gt;M852*3,"نعم","لا")</f>
        <v>لا</v>
      </c>
      <c r="O852" s="19" t="str">
        <f aca="false">IF(OR(C852="",ISNUMBER(C852)),"لا","نعم")</f>
        <v>لا</v>
      </c>
      <c r="P852" s="19" t="str">
        <f aca="false">IF(COUNTIF($B$2:B852,B852)&gt;1,"مكرر","فريد")</f>
        <v>فريد</v>
      </c>
      <c r="Q852" s="19" t="str">
        <f aca="false">IF(COUNTBLANK(D852:L852)&gt;0,"نعم","لا")</f>
        <v>نعم</v>
      </c>
    </row>
    <row r="853" customFormat="false" ht="15" hidden="false" customHeight="false" outlineLevel="0" collapsed="false">
      <c r="A853" s="19" t="n">
        <v>852</v>
      </c>
      <c r="B853" s="30" t="s">
        <v>790</v>
      </c>
      <c r="C853" s="44" t="n">
        <v>45514</v>
      </c>
      <c r="D853" s="30" t="s">
        <v>46</v>
      </c>
      <c r="E853" s="30" t="s">
        <v>109</v>
      </c>
      <c r="F853" s="30" t="s">
        <v>1366</v>
      </c>
      <c r="G853" s="31" t="n">
        <v>319</v>
      </c>
      <c r="H853" s="19" t="n">
        <v>1</v>
      </c>
      <c r="I853" s="32" t="n">
        <v>0.15</v>
      </c>
      <c r="J853" s="30" t="s">
        <v>52</v>
      </c>
      <c r="K853" s="30" t="s">
        <v>47</v>
      </c>
      <c r="L853" s="30" t="s">
        <v>78</v>
      </c>
      <c r="M853" s="31" t="n">
        <f aca="false">AVERAGEIF($E$2:$E$1197,E853,$G$2:$G$1197)</f>
        <v>186.056291390729</v>
      </c>
      <c r="N853" s="19" t="str">
        <f aca="false">IF(G853&gt;M853*3,"نعم","لا")</f>
        <v>لا</v>
      </c>
      <c r="O853" s="19" t="str">
        <f aca="false">IF(OR(C853="",ISNUMBER(C853)),"لا","نعم")</f>
        <v>لا</v>
      </c>
      <c r="P853" s="19" t="str">
        <f aca="false">IF(COUNTIF($B$2:B853,B853)&gt;1,"مكرر","فريد")</f>
        <v>فريد</v>
      </c>
      <c r="Q853" s="19" t="str">
        <f aca="false">IF(COUNTBLANK(D853:L853)&gt;0,"نعم","لا")</f>
        <v>لا</v>
      </c>
    </row>
    <row r="854" customFormat="false" ht="15" hidden="false" customHeight="false" outlineLevel="0" collapsed="false">
      <c r="A854" s="19" t="n">
        <v>853</v>
      </c>
      <c r="B854" s="30" t="s">
        <v>815</v>
      </c>
      <c r="C854" s="44" t="n">
        <v>45520</v>
      </c>
      <c r="D854" s="30" t="s">
        <v>46</v>
      </c>
      <c r="E854" s="30" t="s">
        <v>111</v>
      </c>
      <c r="F854" s="30" t="s">
        <v>118</v>
      </c>
      <c r="G854" s="31" t="n">
        <v>449</v>
      </c>
      <c r="H854" s="19" t="n">
        <v>1</v>
      </c>
      <c r="I854" s="32" t="n">
        <v>0.1</v>
      </c>
      <c r="J854" s="30" t="s">
        <v>58</v>
      </c>
      <c r="K854" s="30" t="s">
        <v>47</v>
      </c>
      <c r="L854" s="30" t="s">
        <v>84</v>
      </c>
      <c r="M854" s="31" t="n">
        <f aca="false">AVERAGEIF($E$2:$E$1197,E854,$G$2:$G$1197)</f>
        <v>366.306569343066</v>
      </c>
      <c r="N854" s="19" t="str">
        <f aca="false">IF(G854&gt;M854*3,"نعم","لا")</f>
        <v>لا</v>
      </c>
      <c r="O854" s="19" t="str">
        <f aca="false">IF(OR(C854="",ISNUMBER(C854)),"لا","نعم")</f>
        <v>لا</v>
      </c>
      <c r="P854" s="19" t="str">
        <f aca="false">IF(COUNTIF($B$2:B854,B854)&gt;1,"مكرر","فريد")</f>
        <v>فريد</v>
      </c>
      <c r="Q854" s="19" t="str">
        <f aca="false">IF(COUNTBLANK(D854:L854)&gt;0,"نعم","لا")</f>
        <v>لا</v>
      </c>
    </row>
    <row r="855" customFormat="false" ht="15" hidden="false" customHeight="false" outlineLevel="0" collapsed="false">
      <c r="A855" s="19" t="n">
        <v>854</v>
      </c>
      <c r="B855" s="30" t="s">
        <v>1002</v>
      </c>
      <c r="C855" s="44" t="n">
        <v>45584</v>
      </c>
      <c r="D855" s="30" t="s">
        <v>54</v>
      </c>
      <c r="E855" s="30" t="s">
        <v>109</v>
      </c>
      <c r="F855" s="30" t="s">
        <v>110</v>
      </c>
      <c r="G855" s="31" t="n">
        <v>99</v>
      </c>
      <c r="H855" s="19" t="n">
        <v>1</v>
      </c>
      <c r="I855" s="32" t="n">
        <v>0</v>
      </c>
      <c r="J855" s="30" t="s">
        <v>52</v>
      </c>
      <c r="K855" s="30" t="s">
        <v>47</v>
      </c>
      <c r="L855" s="30" t="s">
        <v>99</v>
      </c>
      <c r="M855" s="31" t="n">
        <f aca="false">AVERAGEIF($E$2:$E$1197,E855,$G$2:$G$1197)</f>
        <v>186.056291390729</v>
      </c>
      <c r="N855" s="19" t="str">
        <f aca="false">IF(G855&gt;M855*3,"نعم","لا")</f>
        <v>لا</v>
      </c>
      <c r="O855" s="19" t="str">
        <f aca="false">IF(OR(C855="",ISNUMBER(C855)),"لا","نعم")</f>
        <v>لا</v>
      </c>
      <c r="P855" s="19" t="str">
        <f aca="false">IF(COUNTIF($B$2:B855,B855)&gt;1,"مكرر","فريد")</f>
        <v>فريد</v>
      </c>
      <c r="Q855" s="19" t="str">
        <f aca="false">IF(COUNTBLANK(D855:L855)&gt;0,"نعم","لا")</f>
        <v>لا</v>
      </c>
    </row>
    <row r="856" customFormat="false" ht="15" hidden="false" customHeight="false" outlineLevel="0" collapsed="false">
      <c r="A856" s="19" t="n">
        <v>855</v>
      </c>
      <c r="B856" s="30" t="s">
        <v>453</v>
      </c>
      <c r="C856" s="44" t="n">
        <v>45390</v>
      </c>
      <c r="D856" s="30" t="s">
        <v>46</v>
      </c>
      <c r="E856" s="30" t="s">
        <v>105</v>
      </c>
      <c r="F856" s="30" t="s">
        <v>82</v>
      </c>
      <c r="G856" s="31" t="n">
        <v>1849</v>
      </c>
      <c r="H856" s="19" t="n">
        <v>2</v>
      </c>
      <c r="I856" s="32" t="n">
        <v>0</v>
      </c>
      <c r="J856" s="30" t="s">
        <v>52</v>
      </c>
      <c r="K856" s="30" t="s">
        <v>47</v>
      </c>
      <c r="L856" s="30" t="s">
        <v>99</v>
      </c>
      <c r="M856" s="31" t="n">
        <f aca="false">AVERAGEIF($E$2:$E$1197,E856,$G$2:$G$1197)</f>
        <v>2870.26771653543</v>
      </c>
      <c r="N856" s="19" t="str">
        <f aca="false">IF(G856&gt;M856*3,"نعم","لا")</f>
        <v>لا</v>
      </c>
      <c r="O856" s="19" t="str">
        <f aca="false">IF(OR(C856="",ISNUMBER(C856)),"لا","نعم")</f>
        <v>لا</v>
      </c>
      <c r="P856" s="19" t="str">
        <f aca="false">IF(COUNTIF($B$2:B856,B856)&gt;1,"مكرر","فريد")</f>
        <v>فريد</v>
      </c>
      <c r="Q856" s="19" t="str">
        <f aca="false">IF(COUNTBLANK(D856:L856)&gt;0,"نعم","لا")</f>
        <v>لا</v>
      </c>
    </row>
    <row r="857" customFormat="false" ht="15" hidden="false" customHeight="false" outlineLevel="0" collapsed="false">
      <c r="A857" s="19" t="n">
        <v>856</v>
      </c>
      <c r="B857" s="30" t="s">
        <v>783</v>
      </c>
      <c r="C857" s="44" t="n">
        <v>45511</v>
      </c>
      <c r="D857" s="30" t="s">
        <v>54</v>
      </c>
      <c r="E857" s="30" t="s">
        <v>109</v>
      </c>
      <c r="F857" s="30" t="s">
        <v>175</v>
      </c>
      <c r="G857" s="31" t="n">
        <v>259</v>
      </c>
      <c r="H857" s="19" t="n">
        <v>1</v>
      </c>
      <c r="I857" s="32" t="n">
        <v>0</v>
      </c>
      <c r="J857" s="30" t="s">
        <v>52</v>
      </c>
      <c r="K857" s="30" t="s">
        <v>47</v>
      </c>
      <c r="L857" s="30" t="s">
        <v>94</v>
      </c>
      <c r="M857" s="31" t="n">
        <f aca="false">AVERAGEIF($E$2:$E$1197,E857,$G$2:$G$1197)</f>
        <v>186.056291390729</v>
      </c>
      <c r="N857" s="19" t="str">
        <f aca="false">IF(G857&gt;M857*3,"نعم","لا")</f>
        <v>لا</v>
      </c>
      <c r="O857" s="19" t="str">
        <f aca="false">IF(OR(C857="",ISNUMBER(C857)),"لا","نعم")</f>
        <v>لا</v>
      </c>
      <c r="P857" s="19" t="str">
        <f aca="false">IF(COUNTIF($B$2:B857,B857)&gt;1,"مكرر","فريد")</f>
        <v>فريد</v>
      </c>
      <c r="Q857" s="19" t="str">
        <f aca="false">IF(COUNTBLANK(D857:L857)&gt;0,"نعم","لا")</f>
        <v>لا</v>
      </c>
    </row>
    <row r="858" customFormat="false" ht="15" hidden="false" customHeight="false" outlineLevel="0" collapsed="false">
      <c r="A858" s="19" t="n">
        <v>857</v>
      </c>
      <c r="B858" s="30" t="s">
        <v>1257</v>
      </c>
      <c r="C858" s="44" t="n">
        <v>45648</v>
      </c>
      <c r="D858" s="30" t="s">
        <v>57</v>
      </c>
      <c r="E858" s="30" t="s">
        <v>105</v>
      </c>
      <c r="F858" s="30" t="s">
        <v>85</v>
      </c>
      <c r="G858" s="31" t="n">
        <v>3599</v>
      </c>
      <c r="H858" s="19" t="n">
        <v>1</v>
      </c>
      <c r="I858" s="32" t="n">
        <v>0</v>
      </c>
      <c r="J858" s="30" t="s">
        <v>52</v>
      </c>
      <c r="K858" s="30" t="s">
        <v>47</v>
      </c>
      <c r="L858" s="30" t="s">
        <v>92</v>
      </c>
      <c r="M858" s="31" t="n">
        <f aca="false">AVERAGEIF($E$2:$E$1197,E858,$G$2:$G$1197)</f>
        <v>2870.26771653543</v>
      </c>
      <c r="N858" s="19" t="str">
        <f aca="false">IF(G858&gt;M858*3,"نعم","لا")</f>
        <v>لا</v>
      </c>
      <c r="O858" s="19" t="str">
        <f aca="false">IF(OR(C858="",ISNUMBER(C858)),"لا","نعم")</f>
        <v>لا</v>
      </c>
      <c r="P858" s="19" t="str">
        <f aca="false">IF(COUNTIF($B$2:B858,B858)&gt;1,"مكرر","فريد")</f>
        <v>فريد</v>
      </c>
      <c r="Q858" s="19" t="str">
        <f aca="false">IF(COUNTBLANK(D858:L858)&gt;0,"نعم","لا")</f>
        <v>لا</v>
      </c>
    </row>
    <row r="859" customFormat="false" ht="15" hidden="false" customHeight="false" outlineLevel="0" collapsed="false">
      <c r="A859" s="19" t="n">
        <v>858</v>
      </c>
      <c r="B859" s="30" t="s">
        <v>1471</v>
      </c>
      <c r="C859" s="44" t="n">
        <v>45525</v>
      </c>
      <c r="D859" s="30"/>
      <c r="E859" s="30" t="s">
        <v>105</v>
      </c>
      <c r="F859" s="30" t="s">
        <v>82</v>
      </c>
      <c r="G859" s="31" t="n">
        <v>3129</v>
      </c>
      <c r="H859" s="19" t="n">
        <v>1</v>
      </c>
      <c r="I859" s="32" t="n">
        <v>0.1</v>
      </c>
      <c r="J859" s="30" t="s">
        <v>48</v>
      </c>
      <c r="K859" s="30" t="s">
        <v>47</v>
      </c>
      <c r="L859" s="30" t="s">
        <v>94</v>
      </c>
      <c r="M859" s="31" t="n">
        <f aca="false">AVERAGEIF($E$2:$E$1197,E859,$G$2:$G$1197)</f>
        <v>2870.26771653543</v>
      </c>
      <c r="N859" s="19" t="str">
        <f aca="false">IF(G859&gt;M859*3,"نعم","لا")</f>
        <v>لا</v>
      </c>
      <c r="O859" s="19" t="str">
        <f aca="false">IF(OR(C859="",ISNUMBER(C859)),"لا","نعم")</f>
        <v>لا</v>
      </c>
      <c r="P859" s="19" t="str">
        <f aca="false">IF(COUNTIF($B$2:B859,B859)&gt;1,"مكرر","فريد")</f>
        <v>فريد</v>
      </c>
      <c r="Q859" s="19" t="str">
        <f aca="false">IF(COUNTBLANK(D859:L859)&gt;0,"نعم","لا")</f>
        <v>نعم</v>
      </c>
    </row>
    <row r="860" customFormat="false" ht="15" hidden="false" customHeight="false" outlineLevel="0" collapsed="false">
      <c r="A860" s="19" t="n">
        <v>859</v>
      </c>
      <c r="B860" s="30" t="s">
        <v>1014</v>
      </c>
      <c r="C860" s="44" t="n">
        <v>45587</v>
      </c>
      <c r="D860" s="30" t="s">
        <v>60</v>
      </c>
      <c r="E860" s="30" t="s">
        <v>113</v>
      </c>
      <c r="F860" s="30" t="s">
        <v>121</v>
      </c>
      <c r="G860" s="31" t="n">
        <v>209</v>
      </c>
      <c r="H860" s="19" t="n">
        <v>5</v>
      </c>
      <c r="I860" s="32" t="n">
        <v>0</v>
      </c>
      <c r="J860" s="30" t="s">
        <v>48</v>
      </c>
      <c r="K860" s="30" t="s">
        <v>51</v>
      </c>
      <c r="L860" s="30" t="s">
        <v>94</v>
      </c>
      <c r="M860" s="31" t="n">
        <f aca="false">AVERAGEIF($E$2:$E$1197,E860,$G$2:$G$1197)</f>
        <v>545.358823529412</v>
      </c>
      <c r="N860" s="19" t="str">
        <f aca="false">IF(G860&gt;M860*3,"نعم","لا")</f>
        <v>لا</v>
      </c>
      <c r="O860" s="19" t="str">
        <f aca="false">IF(OR(C860="",ISNUMBER(C860)),"لا","نعم")</f>
        <v>لا</v>
      </c>
      <c r="P860" s="19" t="str">
        <f aca="false">IF(COUNTIF($B$2:B860,B860)&gt;1,"مكرر","فريد")</f>
        <v>فريد</v>
      </c>
      <c r="Q860" s="19" t="str">
        <f aca="false">IF(COUNTBLANK(D860:L860)&gt;0,"نعم","لا")</f>
        <v>لا</v>
      </c>
    </row>
    <row r="861" customFormat="false" ht="15" hidden="false" customHeight="false" outlineLevel="0" collapsed="false">
      <c r="A861" s="19" t="n">
        <v>860</v>
      </c>
      <c r="B861" s="30" t="s">
        <v>730</v>
      </c>
      <c r="C861" s="44" t="n">
        <v>45496</v>
      </c>
      <c r="D861" s="30" t="s">
        <v>46</v>
      </c>
      <c r="E861" s="30" t="s">
        <v>109</v>
      </c>
      <c r="F861" s="30" t="s">
        <v>110</v>
      </c>
      <c r="G861" s="31" t="n">
        <v>129</v>
      </c>
      <c r="H861" s="19" t="n">
        <v>1</v>
      </c>
      <c r="I861" s="32"/>
      <c r="J861" s="30" t="s">
        <v>58</v>
      </c>
      <c r="K861" s="30" t="s">
        <v>47</v>
      </c>
      <c r="L861" s="30" t="s">
        <v>81</v>
      </c>
      <c r="M861" s="31" t="n">
        <f aca="false">AVERAGEIF($E$2:$E$1197,E861,$G$2:$G$1197)</f>
        <v>186.056291390729</v>
      </c>
      <c r="N861" s="19" t="str">
        <f aca="false">IF(G861&gt;M861*3,"نعم","لا")</f>
        <v>لا</v>
      </c>
      <c r="O861" s="19" t="str">
        <f aca="false">IF(OR(C861="",ISNUMBER(C861)),"لا","نعم")</f>
        <v>لا</v>
      </c>
      <c r="P861" s="19" t="str">
        <f aca="false">IF(COUNTIF($B$2:B861,B861)&gt;1,"مكرر","فريد")</f>
        <v>فريد</v>
      </c>
      <c r="Q861" s="19" t="str">
        <f aca="false">IF(COUNTBLANK(D861:L861)&gt;0,"نعم","لا")</f>
        <v>نعم</v>
      </c>
    </row>
    <row r="862" customFormat="false" ht="15" hidden="false" customHeight="false" outlineLevel="0" collapsed="false">
      <c r="A862" s="19" t="n">
        <v>861</v>
      </c>
      <c r="B862" s="30" t="s">
        <v>1282</v>
      </c>
      <c r="C862" s="44" t="n">
        <v>45655</v>
      </c>
      <c r="D862" s="30" t="s">
        <v>60</v>
      </c>
      <c r="E862" s="30" t="s">
        <v>109</v>
      </c>
      <c r="F862" s="30" t="s">
        <v>171</v>
      </c>
      <c r="G862" s="31" t="n">
        <v>299</v>
      </c>
      <c r="H862" s="19" t="n">
        <v>1</v>
      </c>
      <c r="I862" s="32" t="n">
        <v>0</v>
      </c>
      <c r="J862" s="30" t="s">
        <v>55</v>
      </c>
      <c r="K862" s="30" t="s">
        <v>47</v>
      </c>
      <c r="L862" s="30" t="s">
        <v>86</v>
      </c>
      <c r="M862" s="31" t="n">
        <f aca="false">AVERAGEIF($E$2:$E$1197,E862,$G$2:$G$1197)</f>
        <v>186.056291390729</v>
      </c>
      <c r="N862" s="19" t="str">
        <f aca="false">IF(G862&gt;M862*3,"نعم","لا")</f>
        <v>لا</v>
      </c>
      <c r="O862" s="19" t="str">
        <f aca="false">IF(OR(C862="",ISNUMBER(C862)),"لا","نعم")</f>
        <v>لا</v>
      </c>
      <c r="P862" s="19" t="str">
        <f aca="false">IF(COUNTIF($B$2:B862,B862)&gt;1,"مكرر","فريد")</f>
        <v>مكرر</v>
      </c>
      <c r="Q862" s="19" t="str">
        <f aca="false">IF(COUNTBLANK(D862:L862)&gt;0,"نعم","لا")</f>
        <v>لا</v>
      </c>
    </row>
    <row r="863" customFormat="false" ht="15" hidden="false" customHeight="false" outlineLevel="0" collapsed="false">
      <c r="A863" s="19" t="n">
        <v>862</v>
      </c>
      <c r="B863" s="30" t="s">
        <v>882</v>
      </c>
      <c r="C863" s="44" t="n">
        <v>45539</v>
      </c>
      <c r="D863" s="30" t="s">
        <v>46</v>
      </c>
      <c r="E863" s="30" t="s">
        <v>109</v>
      </c>
      <c r="F863" s="30" t="s">
        <v>192</v>
      </c>
      <c r="G863" s="31" t="n">
        <v>279</v>
      </c>
      <c r="H863" s="19" t="n">
        <v>1</v>
      </c>
      <c r="I863" s="32" t="n">
        <v>0</v>
      </c>
      <c r="J863" s="30" t="s">
        <v>52</v>
      </c>
      <c r="K863" s="30" t="s">
        <v>47</v>
      </c>
      <c r="L863" s="30" t="s">
        <v>89</v>
      </c>
      <c r="M863" s="31" t="n">
        <f aca="false">AVERAGEIF($E$2:$E$1197,E863,$G$2:$G$1197)</f>
        <v>186.056291390729</v>
      </c>
      <c r="N863" s="19" t="str">
        <f aca="false">IF(G863&gt;M863*3,"نعم","لا")</f>
        <v>لا</v>
      </c>
      <c r="O863" s="19" t="str">
        <f aca="false">IF(OR(C863="",ISNUMBER(C863)),"لا","نعم")</f>
        <v>لا</v>
      </c>
      <c r="P863" s="19" t="str">
        <f aca="false">IF(COUNTIF($B$2:B863,B863)&gt;1,"مكرر","فريد")</f>
        <v>فريد</v>
      </c>
      <c r="Q863" s="19" t="str">
        <f aca="false">IF(COUNTBLANK(D863:L863)&gt;0,"نعم","لا")</f>
        <v>لا</v>
      </c>
    </row>
    <row r="864" customFormat="false" ht="15" hidden="false" customHeight="false" outlineLevel="0" collapsed="false">
      <c r="A864" s="19" t="n">
        <v>863</v>
      </c>
      <c r="B864" s="30" t="s">
        <v>940</v>
      </c>
      <c r="C864" s="44" t="n">
        <v>45561</v>
      </c>
      <c r="D864" s="30" t="s">
        <v>50</v>
      </c>
      <c r="E864" s="30" t="s">
        <v>111</v>
      </c>
      <c r="F864" s="30" t="s">
        <v>108</v>
      </c>
      <c r="G864" s="31" t="n">
        <v>119</v>
      </c>
      <c r="H864" s="19" t="n">
        <v>1</v>
      </c>
      <c r="I864" s="32" t="n">
        <v>0.1</v>
      </c>
      <c r="J864" s="30" t="s">
        <v>48</v>
      </c>
      <c r="K864" s="30" t="s">
        <v>47</v>
      </c>
      <c r="L864" s="30" t="s">
        <v>96</v>
      </c>
      <c r="M864" s="31" t="n">
        <f aca="false">AVERAGEIF($E$2:$E$1197,E864,$G$2:$G$1197)</f>
        <v>366.306569343066</v>
      </c>
      <c r="N864" s="19" t="str">
        <f aca="false">IF(G864&gt;M864*3,"نعم","لا")</f>
        <v>لا</v>
      </c>
      <c r="O864" s="19" t="str">
        <f aca="false">IF(OR(C864="",ISNUMBER(C864)),"لا","نعم")</f>
        <v>لا</v>
      </c>
      <c r="P864" s="19" t="str">
        <f aca="false">IF(COUNTIF($B$2:B864,B864)&gt;1,"مكرر","فريد")</f>
        <v>فريد</v>
      </c>
      <c r="Q864" s="19" t="str">
        <f aca="false">IF(COUNTBLANK(D864:L864)&gt;0,"نعم","لا")</f>
        <v>لا</v>
      </c>
    </row>
    <row r="865" customFormat="false" ht="15" hidden="false" customHeight="false" outlineLevel="0" collapsed="false">
      <c r="A865" s="19" t="n">
        <v>864</v>
      </c>
      <c r="B865" s="30" t="s">
        <v>188</v>
      </c>
      <c r="C865" s="44" t="n">
        <v>45298</v>
      </c>
      <c r="D865" s="30" t="s">
        <v>46</v>
      </c>
      <c r="E865" s="30" t="s">
        <v>107</v>
      </c>
      <c r="F865" s="30" t="s">
        <v>184</v>
      </c>
      <c r="G865" s="31" t="n">
        <v>5749</v>
      </c>
      <c r="H865" s="19" t="n">
        <v>3</v>
      </c>
      <c r="I865" s="32" t="n">
        <v>0</v>
      </c>
      <c r="J865" s="30" t="s">
        <v>52</v>
      </c>
      <c r="K865" s="30" t="s">
        <v>47</v>
      </c>
      <c r="L865" s="30" t="s">
        <v>78</v>
      </c>
      <c r="M865" s="31" t="n">
        <f aca="false">AVERAGEIF($E$2:$E$1197,E865,$G$2:$G$1197)</f>
        <v>4981.14563106796</v>
      </c>
      <c r="N865" s="19" t="str">
        <f aca="false">IF(G865&gt;M865*3,"نعم","لا")</f>
        <v>لا</v>
      </c>
      <c r="O865" s="19" t="str">
        <f aca="false">IF(OR(C865="",ISNUMBER(C865)),"لا","نعم")</f>
        <v>لا</v>
      </c>
      <c r="P865" s="19" t="str">
        <f aca="false">IF(COUNTIF($B$2:B865,B865)&gt;1,"مكرر","فريد")</f>
        <v>فريد</v>
      </c>
      <c r="Q865" s="19" t="str">
        <f aca="false">IF(COUNTBLANK(D865:L865)&gt;0,"نعم","لا")</f>
        <v>لا</v>
      </c>
    </row>
    <row r="866" customFormat="false" ht="15" hidden="false" customHeight="false" outlineLevel="0" collapsed="false">
      <c r="A866" s="19" t="n">
        <v>865</v>
      </c>
      <c r="B866" s="30" t="s">
        <v>298</v>
      </c>
      <c r="C866" s="44" t="n">
        <v>45339</v>
      </c>
      <c r="D866" s="30" t="s">
        <v>46</v>
      </c>
      <c r="E866" s="30" t="s">
        <v>109</v>
      </c>
      <c r="F866" s="30" t="s">
        <v>171</v>
      </c>
      <c r="G866" s="31" t="n">
        <v>129</v>
      </c>
      <c r="H866" s="19" t="n">
        <v>2</v>
      </c>
      <c r="I866" s="32" t="n">
        <v>0</v>
      </c>
      <c r="J866" s="30" t="s">
        <v>48</v>
      </c>
      <c r="K866" s="30" t="s">
        <v>47</v>
      </c>
      <c r="L866" s="30" t="s">
        <v>92</v>
      </c>
      <c r="M866" s="31" t="n">
        <f aca="false">AVERAGEIF($E$2:$E$1197,E866,$G$2:$G$1197)</f>
        <v>186.056291390729</v>
      </c>
      <c r="N866" s="19" t="str">
        <f aca="false">IF(G866&gt;M866*3,"نعم","لا")</f>
        <v>لا</v>
      </c>
      <c r="O866" s="19" t="str">
        <f aca="false">IF(OR(C866="",ISNUMBER(C866)),"لا","نعم")</f>
        <v>لا</v>
      </c>
      <c r="P866" s="19" t="str">
        <f aca="false">IF(COUNTIF($B$2:B866,B866)&gt;1,"مكرر","فريد")</f>
        <v>فريد</v>
      </c>
      <c r="Q866" s="19" t="str">
        <f aca="false">IF(COUNTBLANK(D866:L866)&gt;0,"نعم","لا")</f>
        <v>لا</v>
      </c>
    </row>
    <row r="867" customFormat="false" ht="15" hidden="false" customHeight="false" outlineLevel="0" collapsed="false">
      <c r="A867" s="19" t="n">
        <v>866</v>
      </c>
      <c r="B867" s="30" t="s">
        <v>486</v>
      </c>
      <c r="C867" s="30" t="s">
        <v>1472</v>
      </c>
      <c r="D867" s="30" t="s">
        <v>54</v>
      </c>
      <c r="E867" s="30" t="s">
        <v>113</v>
      </c>
      <c r="F867" s="30" t="s">
        <v>121</v>
      </c>
      <c r="G867" s="31" t="n">
        <v>709</v>
      </c>
      <c r="H867" s="19" t="n">
        <v>1</v>
      </c>
      <c r="I867" s="32" t="n">
        <v>0</v>
      </c>
      <c r="J867" s="30" t="s">
        <v>48</v>
      </c>
      <c r="K867" s="30" t="s">
        <v>47</v>
      </c>
      <c r="L867" s="30" t="s">
        <v>81</v>
      </c>
      <c r="M867" s="31" t="n">
        <f aca="false">AVERAGEIF($E$2:$E$1197,E867,$G$2:$G$1197)</f>
        <v>545.358823529412</v>
      </c>
      <c r="N867" s="19" t="str">
        <f aca="false">IF(G867&gt;M867*3,"نعم","لا")</f>
        <v>لا</v>
      </c>
      <c r="O867" s="19" t="str">
        <f aca="false">IF(OR(C867="",ISNUMBER(C867)),"لا","نعم")</f>
        <v>نعم</v>
      </c>
      <c r="P867" s="19" t="str">
        <f aca="false">IF(COUNTIF($B$2:B867,B867)&gt;1,"مكرر","فريد")</f>
        <v>فريد</v>
      </c>
      <c r="Q867" s="19" t="str">
        <f aca="false">IF(COUNTBLANK(D867:L867)&gt;0,"نعم","لا")</f>
        <v>لا</v>
      </c>
    </row>
    <row r="868" customFormat="false" ht="15" hidden="false" customHeight="false" outlineLevel="0" collapsed="false">
      <c r="A868" s="19" t="n">
        <v>867</v>
      </c>
      <c r="B868" s="30" t="s">
        <v>420</v>
      </c>
      <c r="C868" s="44" t="n">
        <v>45381</v>
      </c>
      <c r="D868" s="30" t="s">
        <v>46</v>
      </c>
      <c r="E868" s="30" t="s">
        <v>109</v>
      </c>
      <c r="F868" s="30" t="s">
        <v>110</v>
      </c>
      <c r="G868" s="31" t="n">
        <v>159</v>
      </c>
      <c r="H868" s="19" t="n">
        <v>1</v>
      </c>
      <c r="I868" s="32" t="n">
        <v>0</v>
      </c>
      <c r="J868" s="30" t="s">
        <v>55</v>
      </c>
      <c r="K868" s="30" t="s">
        <v>47</v>
      </c>
      <c r="L868" s="30" t="s">
        <v>76</v>
      </c>
      <c r="M868" s="31" t="n">
        <f aca="false">AVERAGEIF($E$2:$E$1197,E868,$G$2:$G$1197)</f>
        <v>186.056291390729</v>
      </c>
      <c r="N868" s="19" t="str">
        <f aca="false">IF(G868&gt;M868*3,"نعم","لا")</f>
        <v>لا</v>
      </c>
      <c r="O868" s="19" t="str">
        <f aca="false">IF(OR(C868="",ISNUMBER(C868)),"لا","نعم")</f>
        <v>لا</v>
      </c>
      <c r="P868" s="19" t="str">
        <f aca="false">IF(COUNTIF($B$2:B868,B868)&gt;1,"مكرر","فريد")</f>
        <v>فريد</v>
      </c>
      <c r="Q868" s="19" t="str">
        <f aca="false">IF(COUNTBLANK(D868:L868)&gt;0,"نعم","لا")</f>
        <v>لا</v>
      </c>
    </row>
    <row r="869" customFormat="false" ht="15" hidden="false" customHeight="false" outlineLevel="0" collapsed="false">
      <c r="A869" s="19" t="n">
        <v>868</v>
      </c>
      <c r="B869" s="30" t="s">
        <v>1078</v>
      </c>
      <c r="C869" s="44" t="n">
        <v>45604</v>
      </c>
      <c r="D869" s="30" t="s">
        <v>46</v>
      </c>
      <c r="E869" s="30" t="s">
        <v>105</v>
      </c>
      <c r="F869" s="30" t="s">
        <v>79</v>
      </c>
      <c r="G869" s="31" t="n">
        <v>3379</v>
      </c>
      <c r="H869" s="19" t="n">
        <v>2</v>
      </c>
      <c r="I869" s="32" t="n">
        <v>0.1</v>
      </c>
      <c r="J869" s="30" t="s">
        <v>55</v>
      </c>
      <c r="K869" s="30" t="s">
        <v>47</v>
      </c>
      <c r="L869" s="30" t="s">
        <v>94</v>
      </c>
      <c r="M869" s="31" t="n">
        <f aca="false">AVERAGEIF($E$2:$E$1197,E869,$G$2:$G$1197)</f>
        <v>2870.26771653543</v>
      </c>
      <c r="N869" s="19" t="str">
        <f aca="false">IF(G869&gt;M869*3,"نعم","لا")</f>
        <v>لا</v>
      </c>
      <c r="O869" s="19" t="str">
        <f aca="false">IF(OR(C869="",ISNUMBER(C869)),"لا","نعم")</f>
        <v>لا</v>
      </c>
      <c r="P869" s="19" t="str">
        <f aca="false">IF(COUNTIF($B$2:B869,B869)&gt;1,"مكرر","فريد")</f>
        <v>فريد</v>
      </c>
      <c r="Q869" s="19" t="str">
        <f aca="false">IF(COUNTBLANK(D869:L869)&gt;0,"نعم","لا")</f>
        <v>لا</v>
      </c>
    </row>
    <row r="870" customFormat="false" ht="15" hidden="false" customHeight="false" outlineLevel="0" collapsed="false">
      <c r="A870" s="19" t="n">
        <v>869</v>
      </c>
      <c r="B870" s="30" t="s">
        <v>303</v>
      </c>
      <c r="C870" s="44" t="n">
        <v>45342</v>
      </c>
      <c r="D870" s="30" t="s">
        <v>57</v>
      </c>
      <c r="E870" s="30" t="s">
        <v>111</v>
      </c>
      <c r="F870" s="30" t="s">
        <v>118</v>
      </c>
      <c r="G870" s="31" t="n">
        <v>119</v>
      </c>
      <c r="H870" s="19" t="n">
        <v>1</v>
      </c>
      <c r="I870" s="32" t="n">
        <v>0</v>
      </c>
      <c r="J870" s="30" t="s">
        <v>52</v>
      </c>
      <c r="K870" s="30" t="s">
        <v>47</v>
      </c>
      <c r="L870" s="30" t="s">
        <v>78</v>
      </c>
      <c r="M870" s="31" t="n">
        <f aca="false">AVERAGEIF($E$2:$E$1197,E870,$G$2:$G$1197)</f>
        <v>366.306569343066</v>
      </c>
      <c r="N870" s="19" t="str">
        <f aca="false">IF(G870&gt;M870*3,"نعم","لا")</f>
        <v>لا</v>
      </c>
      <c r="O870" s="19" t="str">
        <f aca="false">IF(OR(C870="",ISNUMBER(C870)),"لا","نعم")</f>
        <v>لا</v>
      </c>
      <c r="P870" s="19" t="str">
        <f aca="false">IF(COUNTIF($B$2:B870,B870)&gt;1,"مكرر","فريد")</f>
        <v>مكرر</v>
      </c>
      <c r="Q870" s="19" t="str">
        <f aca="false">IF(COUNTBLANK(D870:L870)&gt;0,"نعم","لا")</f>
        <v>لا</v>
      </c>
    </row>
    <row r="871" customFormat="false" ht="15" hidden="false" customHeight="false" outlineLevel="0" collapsed="false">
      <c r="A871" s="19" t="n">
        <v>870</v>
      </c>
      <c r="B871" s="30" t="s">
        <v>362</v>
      </c>
      <c r="C871" s="30" t="s">
        <v>1473</v>
      </c>
      <c r="D871" s="30" t="s">
        <v>54</v>
      </c>
      <c r="E871" s="30" t="s">
        <v>105</v>
      </c>
      <c r="F871" s="30" t="s">
        <v>82</v>
      </c>
      <c r="G871" s="31" t="n">
        <v>3449</v>
      </c>
      <c r="H871" s="19" t="n">
        <v>1</v>
      </c>
      <c r="I871" s="32" t="n">
        <v>0.05</v>
      </c>
      <c r="J871" s="30" t="s">
        <v>55</v>
      </c>
      <c r="K871" s="30" t="s">
        <v>47</v>
      </c>
      <c r="L871" s="30" t="s">
        <v>86</v>
      </c>
      <c r="M871" s="31" t="n">
        <f aca="false">AVERAGEIF($E$2:$E$1197,E871,$G$2:$G$1197)</f>
        <v>2870.26771653543</v>
      </c>
      <c r="N871" s="19" t="str">
        <f aca="false">IF(G871&gt;M871*3,"نعم","لا")</f>
        <v>لا</v>
      </c>
      <c r="O871" s="19" t="str">
        <f aca="false">IF(OR(C871="",ISNUMBER(C871)),"لا","نعم")</f>
        <v>نعم</v>
      </c>
      <c r="P871" s="19" t="str">
        <f aca="false">IF(COUNTIF($B$2:B871,B871)&gt;1,"مكرر","فريد")</f>
        <v>فريد</v>
      </c>
      <c r="Q871" s="19" t="str">
        <f aca="false">IF(COUNTBLANK(D871:L871)&gt;0,"نعم","لا")</f>
        <v>لا</v>
      </c>
    </row>
    <row r="872" customFormat="false" ht="15" hidden="false" customHeight="false" outlineLevel="0" collapsed="false">
      <c r="A872" s="19" t="n">
        <v>871</v>
      </c>
      <c r="B872" s="30" t="s">
        <v>284</v>
      </c>
      <c r="C872" s="30" t="s">
        <v>1474</v>
      </c>
      <c r="D872" s="30" t="s">
        <v>57</v>
      </c>
      <c r="E872" s="30" t="s">
        <v>107</v>
      </c>
      <c r="F872" s="30" t="s">
        <v>114</v>
      </c>
      <c r="G872" s="31" t="n">
        <v>5499</v>
      </c>
      <c r="H872" s="19" t="n">
        <v>1</v>
      </c>
      <c r="I872" s="32"/>
      <c r="J872" s="30" t="s">
        <v>52</v>
      </c>
      <c r="K872" s="30" t="s">
        <v>47</v>
      </c>
      <c r="L872" s="30" t="s">
        <v>99</v>
      </c>
      <c r="M872" s="31" t="n">
        <f aca="false">AVERAGEIF($E$2:$E$1197,E872,$G$2:$G$1197)</f>
        <v>4981.14563106796</v>
      </c>
      <c r="N872" s="19" t="str">
        <f aca="false">IF(G872&gt;M872*3,"نعم","لا")</f>
        <v>لا</v>
      </c>
      <c r="O872" s="19" t="str">
        <f aca="false">IF(OR(C872="",ISNUMBER(C872)),"لا","نعم")</f>
        <v>نعم</v>
      </c>
      <c r="P872" s="19" t="str">
        <f aca="false">IF(COUNTIF($B$2:B872,B872)&gt;1,"مكرر","فريد")</f>
        <v>فريد</v>
      </c>
      <c r="Q872" s="19" t="str">
        <f aca="false">IF(COUNTBLANK(D872:L872)&gt;0,"نعم","لا")</f>
        <v>نعم</v>
      </c>
    </row>
    <row r="873" customFormat="false" ht="15" hidden="false" customHeight="false" outlineLevel="0" collapsed="false">
      <c r="A873" s="19" t="n">
        <v>872</v>
      </c>
      <c r="B873" s="30" t="s">
        <v>903</v>
      </c>
      <c r="C873" s="44" t="n">
        <v>45547</v>
      </c>
      <c r="D873" s="30" t="s">
        <v>54</v>
      </c>
      <c r="E873" s="30" t="s">
        <v>105</v>
      </c>
      <c r="F873" s="30" t="s">
        <v>179</v>
      </c>
      <c r="G873" s="31" t="n">
        <v>1969</v>
      </c>
      <c r="H873" s="19" t="n">
        <v>1</v>
      </c>
      <c r="I873" s="32" t="n">
        <v>0</v>
      </c>
      <c r="J873" s="30" t="s">
        <v>52</v>
      </c>
      <c r="K873" s="30" t="s">
        <v>47</v>
      </c>
      <c r="L873" s="30" t="s">
        <v>76</v>
      </c>
      <c r="M873" s="31" t="n">
        <f aca="false">AVERAGEIF($E$2:$E$1197,E873,$G$2:$G$1197)</f>
        <v>2870.26771653543</v>
      </c>
      <c r="N873" s="19" t="str">
        <f aca="false">IF(G873&gt;M873*3,"نعم","لا")</f>
        <v>لا</v>
      </c>
      <c r="O873" s="19" t="str">
        <f aca="false">IF(OR(C873="",ISNUMBER(C873)),"لا","نعم")</f>
        <v>لا</v>
      </c>
      <c r="P873" s="19" t="str">
        <f aca="false">IF(COUNTIF($B$2:B873,B873)&gt;1,"مكرر","فريد")</f>
        <v>مكرر</v>
      </c>
      <c r="Q873" s="19" t="str">
        <f aca="false">IF(COUNTBLANK(D873:L873)&gt;0,"نعم","لا")</f>
        <v>لا</v>
      </c>
    </row>
    <row r="874" customFormat="false" ht="15" hidden="false" customHeight="false" outlineLevel="0" collapsed="false">
      <c r="A874" s="19" t="n">
        <v>873</v>
      </c>
      <c r="B874" s="30" t="s">
        <v>1029</v>
      </c>
      <c r="C874" s="44" t="n">
        <v>45591</v>
      </c>
      <c r="D874" s="30" t="s">
        <v>46</v>
      </c>
      <c r="E874" s="30" t="s">
        <v>113</v>
      </c>
      <c r="F874" s="30" t="s">
        <v>97</v>
      </c>
      <c r="G874" s="31" t="n">
        <v>439</v>
      </c>
      <c r="H874" s="19" t="n">
        <v>1</v>
      </c>
      <c r="I874" s="32" t="n">
        <v>0</v>
      </c>
      <c r="J874" s="30" t="s">
        <v>1360</v>
      </c>
      <c r="K874" s="30" t="s">
        <v>47</v>
      </c>
      <c r="L874" s="30" t="s">
        <v>94</v>
      </c>
      <c r="M874" s="31" t="n">
        <f aca="false">AVERAGEIF($E$2:$E$1197,E874,$G$2:$G$1197)</f>
        <v>545.358823529412</v>
      </c>
      <c r="N874" s="19" t="str">
        <f aca="false">IF(G874&gt;M874*3,"نعم","لا")</f>
        <v>لا</v>
      </c>
      <c r="O874" s="19" t="str">
        <f aca="false">IF(OR(C874="",ISNUMBER(C874)),"لا","نعم")</f>
        <v>لا</v>
      </c>
      <c r="P874" s="19" t="str">
        <f aca="false">IF(COUNTIF($B$2:B874,B874)&gt;1,"مكرر","فريد")</f>
        <v>فريد</v>
      </c>
      <c r="Q874" s="19" t="str">
        <f aca="false">IF(COUNTBLANK(D874:L874)&gt;0,"نعم","لا")</f>
        <v>لا</v>
      </c>
    </row>
    <row r="875" customFormat="false" ht="15" hidden="false" customHeight="false" outlineLevel="0" collapsed="false">
      <c r="A875" s="19" t="n">
        <v>874</v>
      </c>
      <c r="B875" s="30" t="s">
        <v>761</v>
      </c>
      <c r="C875" s="44" t="n">
        <v>45507</v>
      </c>
      <c r="D875" s="30" t="s">
        <v>60</v>
      </c>
      <c r="E875" s="30" t="s">
        <v>113</v>
      </c>
      <c r="F875" s="30" t="s">
        <v>95</v>
      </c>
      <c r="G875" s="31" t="n">
        <v>99</v>
      </c>
      <c r="H875" s="19" t="n">
        <v>1</v>
      </c>
      <c r="I875" s="32" t="n">
        <v>0.1</v>
      </c>
      <c r="J875" s="30" t="s">
        <v>55</v>
      </c>
      <c r="K875" s="30" t="s">
        <v>47</v>
      </c>
      <c r="L875" s="30" t="s">
        <v>84</v>
      </c>
      <c r="M875" s="31" t="n">
        <f aca="false">AVERAGEIF($E$2:$E$1197,E875,$G$2:$G$1197)</f>
        <v>545.358823529412</v>
      </c>
      <c r="N875" s="19" t="str">
        <f aca="false">IF(G875&gt;M875*3,"نعم","لا")</f>
        <v>لا</v>
      </c>
      <c r="O875" s="19" t="str">
        <f aca="false">IF(OR(C875="",ISNUMBER(C875)),"لا","نعم")</f>
        <v>لا</v>
      </c>
      <c r="P875" s="19" t="str">
        <f aca="false">IF(COUNTIF($B$2:B875,B875)&gt;1,"مكرر","فريد")</f>
        <v>فريد</v>
      </c>
      <c r="Q875" s="19" t="str">
        <f aca="false">IF(COUNTBLANK(D875:L875)&gt;0,"نعم","لا")</f>
        <v>لا</v>
      </c>
    </row>
    <row r="876" customFormat="false" ht="15" hidden="false" customHeight="false" outlineLevel="0" collapsed="false">
      <c r="A876" s="19" t="n">
        <v>875</v>
      </c>
      <c r="B876" s="30" t="s">
        <v>350</v>
      </c>
      <c r="C876" s="44" t="n">
        <v>45361</v>
      </c>
      <c r="D876" s="30" t="s">
        <v>46</v>
      </c>
      <c r="E876" s="30" t="s">
        <v>111</v>
      </c>
      <c r="F876" s="30" t="s">
        <v>122</v>
      </c>
      <c r="G876" s="31" t="n">
        <v>429</v>
      </c>
      <c r="H876" s="19" t="n">
        <v>1</v>
      </c>
      <c r="I876" s="32" t="n">
        <v>0.15</v>
      </c>
      <c r="J876" s="30" t="s">
        <v>48</v>
      </c>
      <c r="K876" s="30" t="s">
        <v>47</v>
      </c>
      <c r="L876" s="30" t="s">
        <v>92</v>
      </c>
      <c r="M876" s="31" t="n">
        <f aca="false">AVERAGEIF($E$2:$E$1197,E876,$G$2:$G$1197)</f>
        <v>366.306569343066</v>
      </c>
      <c r="N876" s="19" t="str">
        <f aca="false">IF(G876&gt;M876*3,"نعم","لا")</f>
        <v>لا</v>
      </c>
      <c r="O876" s="19" t="str">
        <f aca="false">IF(OR(C876="",ISNUMBER(C876)),"لا","نعم")</f>
        <v>لا</v>
      </c>
      <c r="P876" s="19" t="str">
        <f aca="false">IF(COUNTIF($B$2:B876,B876)&gt;1,"مكرر","فريد")</f>
        <v>فريد</v>
      </c>
      <c r="Q876" s="19" t="str">
        <f aca="false">IF(COUNTBLANK(D876:L876)&gt;0,"نعم","لا")</f>
        <v>لا</v>
      </c>
    </row>
    <row r="877" customFormat="false" ht="15" hidden="false" customHeight="false" outlineLevel="0" collapsed="false">
      <c r="A877" s="19" t="n">
        <v>876</v>
      </c>
      <c r="B877" s="30" t="s">
        <v>467</v>
      </c>
      <c r="C877" s="44" t="n">
        <v>45398</v>
      </c>
      <c r="D877" s="30" t="s">
        <v>54</v>
      </c>
      <c r="E877" s="30" t="s">
        <v>109</v>
      </c>
      <c r="F877" s="30" t="s">
        <v>175</v>
      </c>
      <c r="G877" s="31" t="n">
        <v>129</v>
      </c>
      <c r="H877" s="19" t="n">
        <v>8</v>
      </c>
      <c r="I877" s="32" t="n">
        <v>0.15</v>
      </c>
      <c r="J877" s="30" t="s">
        <v>55</v>
      </c>
      <c r="K877" s="30" t="s">
        <v>51</v>
      </c>
      <c r="L877" s="30" t="s">
        <v>94</v>
      </c>
      <c r="M877" s="31" t="n">
        <f aca="false">AVERAGEIF($E$2:$E$1197,E877,$G$2:$G$1197)</f>
        <v>186.056291390729</v>
      </c>
      <c r="N877" s="19" t="str">
        <f aca="false">IF(G877&gt;M877*3,"نعم","لا")</f>
        <v>لا</v>
      </c>
      <c r="O877" s="19" t="str">
        <f aca="false">IF(OR(C877="",ISNUMBER(C877)),"لا","نعم")</f>
        <v>لا</v>
      </c>
      <c r="P877" s="19" t="str">
        <f aca="false">IF(COUNTIF($B$2:B877,B877)&gt;1,"مكرر","فريد")</f>
        <v>فريد</v>
      </c>
      <c r="Q877" s="19" t="str">
        <f aca="false">IF(COUNTBLANK(D877:L877)&gt;0,"نعم","لا")</f>
        <v>لا</v>
      </c>
    </row>
    <row r="878" customFormat="false" ht="15" hidden="false" customHeight="false" outlineLevel="0" collapsed="false">
      <c r="A878" s="19" t="n">
        <v>877</v>
      </c>
      <c r="B878" s="30" t="s">
        <v>661</v>
      </c>
      <c r="C878" s="44" t="n">
        <v>45472</v>
      </c>
      <c r="D878" s="30" t="s">
        <v>54</v>
      </c>
      <c r="E878" s="30" t="s">
        <v>109</v>
      </c>
      <c r="F878" s="30" t="s">
        <v>192</v>
      </c>
      <c r="G878" s="31" t="n">
        <v>49</v>
      </c>
      <c r="H878" s="19" t="n">
        <v>1</v>
      </c>
      <c r="I878" s="32" t="n">
        <v>0.1</v>
      </c>
      <c r="J878" s="30" t="s">
        <v>55</v>
      </c>
      <c r="K878" s="30" t="s">
        <v>47</v>
      </c>
      <c r="L878" s="30" t="s">
        <v>92</v>
      </c>
      <c r="M878" s="31" t="n">
        <f aca="false">AVERAGEIF($E$2:$E$1197,E878,$G$2:$G$1197)</f>
        <v>186.056291390729</v>
      </c>
      <c r="N878" s="19" t="str">
        <f aca="false">IF(G878&gt;M878*3,"نعم","لا")</f>
        <v>لا</v>
      </c>
      <c r="O878" s="19" t="str">
        <f aca="false">IF(OR(C878="",ISNUMBER(C878)),"لا","نعم")</f>
        <v>لا</v>
      </c>
      <c r="P878" s="19" t="str">
        <f aca="false">IF(COUNTIF($B$2:B878,B878)&gt;1,"مكرر","فريد")</f>
        <v>فريد</v>
      </c>
      <c r="Q878" s="19" t="str">
        <f aca="false">IF(COUNTBLANK(D878:L878)&gt;0,"نعم","لا")</f>
        <v>لا</v>
      </c>
    </row>
    <row r="879" customFormat="false" ht="15" hidden="false" customHeight="false" outlineLevel="0" collapsed="false">
      <c r="A879" s="19" t="n">
        <v>878</v>
      </c>
      <c r="B879" s="30" t="s">
        <v>1283</v>
      </c>
      <c r="C879" s="44" t="n">
        <v>45655</v>
      </c>
      <c r="D879" s="30" t="s">
        <v>46</v>
      </c>
      <c r="E879" s="30" t="s">
        <v>109</v>
      </c>
      <c r="F879" s="30" t="s">
        <v>175</v>
      </c>
      <c r="G879" s="31" t="n">
        <v>239</v>
      </c>
      <c r="H879" s="19" t="n">
        <v>1</v>
      </c>
      <c r="I879" s="32" t="n">
        <v>0.15</v>
      </c>
      <c r="J879" s="30" t="s">
        <v>48</v>
      </c>
      <c r="K879" s="30" t="s">
        <v>47</v>
      </c>
      <c r="L879" s="30" t="s">
        <v>96</v>
      </c>
      <c r="M879" s="31" t="n">
        <f aca="false">AVERAGEIF($E$2:$E$1197,E879,$G$2:$G$1197)</f>
        <v>186.056291390729</v>
      </c>
      <c r="N879" s="19" t="str">
        <f aca="false">IF(G879&gt;M879*3,"نعم","لا")</f>
        <v>لا</v>
      </c>
      <c r="O879" s="19" t="str">
        <f aca="false">IF(OR(C879="",ISNUMBER(C879)),"لا","نعم")</f>
        <v>لا</v>
      </c>
      <c r="P879" s="19" t="str">
        <f aca="false">IF(COUNTIF($B$2:B879,B879)&gt;1,"مكرر","فريد")</f>
        <v>فريد</v>
      </c>
      <c r="Q879" s="19" t="str">
        <f aca="false">IF(COUNTBLANK(D879:L879)&gt;0,"نعم","لا")</f>
        <v>لا</v>
      </c>
    </row>
    <row r="880" customFormat="false" ht="15" hidden="false" customHeight="false" outlineLevel="0" collapsed="false">
      <c r="A880" s="19" t="n">
        <v>879</v>
      </c>
      <c r="B880" s="30" t="s">
        <v>1176</v>
      </c>
      <c r="C880" s="44" t="n">
        <v>45624</v>
      </c>
      <c r="D880" s="30" t="s">
        <v>50</v>
      </c>
      <c r="E880" s="30" t="s">
        <v>105</v>
      </c>
      <c r="F880" s="30" t="s">
        <v>85</v>
      </c>
      <c r="G880" s="31" t="n">
        <v>889</v>
      </c>
      <c r="H880" s="19" t="n">
        <v>1</v>
      </c>
      <c r="I880" s="32" t="n">
        <v>0</v>
      </c>
      <c r="J880" s="30" t="s">
        <v>48</v>
      </c>
      <c r="K880" s="30" t="s">
        <v>47</v>
      </c>
      <c r="L880" s="30" t="s">
        <v>99</v>
      </c>
      <c r="M880" s="31" t="n">
        <f aca="false">AVERAGEIF($E$2:$E$1197,E880,$G$2:$G$1197)</f>
        <v>2870.26771653543</v>
      </c>
      <c r="N880" s="19" t="str">
        <f aca="false">IF(G880&gt;M880*3,"نعم","لا")</f>
        <v>لا</v>
      </c>
      <c r="O880" s="19" t="str">
        <f aca="false">IF(OR(C880="",ISNUMBER(C880)),"لا","نعم")</f>
        <v>لا</v>
      </c>
      <c r="P880" s="19" t="str">
        <f aca="false">IF(COUNTIF($B$2:B880,B880)&gt;1,"مكرر","فريد")</f>
        <v>فريد</v>
      </c>
      <c r="Q880" s="19" t="str">
        <f aca="false">IF(COUNTBLANK(D880:L880)&gt;0,"نعم","لا")</f>
        <v>لا</v>
      </c>
    </row>
    <row r="881" customFormat="false" ht="15" hidden="false" customHeight="false" outlineLevel="0" collapsed="false">
      <c r="A881" s="19" t="n">
        <v>880</v>
      </c>
      <c r="B881" s="30" t="s">
        <v>515</v>
      </c>
      <c r="C881" s="44" t="n">
        <v>45420</v>
      </c>
      <c r="D881" s="30" t="s">
        <v>46</v>
      </c>
      <c r="E881" s="30" t="s">
        <v>113</v>
      </c>
      <c r="F881" s="30" t="s">
        <v>1363</v>
      </c>
      <c r="G881" s="31" t="n">
        <v>829</v>
      </c>
      <c r="H881" s="19" t="n">
        <v>2</v>
      </c>
      <c r="I881" s="32" t="n">
        <v>0</v>
      </c>
      <c r="J881" s="30" t="s">
        <v>52</v>
      </c>
      <c r="K881" s="30" t="s">
        <v>47</v>
      </c>
      <c r="L881" s="30" t="s">
        <v>84</v>
      </c>
      <c r="M881" s="31" t="n">
        <f aca="false">AVERAGEIF($E$2:$E$1197,E881,$G$2:$G$1197)</f>
        <v>545.358823529412</v>
      </c>
      <c r="N881" s="19" t="str">
        <f aca="false">IF(G881&gt;M881*3,"نعم","لا")</f>
        <v>لا</v>
      </c>
      <c r="O881" s="19" t="str">
        <f aca="false">IF(OR(C881="",ISNUMBER(C881)),"لا","نعم")</f>
        <v>لا</v>
      </c>
      <c r="P881" s="19" t="str">
        <f aca="false">IF(COUNTIF($B$2:B881,B881)&gt;1,"مكرر","فريد")</f>
        <v>مكرر</v>
      </c>
      <c r="Q881" s="19" t="str">
        <f aca="false">IF(COUNTBLANK(D881:L881)&gt;0,"نعم","لا")</f>
        <v>لا</v>
      </c>
    </row>
    <row r="882" customFormat="false" ht="15" hidden="false" customHeight="false" outlineLevel="0" collapsed="false">
      <c r="A882" s="19" t="n">
        <v>881</v>
      </c>
      <c r="B882" s="30" t="s">
        <v>894</v>
      </c>
      <c r="C882" s="44" t="n">
        <v>45543</v>
      </c>
      <c r="D882" s="30" t="s">
        <v>57</v>
      </c>
      <c r="E882" s="30" t="s">
        <v>113</v>
      </c>
      <c r="F882" s="30" t="s">
        <v>121</v>
      </c>
      <c r="G882" s="31" t="n">
        <v>829</v>
      </c>
      <c r="H882" s="19" t="n">
        <v>1</v>
      </c>
      <c r="I882" s="32" t="n">
        <v>0.1</v>
      </c>
      <c r="J882" s="30" t="s">
        <v>55</v>
      </c>
      <c r="K882" s="30" t="s">
        <v>47</v>
      </c>
      <c r="L882" s="30" t="s">
        <v>96</v>
      </c>
      <c r="M882" s="31" t="n">
        <f aca="false">AVERAGEIF($E$2:$E$1197,E882,$G$2:$G$1197)</f>
        <v>545.358823529412</v>
      </c>
      <c r="N882" s="19" t="str">
        <f aca="false">IF(G882&gt;M882*3,"نعم","لا")</f>
        <v>لا</v>
      </c>
      <c r="O882" s="19" t="str">
        <f aca="false">IF(OR(C882="",ISNUMBER(C882)),"لا","نعم")</f>
        <v>لا</v>
      </c>
      <c r="P882" s="19" t="str">
        <f aca="false">IF(COUNTIF($B$2:B882,B882)&gt;1,"مكرر","فريد")</f>
        <v>فريد</v>
      </c>
      <c r="Q882" s="19" t="str">
        <f aca="false">IF(COUNTBLANK(D882:L882)&gt;0,"نعم","لا")</f>
        <v>لا</v>
      </c>
    </row>
    <row r="883" customFormat="false" ht="15" hidden="false" customHeight="false" outlineLevel="0" collapsed="false">
      <c r="A883" s="19" t="n">
        <v>882</v>
      </c>
      <c r="B883" s="30" t="s">
        <v>1096</v>
      </c>
      <c r="C883" s="44" t="n">
        <v>45606</v>
      </c>
      <c r="D883" s="30" t="s">
        <v>50</v>
      </c>
      <c r="E883" s="30" t="s">
        <v>107</v>
      </c>
      <c r="F883" s="30" t="s">
        <v>272</v>
      </c>
      <c r="G883" s="31" t="n">
        <v>3589</v>
      </c>
      <c r="H883" s="19" t="n">
        <v>2</v>
      </c>
      <c r="I883" s="32" t="n">
        <v>0</v>
      </c>
      <c r="J883" s="30" t="s">
        <v>52</v>
      </c>
      <c r="K883" s="30" t="s">
        <v>47</v>
      </c>
      <c r="L883" s="30" t="s">
        <v>89</v>
      </c>
      <c r="M883" s="31" t="n">
        <f aca="false">AVERAGEIF($E$2:$E$1197,E883,$G$2:$G$1197)</f>
        <v>4981.14563106796</v>
      </c>
      <c r="N883" s="19" t="str">
        <f aca="false">IF(G883&gt;M883*3,"نعم","لا")</f>
        <v>لا</v>
      </c>
      <c r="O883" s="19" t="str">
        <f aca="false">IF(OR(C883="",ISNUMBER(C883)),"لا","نعم")</f>
        <v>لا</v>
      </c>
      <c r="P883" s="19" t="str">
        <f aca="false">IF(COUNTIF($B$2:B883,B883)&gt;1,"مكرر","فريد")</f>
        <v>فريد</v>
      </c>
      <c r="Q883" s="19" t="str">
        <f aca="false">IF(COUNTBLANK(D883:L883)&gt;0,"نعم","لا")</f>
        <v>لا</v>
      </c>
    </row>
    <row r="884" customFormat="false" ht="15" hidden="false" customHeight="false" outlineLevel="0" collapsed="false">
      <c r="A884" s="19" t="n">
        <v>883</v>
      </c>
      <c r="B884" s="30" t="s">
        <v>678</v>
      </c>
      <c r="C884" s="44" t="n">
        <v>45477</v>
      </c>
      <c r="D884" s="30" t="s">
        <v>57</v>
      </c>
      <c r="E884" s="30" t="s">
        <v>111</v>
      </c>
      <c r="F884" s="30" t="s">
        <v>120</v>
      </c>
      <c r="G884" s="31" t="n">
        <v>449</v>
      </c>
      <c r="H884" s="19" t="n">
        <v>2</v>
      </c>
      <c r="I884" s="32" t="n">
        <v>0.05</v>
      </c>
      <c r="J884" s="30" t="s">
        <v>52</v>
      </c>
      <c r="K884" s="30" t="s">
        <v>47</v>
      </c>
      <c r="L884" s="30" t="s">
        <v>94</v>
      </c>
      <c r="M884" s="31" t="n">
        <f aca="false">AVERAGEIF($E$2:$E$1197,E884,$G$2:$G$1197)</f>
        <v>366.306569343066</v>
      </c>
      <c r="N884" s="19" t="str">
        <f aca="false">IF(G884&gt;M884*3,"نعم","لا")</f>
        <v>لا</v>
      </c>
      <c r="O884" s="19" t="str">
        <f aca="false">IF(OR(C884="",ISNUMBER(C884)),"لا","نعم")</f>
        <v>لا</v>
      </c>
      <c r="P884" s="19" t="str">
        <f aca="false">IF(COUNTIF($B$2:B884,B884)&gt;1,"مكرر","فريد")</f>
        <v>فريد</v>
      </c>
      <c r="Q884" s="19" t="str">
        <f aca="false">IF(COUNTBLANK(D884:L884)&gt;0,"نعم","لا")</f>
        <v>لا</v>
      </c>
    </row>
    <row r="885" customFormat="false" ht="15" hidden="false" customHeight="false" outlineLevel="0" collapsed="false">
      <c r="A885" s="19" t="n">
        <v>884</v>
      </c>
      <c r="B885" s="30" t="s">
        <v>534</v>
      </c>
      <c r="C885" s="44" t="n">
        <v>45426</v>
      </c>
      <c r="D885" s="30" t="s">
        <v>50</v>
      </c>
      <c r="E885" s="30" t="s">
        <v>109</v>
      </c>
      <c r="F885" s="30" t="s">
        <v>192</v>
      </c>
      <c r="G885" s="31" t="n">
        <v>79</v>
      </c>
      <c r="H885" s="19"/>
      <c r="I885" s="32" t="n">
        <v>0.1</v>
      </c>
      <c r="J885" s="30" t="s">
        <v>48</v>
      </c>
      <c r="K885" s="30" t="s">
        <v>47</v>
      </c>
      <c r="L885" s="30" t="s">
        <v>84</v>
      </c>
      <c r="M885" s="31" t="n">
        <f aca="false">AVERAGEIF($E$2:$E$1197,E885,$G$2:$G$1197)</f>
        <v>186.056291390729</v>
      </c>
      <c r="N885" s="19" t="str">
        <f aca="false">IF(G885&gt;M885*3,"نعم","لا")</f>
        <v>لا</v>
      </c>
      <c r="O885" s="19" t="str">
        <f aca="false">IF(OR(C885="",ISNUMBER(C885)),"لا","نعم")</f>
        <v>لا</v>
      </c>
      <c r="P885" s="19" t="str">
        <f aca="false">IF(COUNTIF($B$2:B885,B885)&gt;1,"مكرر","فريد")</f>
        <v>فريد</v>
      </c>
      <c r="Q885" s="19" t="str">
        <f aca="false">IF(COUNTBLANK(D885:L885)&gt;0,"نعم","لا")</f>
        <v>نعم</v>
      </c>
    </row>
    <row r="886" customFormat="false" ht="15" hidden="false" customHeight="false" outlineLevel="0" collapsed="false">
      <c r="A886" s="19" t="n">
        <v>885</v>
      </c>
      <c r="B886" s="30" t="s">
        <v>215</v>
      </c>
      <c r="C886" s="44" t="n">
        <v>45308</v>
      </c>
      <c r="D886" s="30" t="s">
        <v>46</v>
      </c>
      <c r="E886" s="30" t="s">
        <v>111</v>
      </c>
      <c r="F886" s="30" t="s">
        <v>120</v>
      </c>
      <c r="G886" s="31" t="n">
        <v>159</v>
      </c>
      <c r="H886" s="19" t="n">
        <v>1</v>
      </c>
      <c r="I886" s="32" t="n">
        <v>0</v>
      </c>
      <c r="J886" s="30" t="s">
        <v>48</v>
      </c>
      <c r="K886" s="30" t="s">
        <v>47</v>
      </c>
      <c r="L886" s="30" t="s">
        <v>92</v>
      </c>
      <c r="M886" s="31" t="n">
        <f aca="false">AVERAGEIF($E$2:$E$1197,E886,$G$2:$G$1197)</f>
        <v>366.306569343066</v>
      </c>
      <c r="N886" s="19" t="str">
        <f aca="false">IF(G886&gt;M886*3,"نعم","لا")</f>
        <v>لا</v>
      </c>
      <c r="O886" s="19" t="str">
        <f aca="false">IF(OR(C886="",ISNUMBER(C886)),"لا","نعم")</f>
        <v>لا</v>
      </c>
      <c r="P886" s="19" t="str">
        <f aca="false">IF(COUNTIF($B$2:B886,B886)&gt;1,"مكرر","فريد")</f>
        <v>فريد</v>
      </c>
      <c r="Q886" s="19" t="str">
        <f aca="false">IF(COUNTBLANK(D886:L886)&gt;0,"نعم","لا")</f>
        <v>لا</v>
      </c>
    </row>
    <row r="887" customFormat="false" ht="15" hidden="false" customHeight="false" outlineLevel="0" collapsed="false">
      <c r="A887" s="19" t="n">
        <v>886</v>
      </c>
      <c r="B887" s="30" t="s">
        <v>636</v>
      </c>
      <c r="C887" s="44" t="n">
        <v>45464</v>
      </c>
      <c r="D887" s="30" t="s">
        <v>54</v>
      </c>
      <c r="E887" s="30" t="s">
        <v>105</v>
      </c>
      <c r="F887" s="30" t="s">
        <v>79</v>
      </c>
      <c r="G887" s="31" t="n">
        <v>1119</v>
      </c>
      <c r="H887" s="19" t="n">
        <v>1</v>
      </c>
      <c r="I887" s="32" t="n">
        <v>0</v>
      </c>
      <c r="J887" s="30" t="s">
        <v>48</v>
      </c>
      <c r="K887" s="30" t="s">
        <v>47</v>
      </c>
      <c r="L887" s="30" t="s">
        <v>99</v>
      </c>
      <c r="M887" s="31" t="n">
        <f aca="false">AVERAGEIF($E$2:$E$1197,E887,$G$2:$G$1197)</f>
        <v>2870.26771653543</v>
      </c>
      <c r="N887" s="19" t="str">
        <f aca="false">IF(G887&gt;M887*3,"نعم","لا")</f>
        <v>لا</v>
      </c>
      <c r="O887" s="19" t="str">
        <f aca="false">IF(OR(C887="",ISNUMBER(C887)),"لا","نعم")</f>
        <v>لا</v>
      </c>
      <c r="P887" s="19" t="str">
        <f aca="false">IF(COUNTIF($B$2:B887,B887)&gt;1,"مكرر","فريد")</f>
        <v>فريد</v>
      </c>
      <c r="Q887" s="19" t="str">
        <f aca="false">IF(COUNTBLANK(D887:L887)&gt;0,"نعم","لا")</f>
        <v>لا</v>
      </c>
    </row>
    <row r="888" customFormat="false" ht="15" hidden="false" customHeight="false" outlineLevel="0" collapsed="false">
      <c r="A888" s="19" t="n">
        <v>887</v>
      </c>
      <c r="B888" s="30" t="s">
        <v>327</v>
      </c>
      <c r="C888" s="44" t="n">
        <v>45354</v>
      </c>
      <c r="D888" s="30" t="s">
        <v>50</v>
      </c>
      <c r="E888" s="30" t="s">
        <v>109</v>
      </c>
      <c r="F888" s="30" t="s">
        <v>1456</v>
      </c>
      <c r="G888" s="31" t="n">
        <v>249</v>
      </c>
      <c r="H888" s="19" t="n">
        <v>1</v>
      </c>
      <c r="I888" s="32" t="n">
        <v>0</v>
      </c>
      <c r="J888" s="30" t="s">
        <v>52</v>
      </c>
      <c r="K888" s="30" t="s">
        <v>47</v>
      </c>
      <c r="L888" s="30" t="s">
        <v>86</v>
      </c>
      <c r="M888" s="31" t="n">
        <f aca="false">AVERAGEIF($E$2:$E$1197,E888,$G$2:$G$1197)</f>
        <v>186.056291390729</v>
      </c>
      <c r="N888" s="19" t="str">
        <f aca="false">IF(G888&gt;M888*3,"نعم","لا")</f>
        <v>لا</v>
      </c>
      <c r="O888" s="19" t="str">
        <f aca="false">IF(OR(C888="",ISNUMBER(C888)),"لا","نعم")</f>
        <v>لا</v>
      </c>
      <c r="P888" s="19" t="str">
        <f aca="false">IF(COUNTIF($B$2:B888,B888)&gt;1,"مكرر","فريد")</f>
        <v>فريد</v>
      </c>
      <c r="Q888" s="19" t="str">
        <f aca="false">IF(COUNTBLANK(D888:L888)&gt;0,"نعم","لا")</f>
        <v>لا</v>
      </c>
    </row>
    <row r="889" customFormat="false" ht="15" hidden="false" customHeight="false" outlineLevel="0" collapsed="false">
      <c r="A889" s="19" t="n">
        <v>888</v>
      </c>
      <c r="B889" s="30" t="s">
        <v>1188</v>
      </c>
      <c r="C889" s="44" t="n">
        <v>45628</v>
      </c>
      <c r="D889" s="30" t="s">
        <v>46</v>
      </c>
      <c r="E889" s="30" t="s">
        <v>113</v>
      </c>
      <c r="F889" s="30" t="s">
        <v>95</v>
      </c>
      <c r="G889" s="31" t="n">
        <v>779</v>
      </c>
      <c r="H889" s="19"/>
      <c r="I889" s="32" t="n">
        <v>0.1</v>
      </c>
      <c r="J889" s="30" t="s">
        <v>48</v>
      </c>
      <c r="K889" s="30" t="s">
        <v>47</v>
      </c>
      <c r="L889" s="30" t="s">
        <v>99</v>
      </c>
      <c r="M889" s="31" t="n">
        <f aca="false">AVERAGEIF($E$2:$E$1197,E889,$G$2:$G$1197)</f>
        <v>545.358823529412</v>
      </c>
      <c r="N889" s="19" t="str">
        <f aca="false">IF(G889&gt;M889*3,"نعم","لا")</f>
        <v>لا</v>
      </c>
      <c r="O889" s="19" t="str">
        <f aca="false">IF(OR(C889="",ISNUMBER(C889)),"لا","نعم")</f>
        <v>لا</v>
      </c>
      <c r="P889" s="19" t="str">
        <f aca="false">IF(COUNTIF($B$2:B889,B889)&gt;1,"مكرر","فريد")</f>
        <v>فريد</v>
      </c>
      <c r="Q889" s="19" t="str">
        <f aca="false">IF(COUNTBLANK(D889:L889)&gt;0,"نعم","لا")</f>
        <v>نعم</v>
      </c>
    </row>
    <row r="890" customFormat="false" ht="15" hidden="false" customHeight="false" outlineLevel="0" collapsed="false">
      <c r="A890" s="19" t="n">
        <v>889</v>
      </c>
      <c r="B890" s="30" t="s">
        <v>340</v>
      </c>
      <c r="C890" s="44" t="n">
        <v>45358</v>
      </c>
      <c r="D890" s="30" t="s">
        <v>1405</v>
      </c>
      <c r="E890" s="30" t="s">
        <v>111</v>
      </c>
      <c r="F890" s="30" t="s">
        <v>118</v>
      </c>
      <c r="G890" s="31" t="n">
        <v>539</v>
      </c>
      <c r="H890" s="19" t="n">
        <v>1</v>
      </c>
      <c r="I890" s="32" t="n">
        <v>0.1</v>
      </c>
      <c r="J890" s="30" t="s">
        <v>52</v>
      </c>
      <c r="K890" s="30" t="s">
        <v>47</v>
      </c>
      <c r="L890" s="30" t="s">
        <v>99</v>
      </c>
      <c r="M890" s="31" t="n">
        <f aca="false">AVERAGEIF($E$2:$E$1197,E890,$G$2:$G$1197)</f>
        <v>366.306569343066</v>
      </c>
      <c r="N890" s="19" t="str">
        <f aca="false">IF(G890&gt;M890*3,"نعم","لا")</f>
        <v>لا</v>
      </c>
      <c r="O890" s="19" t="str">
        <f aca="false">IF(OR(C890="",ISNUMBER(C890)),"لا","نعم")</f>
        <v>لا</v>
      </c>
      <c r="P890" s="19" t="str">
        <f aca="false">IF(COUNTIF($B$2:B890,B890)&gt;1,"مكرر","فريد")</f>
        <v>فريد</v>
      </c>
      <c r="Q890" s="19" t="str">
        <f aca="false">IF(COUNTBLANK(D890:L890)&gt;0,"نعم","لا")</f>
        <v>لا</v>
      </c>
    </row>
    <row r="891" customFormat="false" ht="15" hidden="false" customHeight="false" outlineLevel="0" collapsed="false">
      <c r="A891" s="19" t="n">
        <v>890</v>
      </c>
      <c r="B891" s="30" t="s">
        <v>187</v>
      </c>
      <c r="C891" s="44" t="n">
        <v>45298</v>
      </c>
      <c r="D891" s="30" t="s">
        <v>46</v>
      </c>
      <c r="E891" s="30" t="s">
        <v>105</v>
      </c>
      <c r="F891" s="30" t="s">
        <v>79</v>
      </c>
      <c r="G891" s="31" t="n">
        <v>2439</v>
      </c>
      <c r="H891" s="19" t="n">
        <v>2</v>
      </c>
      <c r="I891" s="32" t="n">
        <v>0.1</v>
      </c>
      <c r="J891" s="30" t="s">
        <v>48</v>
      </c>
      <c r="K891" s="30" t="s">
        <v>47</v>
      </c>
      <c r="L891" s="30" t="s">
        <v>96</v>
      </c>
      <c r="M891" s="31" t="n">
        <f aca="false">AVERAGEIF($E$2:$E$1197,E891,$G$2:$G$1197)</f>
        <v>2870.26771653543</v>
      </c>
      <c r="N891" s="19" t="str">
        <f aca="false">IF(G891&gt;M891*3,"نعم","لا")</f>
        <v>لا</v>
      </c>
      <c r="O891" s="19" t="str">
        <f aca="false">IF(OR(C891="",ISNUMBER(C891)),"لا","نعم")</f>
        <v>لا</v>
      </c>
      <c r="P891" s="19" t="str">
        <f aca="false">IF(COUNTIF($B$2:B891,B891)&gt;1,"مكرر","فريد")</f>
        <v>فريد</v>
      </c>
      <c r="Q891" s="19" t="str">
        <f aca="false">IF(COUNTBLANK(D891:L891)&gt;0,"نعم","لا")</f>
        <v>لا</v>
      </c>
    </row>
    <row r="892" customFormat="false" ht="15" hidden="false" customHeight="false" outlineLevel="0" collapsed="false">
      <c r="A892" s="19" t="n">
        <v>891</v>
      </c>
      <c r="B892" s="30" t="s">
        <v>671</v>
      </c>
      <c r="C892" s="44" t="n">
        <v>45476</v>
      </c>
      <c r="D892" s="30" t="s">
        <v>54</v>
      </c>
      <c r="E892" s="30" t="s">
        <v>109</v>
      </c>
      <c r="F892" s="30" t="s">
        <v>175</v>
      </c>
      <c r="G892" s="31" t="n">
        <v>239</v>
      </c>
      <c r="H892" s="19" t="n">
        <v>2</v>
      </c>
      <c r="I892" s="32" t="n">
        <v>0</v>
      </c>
      <c r="J892" s="30" t="s">
        <v>52</v>
      </c>
      <c r="K892" s="30"/>
      <c r="L892" s="30" t="s">
        <v>76</v>
      </c>
      <c r="M892" s="31" t="n">
        <f aca="false">AVERAGEIF($E$2:$E$1197,E892,$G$2:$G$1197)</f>
        <v>186.056291390729</v>
      </c>
      <c r="N892" s="19" t="str">
        <f aca="false">IF(G892&gt;M892*3,"نعم","لا")</f>
        <v>لا</v>
      </c>
      <c r="O892" s="19" t="str">
        <f aca="false">IF(OR(C892="",ISNUMBER(C892)),"لا","نعم")</f>
        <v>لا</v>
      </c>
      <c r="P892" s="19" t="str">
        <f aca="false">IF(COUNTIF($B$2:B892,B892)&gt;1,"مكرر","فريد")</f>
        <v>فريد</v>
      </c>
      <c r="Q892" s="19" t="str">
        <f aca="false">IF(COUNTBLANK(D892:L892)&gt;0,"نعم","لا")</f>
        <v>نعم</v>
      </c>
    </row>
    <row r="893" customFormat="false" ht="15" hidden="false" customHeight="false" outlineLevel="0" collapsed="false">
      <c r="A893" s="19" t="n">
        <v>892</v>
      </c>
      <c r="B893" s="30" t="s">
        <v>220</v>
      </c>
      <c r="C893" s="44" t="n">
        <v>45309</v>
      </c>
      <c r="D893" s="30" t="s">
        <v>46</v>
      </c>
      <c r="E893" s="30" t="s">
        <v>113</v>
      </c>
      <c r="F893" s="30" t="s">
        <v>121</v>
      </c>
      <c r="G893" s="31" t="n">
        <v>869</v>
      </c>
      <c r="H893" s="19" t="n">
        <v>3</v>
      </c>
      <c r="I893" s="32" t="n">
        <v>0.05</v>
      </c>
      <c r="J893" s="30" t="s">
        <v>55</v>
      </c>
      <c r="K893" s="30" t="s">
        <v>47</v>
      </c>
      <c r="L893" s="30" t="s">
        <v>99</v>
      </c>
      <c r="M893" s="31" t="n">
        <f aca="false">AVERAGEIF($E$2:$E$1197,E893,$G$2:$G$1197)</f>
        <v>545.358823529412</v>
      </c>
      <c r="N893" s="19" t="str">
        <f aca="false">IF(G893&gt;M893*3,"نعم","لا")</f>
        <v>لا</v>
      </c>
      <c r="O893" s="19" t="str">
        <f aca="false">IF(OR(C893="",ISNUMBER(C893)),"لا","نعم")</f>
        <v>لا</v>
      </c>
      <c r="P893" s="19" t="str">
        <f aca="false">IF(COUNTIF($B$2:B893,B893)&gt;1,"مكرر","فريد")</f>
        <v>فريد</v>
      </c>
      <c r="Q893" s="19" t="str">
        <f aca="false">IF(COUNTBLANK(D893:L893)&gt;0,"نعم","لا")</f>
        <v>لا</v>
      </c>
    </row>
    <row r="894" customFormat="false" ht="15" hidden="false" customHeight="false" outlineLevel="0" collapsed="false">
      <c r="A894" s="19" t="n">
        <v>893</v>
      </c>
      <c r="B894" s="30" t="s">
        <v>361</v>
      </c>
      <c r="C894" s="30" t="s">
        <v>1475</v>
      </c>
      <c r="D894" s="30" t="s">
        <v>54</v>
      </c>
      <c r="E894" s="30" t="s">
        <v>111</v>
      </c>
      <c r="F894" s="30" t="s">
        <v>118</v>
      </c>
      <c r="G894" s="31" t="n">
        <v>139</v>
      </c>
      <c r="H894" s="19" t="n">
        <v>1</v>
      </c>
      <c r="I894" s="32" t="n">
        <v>0</v>
      </c>
      <c r="J894" s="30" t="s">
        <v>52</v>
      </c>
      <c r="K894" s="30" t="s">
        <v>47</v>
      </c>
      <c r="L894" s="30" t="s">
        <v>89</v>
      </c>
      <c r="M894" s="31" t="n">
        <f aca="false">AVERAGEIF($E$2:$E$1197,E894,$G$2:$G$1197)</f>
        <v>366.306569343066</v>
      </c>
      <c r="N894" s="19" t="str">
        <f aca="false">IF(G894&gt;M894*3,"نعم","لا")</f>
        <v>لا</v>
      </c>
      <c r="O894" s="19" t="str">
        <f aca="false">IF(OR(C894="",ISNUMBER(C894)),"لا","نعم")</f>
        <v>نعم</v>
      </c>
      <c r="P894" s="19" t="str">
        <f aca="false">IF(COUNTIF($B$2:B894,B894)&gt;1,"مكرر","فريد")</f>
        <v>فريد</v>
      </c>
      <c r="Q894" s="19" t="str">
        <f aca="false">IF(COUNTBLANK(D894:L894)&gt;0,"نعم","لا")</f>
        <v>لا</v>
      </c>
    </row>
    <row r="895" customFormat="false" ht="15" hidden="false" customHeight="false" outlineLevel="0" collapsed="false">
      <c r="A895" s="19" t="n">
        <v>894</v>
      </c>
      <c r="B895" s="30" t="s">
        <v>707</v>
      </c>
      <c r="C895" s="30" t="s">
        <v>1476</v>
      </c>
      <c r="D895" s="30" t="s">
        <v>57</v>
      </c>
      <c r="E895" s="30" t="s">
        <v>111</v>
      </c>
      <c r="F895" s="30" t="s">
        <v>122</v>
      </c>
      <c r="G895" s="31" t="n">
        <v>289</v>
      </c>
      <c r="H895" s="19" t="n">
        <v>1</v>
      </c>
      <c r="I895" s="32" t="n">
        <v>0.05</v>
      </c>
      <c r="J895" s="30" t="s">
        <v>48</v>
      </c>
      <c r="K895" s="30" t="s">
        <v>47</v>
      </c>
      <c r="L895" s="30" t="s">
        <v>92</v>
      </c>
      <c r="M895" s="31" t="n">
        <f aca="false">AVERAGEIF($E$2:$E$1197,E895,$G$2:$G$1197)</f>
        <v>366.306569343066</v>
      </c>
      <c r="N895" s="19" t="str">
        <f aca="false">IF(G895&gt;M895*3,"نعم","لا")</f>
        <v>لا</v>
      </c>
      <c r="O895" s="19" t="str">
        <f aca="false">IF(OR(C895="",ISNUMBER(C895)),"لا","نعم")</f>
        <v>نعم</v>
      </c>
      <c r="P895" s="19" t="str">
        <f aca="false">IF(COUNTIF($B$2:B895,B895)&gt;1,"مكرر","فريد")</f>
        <v>فريد</v>
      </c>
      <c r="Q895" s="19" t="str">
        <f aca="false">IF(COUNTBLANK(D895:L895)&gt;0,"نعم","لا")</f>
        <v>لا</v>
      </c>
    </row>
    <row r="896" customFormat="false" ht="15" hidden="false" customHeight="false" outlineLevel="0" collapsed="false">
      <c r="A896" s="19" t="n">
        <v>895</v>
      </c>
      <c r="B896" s="30" t="s">
        <v>677</v>
      </c>
      <c r="C896" s="44" t="n">
        <v>45477</v>
      </c>
      <c r="D896" s="30" t="s">
        <v>54</v>
      </c>
      <c r="E896" s="30" t="s">
        <v>109</v>
      </c>
      <c r="F896" s="30" t="s">
        <v>171</v>
      </c>
      <c r="G896" s="31" t="n">
        <v>319</v>
      </c>
      <c r="H896" s="19" t="n">
        <v>1</v>
      </c>
      <c r="I896" s="32" t="n">
        <v>0</v>
      </c>
      <c r="J896" s="30" t="s">
        <v>52</v>
      </c>
      <c r="K896" s="30" t="s">
        <v>47</v>
      </c>
      <c r="L896" s="30" t="s">
        <v>84</v>
      </c>
      <c r="M896" s="31" t="n">
        <f aca="false">AVERAGEIF($E$2:$E$1197,E896,$G$2:$G$1197)</f>
        <v>186.056291390729</v>
      </c>
      <c r="N896" s="19" t="str">
        <f aca="false">IF(G896&gt;M896*3,"نعم","لا")</f>
        <v>لا</v>
      </c>
      <c r="O896" s="19" t="str">
        <f aca="false">IF(OR(C896="",ISNUMBER(C896)),"لا","نعم")</f>
        <v>لا</v>
      </c>
      <c r="P896" s="19" t="str">
        <f aca="false">IF(COUNTIF($B$2:B896,B896)&gt;1,"مكرر","فريد")</f>
        <v>فريد</v>
      </c>
      <c r="Q896" s="19" t="str">
        <f aca="false">IF(COUNTBLANK(D896:L896)&gt;0,"نعم","لا")</f>
        <v>لا</v>
      </c>
    </row>
    <row r="897" customFormat="false" ht="15" hidden="false" customHeight="false" outlineLevel="0" collapsed="false">
      <c r="A897" s="19" t="n">
        <v>896</v>
      </c>
      <c r="B897" s="30" t="s">
        <v>1117</v>
      </c>
      <c r="C897" s="44" t="n">
        <v>45611</v>
      </c>
      <c r="D897" s="30" t="s">
        <v>46</v>
      </c>
      <c r="E897" s="30" t="s">
        <v>107</v>
      </c>
      <c r="F897" s="30" t="s">
        <v>115</v>
      </c>
      <c r="G897" s="31" t="n">
        <v>4479</v>
      </c>
      <c r="H897" s="19" t="n">
        <v>1</v>
      </c>
      <c r="I897" s="32" t="n">
        <v>0.15</v>
      </c>
      <c r="J897" s="30" t="s">
        <v>48</v>
      </c>
      <c r="K897" s="30" t="s">
        <v>47</v>
      </c>
      <c r="L897" s="30" t="s">
        <v>84</v>
      </c>
      <c r="M897" s="31" t="n">
        <f aca="false">AVERAGEIF($E$2:$E$1197,E897,$G$2:$G$1197)</f>
        <v>4981.14563106796</v>
      </c>
      <c r="N897" s="19" t="str">
        <f aca="false">IF(G897&gt;M897*3,"نعم","لا")</f>
        <v>لا</v>
      </c>
      <c r="O897" s="19" t="str">
        <f aca="false">IF(OR(C897="",ISNUMBER(C897)),"لا","نعم")</f>
        <v>لا</v>
      </c>
      <c r="P897" s="19" t="str">
        <f aca="false">IF(COUNTIF($B$2:B897,B897)&gt;1,"مكرر","فريد")</f>
        <v>فريد</v>
      </c>
      <c r="Q897" s="19" t="str">
        <f aca="false">IF(COUNTBLANK(D897:L897)&gt;0,"نعم","لا")</f>
        <v>لا</v>
      </c>
    </row>
    <row r="898" customFormat="false" ht="15" hidden="false" customHeight="false" outlineLevel="0" collapsed="false">
      <c r="A898" s="19" t="n">
        <v>897</v>
      </c>
      <c r="B898" s="30" t="s">
        <v>1272</v>
      </c>
      <c r="C898" s="44" t="n">
        <v>45651</v>
      </c>
      <c r="D898" s="30" t="s">
        <v>50</v>
      </c>
      <c r="E898" s="30" t="s">
        <v>105</v>
      </c>
      <c r="F898" s="30" t="s">
        <v>179</v>
      </c>
      <c r="G898" s="31" t="n">
        <v>1319</v>
      </c>
      <c r="H898" s="19" t="n">
        <v>1</v>
      </c>
      <c r="I898" s="32" t="n">
        <v>0</v>
      </c>
      <c r="J898" s="30" t="s">
        <v>58</v>
      </c>
      <c r="K898" s="30" t="s">
        <v>47</v>
      </c>
      <c r="L898" s="30" t="s">
        <v>94</v>
      </c>
      <c r="M898" s="31" t="n">
        <f aca="false">AVERAGEIF($E$2:$E$1197,E898,$G$2:$G$1197)</f>
        <v>2870.26771653543</v>
      </c>
      <c r="N898" s="19" t="str">
        <f aca="false">IF(G898&gt;M898*3,"نعم","لا")</f>
        <v>لا</v>
      </c>
      <c r="O898" s="19" t="str">
        <f aca="false">IF(OR(C898="",ISNUMBER(C898)),"لا","نعم")</f>
        <v>لا</v>
      </c>
      <c r="P898" s="19" t="str">
        <f aca="false">IF(COUNTIF($B$2:B898,B898)&gt;1,"مكرر","فريد")</f>
        <v>فريد</v>
      </c>
      <c r="Q898" s="19" t="str">
        <f aca="false">IF(COUNTBLANK(D898:L898)&gt;0,"نعم","لا")</f>
        <v>لا</v>
      </c>
    </row>
    <row r="899" customFormat="false" ht="15" hidden="false" customHeight="false" outlineLevel="0" collapsed="false">
      <c r="A899" s="19" t="n">
        <v>898</v>
      </c>
      <c r="B899" s="30" t="s">
        <v>977</v>
      </c>
      <c r="C899" s="44" t="n">
        <v>45574</v>
      </c>
      <c r="D899" s="30" t="s">
        <v>46</v>
      </c>
      <c r="E899" s="30" t="s">
        <v>107</v>
      </c>
      <c r="F899" s="30" t="s">
        <v>114</v>
      </c>
      <c r="G899" s="31" t="n">
        <v>1969</v>
      </c>
      <c r="H899" s="19" t="n">
        <v>1</v>
      </c>
      <c r="I899" s="32" t="n">
        <v>0</v>
      </c>
      <c r="J899" s="30" t="s">
        <v>48</v>
      </c>
      <c r="K899" s="30" t="s">
        <v>47</v>
      </c>
      <c r="L899" s="30" t="s">
        <v>99</v>
      </c>
      <c r="M899" s="31" t="n">
        <f aca="false">AVERAGEIF($E$2:$E$1197,E899,$G$2:$G$1197)</f>
        <v>4981.14563106796</v>
      </c>
      <c r="N899" s="19" t="str">
        <f aca="false">IF(G899&gt;M899*3,"نعم","لا")</f>
        <v>لا</v>
      </c>
      <c r="O899" s="19" t="str">
        <f aca="false">IF(OR(C899="",ISNUMBER(C899)),"لا","نعم")</f>
        <v>لا</v>
      </c>
      <c r="P899" s="19" t="str">
        <f aca="false">IF(COUNTIF($B$2:B899,B899)&gt;1,"مكرر","فريد")</f>
        <v>فريد</v>
      </c>
      <c r="Q899" s="19" t="str">
        <f aca="false">IF(COUNTBLANK(D899:L899)&gt;0,"نعم","لا")</f>
        <v>لا</v>
      </c>
    </row>
    <row r="900" customFormat="false" ht="15" hidden="false" customHeight="false" outlineLevel="0" collapsed="false">
      <c r="A900" s="19" t="n">
        <v>899</v>
      </c>
      <c r="B900" s="30" t="s">
        <v>1124</v>
      </c>
      <c r="C900" s="44" t="n">
        <v>45612</v>
      </c>
      <c r="D900" s="30" t="s">
        <v>54</v>
      </c>
      <c r="E900" s="30" t="s">
        <v>113</v>
      </c>
      <c r="F900" s="30" t="s">
        <v>121</v>
      </c>
      <c r="G900" s="31" t="n">
        <v>189</v>
      </c>
      <c r="H900" s="19" t="n">
        <v>1</v>
      </c>
      <c r="I900" s="32" t="n">
        <v>0.1</v>
      </c>
      <c r="J900" s="30" t="s">
        <v>48</v>
      </c>
      <c r="K900" s="30" t="s">
        <v>47</v>
      </c>
      <c r="L900" s="30" t="s">
        <v>86</v>
      </c>
      <c r="M900" s="31" t="n">
        <f aca="false">AVERAGEIF($E$2:$E$1197,E900,$G$2:$G$1197)</f>
        <v>545.358823529412</v>
      </c>
      <c r="N900" s="19" t="str">
        <f aca="false">IF(G900&gt;M900*3,"نعم","لا")</f>
        <v>لا</v>
      </c>
      <c r="O900" s="19" t="str">
        <f aca="false">IF(OR(C900="",ISNUMBER(C900)),"لا","نعم")</f>
        <v>لا</v>
      </c>
      <c r="P900" s="19" t="str">
        <f aca="false">IF(COUNTIF($B$2:B900,B900)&gt;1,"مكرر","فريد")</f>
        <v>فريد</v>
      </c>
      <c r="Q900" s="19" t="str">
        <f aca="false">IF(COUNTBLANK(D900:L900)&gt;0,"نعم","لا")</f>
        <v>لا</v>
      </c>
    </row>
    <row r="901" customFormat="false" ht="15" hidden="false" customHeight="false" outlineLevel="0" collapsed="false">
      <c r="A901" s="19" t="n">
        <v>900</v>
      </c>
      <c r="B901" s="30" t="s">
        <v>639</v>
      </c>
      <c r="C901" s="44" t="n">
        <v>45465</v>
      </c>
      <c r="D901" s="30" t="s">
        <v>50</v>
      </c>
      <c r="E901" s="30" t="s">
        <v>105</v>
      </c>
      <c r="F901" s="30" t="s">
        <v>82</v>
      </c>
      <c r="G901" s="31" t="n">
        <v>3299</v>
      </c>
      <c r="H901" s="19" t="n">
        <v>2</v>
      </c>
      <c r="I901" s="32" t="n">
        <v>0.1</v>
      </c>
      <c r="J901" s="30" t="s">
        <v>48</v>
      </c>
      <c r="K901" s="30" t="s">
        <v>47</v>
      </c>
      <c r="L901" s="30" t="s">
        <v>81</v>
      </c>
      <c r="M901" s="31" t="n">
        <f aca="false">AVERAGEIF($E$2:$E$1197,E901,$G$2:$G$1197)</f>
        <v>2870.26771653543</v>
      </c>
      <c r="N901" s="19" t="str">
        <f aca="false">IF(G901&gt;M901*3,"نعم","لا")</f>
        <v>لا</v>
      </c>
      <c r="O901" s="19" t="str">
        <f aca="false">IF(OR(C901="",ISNUMBER(C901)),"لا","نعم")</f>
        <v>لا</v>
      </c>
      <c r="P901" s="19" t="str">
        <f aca="false">IF(COUNTIF($B$2:B901,B901)&gt;1,"مكرر","فريد")</f>
        <v>فريد</v>
      </c>
      <c r="Q901" s="19" t="str">
        <f aca="false">IF(COUNTBLANK(D901:L901)&gt;0,"نعم","لا")</f>
        <v>لا</v>
      </c>
    </row>
    <row r="902" customFormat="false" ht="15" hidden="false" customHeight="false" outlineLevel="0" collapsed="false">
      <c r="A902" s="19" t="n">
        <v>901</v>
      </c>
      <c r="B902" s="30" t="s">
        <v>1268</v>
      </c>
      <c r="C902" s="44" t="n">
        <v>45650</v>
      </c>
      <c r="D902" s="30" t="s">
        <v>50</v>
      </c>
      <c r="E902" s="30" t="s">
        <v>107</v>
      </c>
      <c r="F902" s="30" t="s">
        <v>184</v>
      </c>
      <c r="G902" s="31" t="n">
        <v>3759</v>
      </c>
      <c r="H902" s="19" t="n">
        <v>1</v>
      </c>
      <c r="I902" s="32" t="n">
        <v>0.15</v>
      </c>
      <c r="J902" s="30" t="s">
        <v>52</v>
      </c>
      <c r="K902" s="30" t="s">
        <v>47</v>
      </c>
      <c r="L902" s="30" t="s">
        <v>78</v>
      </c>
      <c r="M902" s="31" t="n">
        <f aca="false">AVERAGEIF($E$2:$E$1197,E902,$G$2:$G$1197)</f>
        <v>4981.14563106796</v>
      </c>
      <c r="N902" s="19" t="str">
        <f aca="false">IF(G902&gt;M902*3,"نعم","لا")</f>
        <v>لا</v>
      </c>
      <c r="O902" s="19" t="str">
        <f aca="false">IF(OR(C902="",ISNUMBER(C902)),"لا","نعم")</f>
        <v>لا</v>
      </c>
      <c r="P902" s="19" t="str">
        <f aca="false">IF(COUNTIF($B$2:B902,B902)&gt;1,"مكرر","فريد")</f>
        <v>فريد</v>
      </c>
      <c r="Q902" s="19" t="str">
        <f aca="false">IF(COUNTBLANK(D902:L902)&gt;0,"نعم","لا")</f>
        <v>لا</v>
      </c>
    </row>
    <row r="903" customFormat="false" ht="15" hidden="false" customHeight="false" outlineLevel="0" collapsed="false">
      <c r="A903" s="19" t="n">
        <v>902</v>
      </c>
      <c r="B903" s="30" t="s">
        <v>448</v>
      </c>
      <c r="C903" s="44" t="n">
        <v>45389</v>
      </c>
      <c r="D903" s="30" t="s">
        <v>60</v>
      </c>
      <c r="E903" s="30" t="s">
        <v>107</v>
      </c>
      <c r="F903" s="30" t="s">
        <v>114</v>
      </c>
      <c r="G903" s="31" t="n">
        <v>6879</v>
      </c>
      <c r="H903" s="19" t="n">
        <v>2</v>
      </c>
      <c r="I903" s="32" t="n">
        <v>0.05</v>
      </c>
      <c r="J903" s="30" t="s">
        <v>52</v>
      </c>
      <c r="K903" s="30" t="s">
        <v>47</v>
      </c>
      <c r="L903" s="30" t="s">
        <v>78</v>
      </c>
      <c r="M903" s="31" t="n">
        <f aca="false">AVERAGEIF($E$2:$E$1197,E903,$G$2:$G$1197)</f>
        <v>4981.14563106796</v>
      </c>
      <c r="N903" s="19" t="str">
        <f aca="false">IF(G903&gt;M903*3,"نعم","لا")</f>
        <v>لا</v>
      </c>
      <c r="O903" s="19" t="str">
        <f aca="false">IF(OR(C903="",ISNUMBER(C903)),"لا","نعم")</f>
        <v>لا</v>
      </c>
      <c r="P903" s="19" t="str">
        <f aca="false">IF(COUNTIF($B$2:B903,B903)&gt;1,"مكرر","فريد")</f>
        <v>فريد</v>
      </c>
      <c r="Q903" s="19" t="str">
        <f aca="false">IF(COUNTBLANK(D903:L903)&gt;0,"نعم","لا")</f>
        <v>لا</v>
      </c>
    </row>
    <row r="904" customFormat="false" ht="15" hidden="false" customHeight="false" outlineLevel="0" collapsed="false">
      <c r="A904" s="19" t="n">
        <v>903</v>
      </c>
      <c r="B904" s="30" t="s">
        <v>1284</v>
      </c>
      <c r="C904" s="44" t="n">
        <v>45655</v>
      </c>
      <c r="D904" s="30" t="s">
        <v>50</v>
      </c>
      <c r="E904" s="30" t="s">
        <v>113</v>
      </c>
      <c r="F904" s="30" t="s">
        <v>121</v>
      </c>
      <c r="G904" s="31" t="n">
        <v>119</v>
      </c>
      <c r="H904" s="19" t="n">
        <v>1</v>
      </c>
      <c r="I904" s="32" t="n">
        <v>0</v>
      </c>
      <c r="J904" s="30"/>
      <c r="K904" s="30" t="s">
        <v>47</v>
      </c>
      <c r="L904" s="30" t="s">
        <v>96</v>
      </c>
      <c r="M904" s="31" t="n">
        <f aca="false">AVERAGEIF($E$2:$E$1197,E904,$G$2:$G$1197)</f>
        <v>545.358823529412</v>
      </c>
      <c r="N904" s="19" t="str">
        <f aca="false">IF(G904&gt;M904*3,"نعم","لا")</f>
        <v>لا</v>
      </c>
      <c r="O904" s="19" t="str">
        <f aca="false">IF(OR(C904="",ISNUMBER(C904)),"لا","نعم")</f>
        <v>لا</v>
      </c>
      <c r="P904" s="19" t="str">
        <f aca="false">IF(COUNTIF($B$2:B904,B904)&gt;1,"مكرر","فريد")</f>
        <v>فريد</v>
      </c>
      <c r="Q904" s="19" t="str">
        <f aca="false">IF(COUNTBLANK(D904:L904)&gt;0,"نعم","لا")</f>
        <v>نعم</v>
      </c>
    </row>
    <row r="905" customFormat="false" ht="15" hidden="false" customHeight="false" outlineLevel="0" collapsed="false">
      <c r="A905" s="19" t="n">
        <v>904</v>
      </c>
      <c r="B905" s="30" t="s">
        <v>946</v>
      </c>
      <c r="C905" s="44" t="n">
        <v>45563</v>
      </c>
      <c r="D905" s="30" t="s">
        <v>50</v>
      </c>
      <c r="E905" s="30" t="s">
        <v>107</v>
      </c>
      <c r="F905" s="30" t="s">
        <v>184</v>
      </c>
      <c r="G905" s="31" t="n">
        <v>6989</v>
      </c>
      <c r="H905" s="19" t="n">
        <v>1</v>
      </c>
      <c r="I905" s="32" t="n">
        <v>0</v>
      </c>
      <c r="J905" s="30" t="s">
        <v>55</v>
      </c>
      <c r="K905" s="30" t="s">
        <v>47</v>
      </c>
      <c r="L905" s="30" t="s">
        <v>89</v>
      </c>
      <c r="M905" s="31" t="n">
        <f aca="false">AVERAGEIF($E$2:$E$1197,E905,$G$2:$G$1197)</f>
        <v>4981.14563106796</v>
      </c>
      <c r="N905" s="19" t="str">
        <f aca="false">IF(G905&gt;M905*3,"نعم","لا")</f>
        <v>لا</v>
      </c>
      <c r="O905" s="19" t="str">
        <f aca="false">IF(OR(C905="",ISNUMBER(C905)),"لا","نعم")</f>
        <v>لا</v>
      </c>
      <c r="P905" s="19" t="str">
        <f aca="false">IF(COUNTIF($B$2:B905,B905)&gt;1,"مكرر","فريد")</f>
        <v>فريد</v>
      </c>
      <c r="Q905" s="19" t="str">
        <f aca="false">IF(COUNTBLANK(D905:L905)&gt;0,"نعم","لا")</f>
        <v>لا</v>
      </c>
    </row>
    <row r="906" customFormat="false" ht="15" hidden="false" customHeight="false" outlineLevel="0" collapsed="false">
      <c r="A906" s="19" t="n">
        <v>905</v>
      </c>
      <c r="B906" s="30" t="s">
        <v>1079</v>
      </c>
      <c r="C906" s="44" t="n">
        <v>45604</v>
      </c>
      <c r="D906" s="30" t="s">
        <v>50</v>
      </c>
      <c r="E906" s="30" t="s">
        <v>105</v>
      </c>
      <c r="F906" s="30" t="s">
        <v>79</v>
      </c>
      <c r="G906" s="31" t="n">
        <v>1529</v>
      </c>
      <c r="H906" s="19" t="n">
        <v>1</v>
      </c>
      <c r="I906" s="32" t="n">
        <v>0.05</v>
      </c>
      <c r="J906" s="30" t="s">
        <v>52</v>
      </c>
      <c r="K906" s="30" t="s">
        <v>47</v>
      </c>
      <c r="L906" s="30" t="s">
        <v>89</v>
      </c>
      <c r="M906" s="31" t="n">
        <f aca="false">AVERAGEIF($E$2:$E$1197,E906,$G$2:$G$1197)</f>
        <v>2870.26771653543</v>
      </c>
      <c r="N906" s="19" t="str">
        <f aca="false">IF(G906&gt;M906*3,"نعم","لا")</f>
        <v>لا</v>
      </c>
      <c r="O906" s="19" t="str">
        <f aca="false">IF(OR(C906="",ISNUMBER(C906)),"لا","نعم")</f>
        <v>لا</v>
      </c>
      <c r="P906" s="19" t="str">
        <f aca="false">IF(COUNTIF($B$2:B906,B906)&gt;1,"مكرر","فريد")</f>
        <v>فريد</v>
      </c>
      <c r="Q906" s="19" t="str">
        <f aca="false">IF(COUNTBLANK(D906:L906)&gt;0,"نعم","لا")</f>
        <v>لا</v>
      </c>
    </row>
    <row r="907" customFormat="false" ht="15" hidden="false" customHeight="false" outlineLevel="0" collapsed="false">
      <c r="A907" s="19" t="n">
        <v>906</v>
      </c>
      <c r="B907" s="30" t="s">
        <v>391</v>
      </c>
      <c r="C907" s="44" t="n">
        <v>45373</v>
      </c>
      <c r="D907" s="30" t="s">
        <v>60</v>
      </c>
      <c r="E907" s="30" t="s">
        <v>109</v>
      </c>
      <c r="F907" s="30" t="s">
        <v>171</v>
      </c>
      <c r="G907" s="31" t="n">
        <v>109</v>
      </c>
      <c r="H907" s="19" t="n">
        <v>1</v>
      </c>
      <c r="I907" s="32" t="n">
        <v>0</v>
      </c>
      <c r="J907" s="30" t="s">
        <v>55</v>
      </c>
      <c r="K907" s="30" t="s">
        <v>47</v>
      </c>
      <c r="L907" s="30" t="s">
        <v>99</v>
      </c>
      <c r="M907" s="31" t="n">
        <f aca="false">AVERAGEIF($E$2:$E$1197,E907,$G$2:$G$1197)</f>
        <v>186.056291390729</v>
      </c>
      <c r="N907" s="19" t="str">
        <f aca="false">IF(G907&gt;M907*3,"نعم","لا")</f>
        <v>لا</v>
      </c>
      <c r="O907" s="19" t="str">
        <f aca="false">IF(OR(C907="",ISNUMBER(C907)),"لا","نعم")</f>
        <v>لا</v>
      </c>
      <c r="P907" s="19" t="str">
        <f aca="false">IF(COUNTIF($B$2:B907,B907)&gt;1,"مكرر","فريد")</f>
        <v>مكرر</v>
      </c>
      <c r="Q907" s="19" t="str">
        <f aca="false">IF(COUNTBLANK(D907:L907)&gt;0,"نعم","لا")</f>
        <v>لا</v>
      </c>
    </row>
    <row r="908" customFormat="false" ht="15" hidden="false" customHeight="false" outlineLevel="0" collapsed="false">
      <c r="A908" s="19" t="n">
        <v>907</v>
      </c>
      <c r="B908" s="30" t="s">
        <v>201</v>
      </c>
      <c r="C908" s="30" t="s">
        <v>1477</v>
      </c>
      <c r="D908" s="30" t="s">
        <v>50</v>
      </c>
      <c r="E908" s="30" t="s">
        <v>105</v>
      </c>
      <c r="F908" s="30" t="s">
        <v>90</v>
      </c>
      <c r="G908" s="31" t="n">
        <v>2869</v>
      </c>
      <c r="H908" s="19" t="n">
        <v>3</v>
      </c>
      <c r="I908" s="32" t="n">
        <v>0.1</v>
      </c>
      <c r="J908" s="30" t="s">
        <v>48</v>
      </c>
      <c r="K908" s="30" t="s">
        <v>51</v>
      </c>
      <c r="L908" s="30" t="s">
        <v>84</v>
      </c>
      <c r="M908" s="31" t="n">
        <f aca="false">AVERAGEIF($E$2:$E$1197,E908,$G$2:$G$1197)</f>
        <v>2870.26771653543</v>
      </c>
      <c r="N908" s="19" t="str">
        <f aca="false">IF(G908&gt;M908*3,"نعم","لا")</f>
        <v>لا</v>
      </c>
      <c r="O908" s="19" t="str">
        <f aca="false">IF(OR(C908="",ISNUMBER(C908)),"لا","نعم")</f>
        <v>نعم</v>
      </c>
      <c r="P908" s="19" t="str">
        <f aca="false">IF(COUNTIF($B$2:B908,B908)&gt;1,"مكرر","فريد")</f>
        <v>فريد</v>
      </c>
      <c r="Q908" s="19" t="str">
        <f aca="false">IF(COUNTBLANK(D908:L908)&gt;0,"نعم","لا")</f>
        <v>لا</v>
      </c>
    </row>
    <row r="909" customFormat="false" ht="15" hidden="false" customHeight="false" outlineLevel="0" collapsed="false">
      <c r="A909" s="19" t="n">
        <v>908</v>
      </c>
      <c r="B909" s="30" t="s">
        <v>449</v>
      </c>
      <c r="C909" s="44" t="n">
        <v>45389</v>
      </c>
      <c r="D909" s="30" t="s">
        <v>60</v>
      </c>
      <c r="E909" s="30" t="s">
        <v>113</v>
      </c>
      <c r="F909" s="30" t="s">
        <v>121</v>
      </c>
      <c r="G909" s="31" t="n">
        <v>269</v>
      </c>
      <c r="H909" s="19" t="n">
        <v>2</v>
      </c>
      <c r="I909" s="32" t="n">
        <v>0.2</v>
      </c>
      <c r="J909" s="30" t="s">
        <v>52</v>
      </c>
      <c r="K909" s="30" t="s">
        <v>47</v>
      </c>
      <c r="L909" s="30" t="s">
        <v>94</v>
      </c>
      <c r="M909" s="31" t="n">
        <f aca="false">AVERAGEIF($E$2:$E$1197,E909,$G$2:$G$1197)</f>
        <v>545.358823529412</v>
      </c>
      <c r="N909" s="19" t="str">
        <f aca="false">IF(G909&gt;M909*3,"نعم","لا")</f>
        <v>لا</v>
      </c>
      <c r="O909" s="19" t="str">
        <f aca="false">IF(OR(C909="",ISNUMBER(C909)),"لا","نعم")</f>
        <v>لا</v>
      </c>
      <c r="P909" s="19" t="str">
        <f aca="false">IF(COUNTIF($B$2:B909,B909)&gt;1,"مكرر","فريد")</f>
        <v>فريد</v>
      </c>
      <c r="Q909" s="19" t="str">
        <f aca="false">IF(COUNTBLANK(D909:L909)&gt;0,"نعم","لا")</f>
        <v>لا</v>
      </c>
    </row>
    <row r="910" customFormat="false" ht="15" hidden="false" customHeight="false" outlineLevel="0" collapsed="false">
      <c r="A910" s="19" t="n">
        <v>909</v>
      </c>
      <c r="B910" s="30" t="s">
        <v>1292</v>
      </c>
      <c r="C910" s="44" t="n">
        <v>45657</v>
      </c>
      <c r="D910" s="30" t="s">
        <v>50</v>
      </c>
      <c r="E910" s="30" t="s">
        <v>111</v>
      </c>
      <c r="F910" s="30" t="s">
        <v>118</v>
      </c>
      <c r="G910" s="31" t="n">
        <v>499</v>
      </c>
      <c r="H910" s="19" t="n">
        <v>10</v>
      </c>
      <c r="I910" s="32" t="n">
        <v>0</v>
      </c>
      <c r="J910" s="30" t="s">
        <v>48</v>
      </c>
      <c r="K910" s="30" t="s">
        <v>51</v>
      </c>
      <c r="L910" s="30" t="s">
        <v>99</v>
      </c>
      <c r="M910" s="31" t="n">
        <f aca="false">AVERAGEIF($E$2:$E$1197,E910,$G$2:$G$1197)</f>
        <v>366.306569343066</v>
      </c>
      <c r="N910" s="19" t="str">
        <f aca="false">IF(G910&gt;M910*3,"نعم","لا")</f>
        <v>لا</v>
      </c>
      <c r="O910" s="19" t="str">
        <f aca="false">IF(OR(C910="",ISNUMBER(C910)),"لا","نعم")</f>
        <v>لا</v>
      </c>
      <c r="P910" s="19" t="str">
        <f aca="false">IF(COUNTIF($B$2:B910,B910)&gt;1,"مكرر","فريد")</f>
        <v>فريد</v>
      </c>
      <c r="Q910" s="19" t="str">
        <f aca="false">IF(COUNTBLANK(D910:L910)&gt;0,"نعم","لا")</f>
        <v>لا</v>
      </c>
    </row>
    <row r="911" customFormat="false" ht="15" hidden="false" customHeight="false" outlineLevel="0" collapsed="false">
      <c r="A911" s="19" t="n">
        <v>910</v>
      </c>
      <c r="B911" s="30" t="s">
        <v>597</v>
      </c>
      <c r="C911" s="44" t="n">
        <v>45451</v>
      </c>
      <c r="D911" s="30" t="s">
        <v>46</v>
      </c>
      <c r="E911" s="30" t="s">
        <v>107</v>
      </c>
      <c r="F911" s="30" t="s">
        <v>272</v>
      </c>
      <c r="G911" s="31" t="n">
        <v>4889</v>
      </c>
      <c r="H911" s="19" t="n">
        <v>3</v>
      </c>
      <c r="I911" s="32"/>
      <c r="J911" s="30" t="s">
        <v>55</v>
      </c>
      <c r="K911" s="30" t="s">
        <v>47</v>
      </c>
      <c r="L911" s="30" t="s">
        <v>78</v>
      </c>
      <c r="M911" s="31" t="n">
        <f aca="false">AVERAGEIF($E$2:$E$1197,E911,$G$2:$G$1197)</f>
        <v>4981.14563106796</v>
      </c>
      <c r="N911" s="19" t="str">
        <f aca="false">IF(G911&gt;M911*3,"نعم","لا")</f>
        <v>لا</v>
      </c>
      <c r="O911" s="19" t="str">
        <f aca="false">IF(OR(C911="",ISNUMBER(C911)),"لا","نعم")</f>
        <v>لا</v>
      </c>
      <c r="P911" s="19" t="str">
        <f aca="false">IF(COUNTIF($B$2:B911,B911)&gt;1,"مكرر","فريد")</f>
        <v>مكرر</v>
      </c>
      <c r="Q911" s="19" t="str">
        <f aca="false">IF(COUNTBLANK(D911:L911)&gt;0,"نعم","لا")</f>
        <v>نعم</v>
      </c>
    </row>
    <row r="912" customFormat="false" ht="15" hidden="false" customHeight="false" outlineLevel="0" collapsed="false">
      <c r="A912" s="19" t="n">
        <v>911</v>
      </c>
      <c r="B912" s="30" t="s">
        <v>1053</v>
      </c>
      <c r="C912" s="44" t="n">
        <v>45597</v>
      </c>
      <c r="D912" s="30" t="s">
        <v>1353</v>
      </c>
      <c r="E912" s="30" t="s">
        <v>105</v>
      </c>
      <c r="F912" s="30" t="s">
        <v>179</v>
      </c>
      <c r="G912" s="31" t="n">
        <v>3129</v>
      </c>
      <c r="H912" s="19" t="n">
        <v>2</v>
      </c>
      <c r="I912" s="32" t="n">
        <v>0</v>
      </c>
      <c r="J912" s="30" t="s">
        <v>52</v>
      </c>
      <c r="K912" s="30" t="s">
        <v>51</v>
      </c>
      <c r="L912" s="30" t="s">
        <v>76</v>
      </c>
      <c r="M912" s="31" t="n">
        <f aca="false">AVERAGEIF($E$2:$E$1197,E912,$G$2:$G$1197)</f>
        <v>2870.26771653543</v>
      </c>
      <c r="N912" s="19" t="str">
        <f aca="false">IF(G912&gt;M912*3,"نعم","لا")</f>
        <v>لا</v>
      </c>
      <c r="O912" s="19" t="str">
        <f aca="false">IF(OR(C912="",ISNUMBER(C912)),"لا","نعم")</f>
        <v>لا</v>
      </c>
      <c r="P912" s="19" t="str">
        <f aca="false">IF(COUNTIF($B$2:B912,B912)&gt;1,"مكرر","فريد")</f>
        <v>مكرر</v>
      </c>
      <c r="Q912" s="19" t="str">
        <f aca="false">IF(COUNTBLANK(D912:L912)&gt;0,"نعم","لا")</f>
        <v>لا</v>
      </c>
    </row>
    <row r="913" customFormat="false" ht="15" hidden="false" customHeight="false" outlineLevel="0" collapsed="false">
      <c r="A913" s="19" t="n">
        <v>912</v>
      </c>
      <c r="B913" s="30" t="s">
        <v>528</v>
      </c>
      <c r="C913" s="44" t="n">
        <v>45423</v>
      </c>
      <c r="D913" s="30" t="s">
        <v>60</v>
      </c>
      <c r="E913" s="30" t="s">
        <v>109</v>
      </c>
      <c r="F913" s="30" t="s">
        <v>171</v>
      </c>
      <c r="G913" s="31" t="n">
        <v>39</v>
      </c>
      <c r="H913" s="19" t="n">
        <v>1</v>
      </c>
      <c r="I913" s="32" t="n">
        <v>0</v>
      </c>
      <c r="J913" s="30" t="s">
        <v>48</v>
      </c>
      <c r="K913" s="30" t="s">
        <v>47</v>
      </c>
      <c r="L913" s="30" t="s">
        <v>99</v>
      </c>
      <c r="M913" s="31" t="n">
        <f aca="false">AVERAGEIF($E$2:$E$1197,E913,$G$2:$G$1197)</f>
        <v>186.056291390729</v>
      </c>
      <c r="N913" s="19" t="str">
        <f aca="false">IF(G913&gt;M913*3,"نعم","لا")</f>
        <v>لا</v>
      </c>
      <c r="O913" s="19" t="str">
        <f aca="false">IF(OR(C913="",ISNUMBER(C913)),"لا","نعم")</f>
        <v>لا</v>
      </c>
      <c r="P913" s="19" t="str">
        <f aca="false">IF(COUNTIF($B$2:B913,B913)&gt;1,"مكرر","فريد")</f>
        <v>فريد</v>
      </c>
      <c r="Q913" s="19" t="str">
        <f aca="false">IF(COUNTBLANK(D913:L913)&gt;0,"نعم","لا")</f>
        <v>لا</v>
      </c>
    </row>
    <row r="914" customFormat="false" ht="15" hidden="false" customHeight="false" outlineLevel="0" collapsed="false">
      <c r="A914" s="19" t="n">
        <v>913</v>
      </c>
      <c r="B914" s="30" t="s">
        <v>396</v>
      </c>
      <c r="C914" s="44" t="n">
        <v>45375</v>
      </c>
      <c r="D914" s="30" t="s">
        <v>50</v>
      </c>
      <c r="E914" s="30" t="s">
        <v>105</v>
      </c>
      <c r="F914" s="30" t="s">
        <v>85</v>
      </c>
      <c r="G914" s="31" t="n">
        <v>1279</v>
      </c>
      <c r="H914" s="19" t="n">
        <v>2</v>
      </c>
      <c r="I914" s="32" t="n">
        <v>0.2</v>
      </c>
      <c r="J914" s="30" t="s">
        <v>52</v>
      </c>
      <c r="K914" s="30" t="s">
        <v>47</v>
      </c>
      <c r="L914" s="30" t="s">
        <v>84</v>
      </c>
      <c r="M914" s="31" t="n">
        <f aca="false">AVERAGEIF($E$2:$E$1197,E914,$G$2:$G$1197)</f>
        <v>2870.26771653543</v>
      </c>
      <c r="N914" s="19" t="str">
        <f aca="false">IF(G914&gt;M914*3,"نعم","لا")</f>
        <v>لا</v>
      </c>
      <c r="O914" s="19" t="str">
        <f aca="false">IF(OR(C914="",ISNUMBER(C914)),"لا","نعم")</f>
        <v>لا</v>
      </c>
      <c r="P914" s="19" t="str">
        <f aca="false">IF(COUNTIF($B$2:B914,B914)&gt;1,"مكرر","فريد")</f>
        <v>فريد</v>
      </c>
      <c r="Q914" s="19" t="str">
        <f aca="false">IF(COUNTBLANK(D914:L914)&gt;0,"نعم","لا")</f>
        <v>لا</v>
      </c>
    </row>
    <row r="915" customFormat="false" ht="15" hidden="false" customHeight="false" outlineLevel="0" collapsed="false">
      <c r="A915" s="19" t="n">
        <v>914</v>
      </c>
      <c r="B915" s="30" t="s">
        <v>207</v>
      </c>
      <c r="C915" s="44" t="n">
        <v>45305</v>
      </c>
      <c r="D915" s="30" t="s">
        <v>50</v>
      </c>
      <c r="E915" s="30" t="s">
        <v>113</v>
      </c>
      <c r="F915" s="30" t="s">
        <v>97</v>
      </c>
      <c r="G915" s="31" t="n">
        <v>139</v>
      </c>
      <c r="H915" s="19" t="n">
        <v>1</v>
      </c>
      <c r="I915" s="32" t="n">
        <v>0.15</v>
      </c>
      <c r="J915" s="30" t="s">
        <v>48</v>
      </c>
      <c r="K915" s="30" t="s">
        <v>47</v>
      </c>
      <c r="L915" s="30" t="s">
        <v>84</v>
      </c>
      <c r="M915" s="31" t="n">
        <f aca="false">AVERAGEIF($E$2:$E$1197,E915,$G$2:$G$1197)</f>
        <v>545.358823529412</v>
      </c>
      <c r="N915" s="19" t="str">
        <f aca="false">IF(G915&gt;M915*3,"نعم","لا")</f>
        <v>لا</v>
      </c>
      <c r="O915" s="19" t="str">
        <f aca="false">IF(OR(C915="",ISNUMBER(C915)),"لا","نعم")</f>
        <v>لا</v>
      </c>
      <c r="P915" s="19" t="str">
        <f aca="false">IF(COUNTIF($B$2:B915,B915)&gt;1,"مكرر","فريد")</f>
        <v>فريد</v>
      </c>
      <c r="Q915" s="19" t="str">
        <f aca="false">IF(COUNTBLANK(D915:L915)&gt;0,"نعم","لا")</f>
        <v>لا</v>
      </c>
    </row>
    <row r="916" customFormat="false" ht="15" hidden="false" customHeight="false" outlineLevel="0" collapsed="false">
      <c r="A916" s="19" t="n">
        <v>915</v>
      </c>
      <c r="B916" s="30" t="s">
        <v>821</v>
      </c>
      <c r="C916" s="44" t="n">
        <v>45522</v>
      </c>
      <c r="D916" s="30" t="s">
        <v>60</v>
      </c>
      <c r="E916" s="30" t="s">
        <v>105</v>
      </c>
      <c r="F916" s="30" t="s">
        <v>179</v>
      </c>
      <c r="G916" s="31" t="n">
        <v>3099</v>
      </c>
      <c r="H916" s="19" t="n">
        <v>2</v>
      </c>
      <c r="I916" s="32" t="n">
        <v>0</v>
      </c>
      <c r="J916" s="30" t="s">
        <v>55</v>
      </c>
      <c r="K916" s="30" t="s">
        <v>47</v>
      </c>
      <c r="L916" s="30" t="s">
        <v>76</v>
      </c>
      <c r="M916" s="31" t="n">
        <f aca="false">AVERAGEIF($E$2:$E$1197,E916,$G$2:$G$1197)</f>
        <v>2870.26771653543</v>
      </c>
      <c r="N916" s="19" t="str">
        <f aca="false">IF(G916&gt;M916*3,"نعم","لا")</f>
        <v>لا</v>
      </c>
      <c r="O916" s="19" t="str">
        <f aca="false">IF(OR(C916="",ISNUMBER(C916)),"لا","نعم")</f>
        <v>لا</v>
      </c>
      <c r="P916" s="19" t="str">
        <f aca="false">IF(COUNTIF($B$2:B916,B916)&gt;1,"مكرر","فريد")</f>
        <v>فريد</v>
      </c>
      <c r="Q916" s="19" t="str">
        <f aca="false">IF(COUNTBLANK(D916:L916)&gt;0,"نعم","لا")</f>
        <v>لا</v>
      </c>
    </row>
    <row r="917" customFormat="false" ht="15" hidden="false" customHeight="false" outlineLevel="0" collapsed="false">
      <c r="A917" s="19" t="n">
        <v>916</v>
      </c>
      <c r="B917" s="30" t="s">
        <v>896</v>
      </c>
      <c r="C917" s="30" t="s">
        <v>1478</v>
      </c>
      <c r="D917" s="30" t="s">
        <v>50</v>
      </c>
      <c r="E917" s="30" t="s">
        <v>105</v>
      </c>
      <c r="F917" s="30" t="s">
        <v>79</v>
      </c>
      <c r="G917" s="31" t="n">
        <v>33490</v>
      </c>
      <c r="H917" s="19" t="n">
        <v>2</v>
      </c>
      <c r="I917" s="32" t="n">
        <v>0</v>
      </c>
      <c r="J917" s="30" t="s">
        <v>55</v>
      </c>
      <c r="K917" s="30" t="s">
        <v>47</v>
      </c>
      <c r="L917" s="30" t="s">
        <v>89</v>
      </c>
      <c r="M917" s="31" t="n">
        <f aca="false">AVERAGEIF($E$2:$E$1197,E917,$G$2:$G$1197)</f>
        <v>2870.26771653543</v>
      </c>
      <c r="N917" s="19" t="str">
        <f aca="false">IF(G917&gt;M917*3,"نعم","لا")</f>
        <v>نعم</v>
      </c>
      <c r="O917" s="19" t="str">
        <f aca="false">IF(OR(C917="",ISNUMBER(C917)),"لا","نعم")</f>
        <v>نعم</v>
      </c>
      <c r="P917" s="19" t="str">
        <f aca="false">IF(COUNTIF($B$2:B917,B917)&gt;1,"مكرر","فريد")</f>
        <v>فريد</v>
      </c>
      <c r="Q917" s="19" t="str">
        <f aca="false">IF(COUNTBLANK(D917:L917)&gt;0,"نعم","لا")</f>
        <v>لا</v>
      </c>
    </row>
    <row r="918" customFormat="false" ht="15" hidden="false" customHeight="false" outlineLevel="0" collapsed="false">
      <c r="A918" s="19" t="n">
        <v>917</v>
      </c>
      <c r="B918" s="30" t="s">
        <v>543</v>
      </c>
      <c r="C918" s="44" t="n">
        <v>45428</v>
      </c>
      <c r="D918" s="30" t="s">
        <v>50</v>
      </c>
      <c r="E918" s="30" t="s">
        <v>109</v>
      </c>
      <c r="F918" s="30" t="s">
        <v>110</v>
      </c>
      <c r="G918" s="31" t="n">
        <v>179</v>
      </c>
      <c r="H918" s="19" t="n">
        <v>1</v>
      </c>
      <c r="I918" s="32" t="n">
        <v>0.05</v>
      </c>
      <c r="J918" s="30" t="s">
        <v>48</v>
      </c>
      <c r="K918" s="30" t="s">
        <v>47</v>
      </c>
      <c r="L918" s="30" t="s">
        <v>94</v>
      </c>
      <c r="M918" s="31" t="n">
        <f aca="false">AVERAGEIF($E$2:$E$1197,E918,$G$2:$G$1197)</f>
        <v>186.056291390729</v>
      </c>
      <c r="N918" s="19" t="str">
        <f aca="false">IF(G918&gt;M918*3,"نعم","لا")</f>
        <v>لا</v>
      </c>
      <c r="O918" s="19" t="str">
        <f aca="false">IF(OR(C918="",ISNUMBER(C918)),"لا","نعم")</f>
        <v>لا</v>
      </c>
      <c r="P918" s="19" t="str">
        <f aca="false">IF(COUNTIF($B$2:B918,B918)&gt;1,"مكرر","فريد")</f>
        <v>مكرر</v>
      </c>
      <c r="Q918" s="19" t="str">
        <f aca="false">IF(COUNTBLANK(D918:L918)&gt;0,"نعم","لا")</f>
        <v>لا</v>
      </c>
    </row>
    <row r="919" customFormat="false" ht="15" hidden="false" customHeight="false" outlineLevel="0" collapsed="false">
      <c r="A919" s="19" t="n">
        <v>918</v>
      </c>
      <c r="B919" s="30" t="s">
        <v>536</v>
      </c>
      <c r="C919" s="44" t="n">
        <v>45426</v>
      </c>
      <c r="D919" s="30" t="s">
        <v>54</v>
      </c>
      <c r="E919" s="30" t="s">
        <v>105</v>
      </c>
      <c r="F919" s="30" t="s">
        <v>85</v>
      </c>
      <c r="G919" s="31" t="n">
        <v>2989</v>
      </c>
      <c r="H919" s="19" t="n">
        <v>6</v>
      </c>
      <c r="I919" s="32" t="n">
        <v>0.15</v>
      </c>
      <c r="J919" s="30" t="s">
        <v>58</v>
      </c>
      <c r="K919" s="30" t="s">
        <v>51</v>
      </c>
      <c r="L919" s="30" t="s">
        <v>86</v>
      </c>
      <c r="M919" s="31" t="n">
        <f aca="false">AVERAGEIF($E$2:$E$1197,E919,$G$2:$G$1197)</f>
        <v>2870.26771653543</v>
      </c>
      <c r="N919" s="19" t="str">
        <f aca="false">IF(G919&gt;M919*3,"نعم","لا")</f>
        <v>لا</v>
      </c>
      <c r="O919" s="19" t="str">
        <f aca="false">IF(OR(C919="",ISNUMBER(C919)),"لا","نعم")</f>
        <v>لا</v>
      </c>
      <c r="P919" s="19" t="str">
        <f aca="false">IF(COUNTIF($B$2:B919,B919)&gt;1,"مكرر","فريد")</f>
        <v>فريد</v>
      </c>
      <c r="Q919" s="19" t="str">
        <f aca="false">IF(COUNTBLANK(D919:L919)&gt;0,"نعم","لا")</f>
        <v>لا</v>
      </c>
    </row>
    <row r="920" customFormat="false" ht="15" hidden="false" customHeight="false" outlineLevel="0" collapsed="false">
      <c r="A920" s="19" t="n">
        <v>919</v>
      </c>
      <c r="B920" s="30" t="s">
        <v>629</v>
      </c>
      <c r="C920" s="44" t="n">
        <v>45461</v>
      </c>
      <c r="D920" s="30" t="s">
        <v>50</v>
      </c>
      <c r="E920" s="30" t="s">
        <v>109</v>
      </c>
      <c r="F920" s="30" t="s">
        <v>110</v>
      </c>
      <c r="G920" s="31" t="n">
        <v>39</v>
      </c>
      <c r="H920" s="19" t="n">
        <v>2</v>
      </c>
      <c r="I920" s="32" t="n">
        <v>0</v>
      </c>
      <c r="J920" s="30" t="s">
        <v>52</v>
      </c>
      <c r="K920" s="30" t="s">
        <v>47</v>
      </c>
      <c r="L920" s="30" t="s">
        <v>84</v>
      </c>
      <c r="M920" s="31" t="n">
        <f aca="false">AVERAGEIF($E$2:$E$1197,E920,$G$2:$G$1197)</f>
        <v>186.056291390729</v>
      </c>
      <c r="N920" s="19" t="str">
        <f aca="false">IF(G920&gt;M920*3,"نعم","لا")</f>
        <v>لا</v>
      </c>
      <c r="O920" s="19" t="str">
        <f aca="false">IF(OR(C920="",ISNUMBER(C920)),"لا","نعم")</f>
        <v>لا</v>
      </c>
      <c r="P920" s="19" t="str">
        <f aca="false">IF(COUNTIF($B$2:B920,B920)&gt;1,"مكرر","فريد")</f>
        <v>فريد</v>
      </c>
      <c r="Q920" s="19" t="str">
        <f aca="false">IF(COUNTBLANK(D920:L920)&gt;0,"نعم","لا")</f>
        <v>لا</v>
      </c>
    </row>
    <row r="921" customFormat="false" ht="15" hidden="false" customHeight="false" outlineLevel="0" collapsed="false">
      <c r="A921" s="19" t="n">
        <v>920</v>
      </c>
      <c r="B921" s="30" t="s">
        <v>1030</v>
      </c>
      <c r="C921" s="44" t="n">
        <v>45591</v>
      </c>
      <c r="D921" s="30" t="s">
        <v>50</v>
      </c>
      <c r="E921" s="30" t="s">
        <v>113</v>
      </c>
      <c r="F921" s="30" t="s">
        <v>121</v>
      </c>
      <c r="G921" s="31" t="n">
        <v>519</v>
      </c>
      <c r="H921" s="19" t="n">
        <v>2</v>
      </c>
      <c r="I921" s="32" t="n">
        <v>0</v>
      </c>
      <c r="J921" s="30"/>
      <c r="K921" s="30" t="s">
        <v>47</v>
      </c>
      <c r="L921" s="30" t="s">
        <v>86</v>
      </c>
      <c r="M921" s="31" t="n">
        <f aca="false">AVERAGEIF($E$2:$E$1197,E921,$G$2:$G$1197)</f>
        <v>545.358823529412</v>
      </c>
      <c r="N921" s="19" t="str">
        <f aca="false">IF(G921&gt;M921*3,"نعم","لا")</f>
        <v>لا</v>
      </c>
      <c r="O921" s="19" t="str">
        <f aca="false">IF(OR(C921="",ISNUMBER(C921)),"لا","نعم")</f>
        <v>لا</v>
      </c>
      <c r="P921" s="19" t="str">
        <f aca="false">IF(COUNTIF($B$2:B921,B921)&gt;1,"مكرر","فريد")</f>
        <v>فريد</v>
      </c>
      <c r="Q921" s="19" t="str">
        <f aca="false">IF(COUNTBLANK(D921:L921)&gt;0,"نعم","لا")</f>
        <v>نعم</v>
      </c>
    </row>
    <row r="922" customFormat="false" ht="15" hidden="false" customHeight="false" outlineLevel="0" collapsed="false">
      <c r="A922" s="19" t="n">
        <v>921</v>
      </c>
      <c r="B922" s="30" t="s">
        <v>1099</v>
      </c>
      <c r="C922" s="44" t="n">
        <v>45607</v>
      </c>
      <c r="D922" s="30" t="s">
        <v>46</v>
      </c>
      <c r="E922" s="30" t="s">
        <v>113</v>
      </c>
      <c r="F922" s="30" t="s">
        <v>100</v>
      </c>
      <c r="G922" s="31" t="n">
        <v>609</v>
      </c>
      <c r="H922" s="19" t="n">
        <v>3</v>
      </c>
      <c r="I922" s="32" t="n">
        <v>0.05</v>
      </c>
      <c r="J922" s="30" t="s">
        <v>58</v>
      </c>
      <c r="K922" s="30" t="s">
        <v>51</v>
      </c>
      <c r="L922" s="30" t="s">
        <v>76</v>
      </c>
      <c r="M922" s="31" t="n">
        <f aca="false">AVERAGEIF($E$2:$E$1197,E922,$G$2:$G$1197)</f>
        <v>545.358823529412</v>
      </c>
      <c r="N922" s="19" t="str">
        <f aca="false">IF(G922&gt;M922*3,"نعم","لا")</f>
        <v>لا</v>
      </c>
      <c r="O922" s="19" t="str">
        <f aca="false">IF(OR(C922="",ISNUMBER(C922)),"لا","نعم")</f>
        <v>لا</v>
      </c>
      <c r="P922" s="19" t="str">
        <f aca="false">IF(COUNTIF($B$2:B922,B922)&gt;1,"مكرر","فريد")</f>
        <v>مكرر</v>
      </c>
      <c r="Q922" s="19" t="str">
        <f aca="false">IF(COUNTBLANK(D922:L922)&gt;0,"نعم","لا")</f>
        <v>لا</v>
      </c>
    </row>
    <row r="923" customFormat="false" ht="15" hidden="false" customHeight="false" outlineLevel="0" collapsed="false">
      <c r="A923" s="19" t="n">
        <v>922</v>
      </c>
      <c r="B923" s="30" t="s">
        <v>840</v>
      </c>
      <c r="C923" s="30" t="s">
        <v>1479</v>
      </c>
      <c r="D923" s="30" t="s">
        <v>57</v>
      </c>
      <c r="E923" s="30" t="s">
        <v>113</v>
      </c>
      <c r="F923" s="30" t="s">
        <v>95</v>
      </c>
      <c r="G923" s="31" t="n">
        <v>299</v>
      </c>
      <c r="H923" s="19" t="n">
        <v>3</v>
      </c>
      <c r="I923" s="32" t="n">
        <v>0</v>
      </c>
      <c r="J923" s="30" t="s">
        <v>48</v>
      </c>
      <c r="K923" s="30" t="s">
        <v>51</v>
      </c>
      <c r="L923" s="30" t="s">
        <v>78</v>
      </c>
      <c r="M923" s="31" t="n">
        <f aca="false">AVERAGEIF($E$2:$E$1197,E923,$G$2:$G$1197)</f>
        <v>545.358823529412</v>
      </c>
      <c r="N923" s="19" t="str">
        <f aca="false">IF(G923&gt;M923*3,"نعم","لا")</f>
        <v>لا</v>
      </c>
      <c r="O923" s="19" t="str">
        <f aca="false">IF(OR(C923="",ISNUMBER(C923)),"لا","نعم")</f>
        <v>نعم</v>
      </c>
      <c r="P923" s="19" t="str">
        <f aca="false">IF(COUNTIF($B$2:B923,B923)&gt;1,"مكرر","فريد")</f>
        <v>فريد</v>
      </c>
      <c r="Q923" s="19" t="str">
        <f aca="false">IF(COUNTBLANK(D923:L923)&gt;0,"نعم","لا")</f>
        <v>لا</v>
      </c>
    </row>
    <row r="924" customFormat="false" ht="15" hidden="false" customHeight="false" outlineLevel="0" collapsed="false">
      <c r="A924" s="19" t="n">
        <v>923</v>
      </c>
      <c r="B924" s="30" t="s">
        <v>204</v>
      </c>
      <c r="C924" s="44" t="n">
        <v>45304</v>
      </c>
      <c r="D924" s="30" t="s">
        <v>50</v>
      </c>
      <c r="E924" s="30" t="s">
        <v>105</v>
      </c>
      <c r="F924" s="30" t="s">
        <v>79</v>
      </c>
      <c r="G924" s="31" t="n">
        <v>4019</v>
      </c>
      <c r="H924" s="19" t="n">
        <v>1</v>
      </c>
      <c r="I924" s="32" t="n">
        <v>0.05</v>
      </c>
      <c r="J924" s="30" t="s">
        <v>48</v>
      </c>
      <c r="K924" s="30" t="s">
        <v>47</v>
      </c>
      <c r="L924" s="30" t="s">
        <v>99</v>
      </c>
      <c r="M924" s="31" t="n">
        <f aca="false">AVERAGEIF($E$2:$E$1197,E924,$G$2:$G$1197)</f>
        <v>2870.26771653543</v>
      </c>
      <c r="N924" s="19" t="str">
        <f aca="false">IF(G924&gt;M924*3,"نعم","لا")</f>
        <v>لا</v>
      </c>
      <c r="O924" s="19" t="str">
        <f aca="false">IF(OR(C924="",ISNUMBER(C924)),"لا","نعم")</f>
        <v>لا</v>
      </c>
      <c r="P924" s="19" t="str">
        <f aca="false">IF(COUNTIF($B$2:B924,B924)&gt;1,"مكرر","فريد")</f>
        <v>فريد</v>
      </c>
      <c r="Q924" s="19" t="str">
        <f aca="false">IF(COUNTBLANK(D924:L924)&gt;0,"نعم","لا")</f>
        <v>لا</v>
      </c>
    </row>
    <row r="925" customFormat="false" ht="15" hidden="false" customHeight="false" outlineLevel="0" collapsed="false">
      <c r="A925" s="19" t="n">
        <v>924</v>
      </c>
      <c r="B925" s="30" t="s">
        <v>1151</v>
      </c>
      <c r="C925" s="44" t="n">
        <v>45618</v>
      </c>
      <c r="D925" s="30" t="s">
        <v>50</v>
      </c>
      <c r="E925" s="30" t="s">
        <v>107</v>
      </c>
      <c r="F925" s="30" t="s">
        <v>115</v>
      </c>
      <c r="G925" s="31" t="n">
        <v>2179</v>
      </c>
      <c r="H925" s="19" t="n">
        <v>2</v>
      </c>
      <c r="I925" s="32" t="n">
        <v>0.05</v>
      </c>
      <c r="J925" s="30" t="s">
        <v>55</v>
      </c>
      <c r="K925" s="30"/>
      <c r="L925" s="30" t="s">
        <v>78</v>
      </c>
      <c r="M925" s="31" t="n">
        <f aca="false">AVERAGEIF($E$2:$E$1197,E925,$G$2:$G$1197)</f>
        <v>4981.14563106796</v>
      </c>
      <c r="N925" s="19" t="str">
        <f aca="false">IF(G925&gt;M925*3,"نعم","لا")</f>
        <v>لا</v>
      </c>
      <c r="O925" s="19" t="str">
        <f aca="false">IF(OR(C925="",ISNUMBER(C925)),"لا","نعم")</f>
        <v>لا</v>
      </c>
      <c r="P925" s="19" t="str">
        <f aca="false">IF(COUNTIF($B$2:B925,B925)&gt;1,"مكرر","فريد")</f>
        <v>فريد</v>
      </c>
      <c r="Q925" s="19" t="str">
        <f aca="false">IF(COUNTBLANK(D925:L925)&gt;0,"نعم","لا")</f>
        <v>نعم</v>
      </c>
    </row>
    <row r="926" customFormat="false" ht="15" hidden="false" customHeight="false" outlineLevel="0" collapsed="false">
      <c r="A926" s="19" t="n">
        <v>925</v>
      </c>
      <c r="B926" s="30" t="s">
        <v>1182</v>
      </c>
      <c r="C926" s="44" t="n">
        <v>45625</v>
      </c>
      <c r="D926" s="30" t="s">
        <v>46</v>
      </c>
      <c r="E926" s="30" t="s">
        <v>109</v>
      </c>
      <c r="F926" s="30" t="s">
        <v>175</v>
      </c>
      <c r="G926" s="31" t="n">
        <v>319</v>
      </c>
      <c r="H926" s="19" t="n">
        <v>3</v>
      </c>
      <c r="I926" s="32" t="n">
        <v>0</v>
      </c>
      <c r="J926" s="30" t="s">
        <v>58</v>
      </c>
      <c r="K926" s="30" t="s">
        <v>47</v>
      </c>
      <c r="L926" s="30" t="s">
        <v>89</v>
      </c>
      <c r="M926" s="31" t="n">
        <f aca="false">AVERAGEIF($E$2:$E$1197,E926,$G$2:$G$1197)</f>
        <v>186.056291390729</v>
      </c>
      <c r="N926" s="19" t="str">
        <f aca="false">IF(G926&gt;M926*3,"نعم","لا")</f>
        <v>لا</v>
      </c>
      <c r="O926" s="19" t="str">
        <f aca="false">IF(OR(C926="",ISNUMBER(C926)),"لا","نعم")</f>
        <v>لا</v>
      </c>
      <c r="P926" s="19" t="str">
        <f aca="false">IF(COUNTIF($B$2:B926,B926)&gt;1,"مكرر","فريد")</f>
        <v>فريد</v>
      </c>
      <c r="Q926" s="19" t="str">
        <f aca="false">IF(COUNTBLANK(D926:L926)&gt;0,"نعم","لا")</f>
        <v>لا</v>
      </c>
    </row>
    <row r="927" customFormat="false" ht="15" hidden="false" customHeight="false" outlineLevel="0" collapsed="false">
      <c r="A927" s="19" t="n">
        <v>926</v>
      </c>
      <c r="B927" s="30" t="s">
        <v>360</v>
      </c>
      <c r="C927" s="44" t="n">
        <v>45364</v>
      </c>
      <c r="D927" s="30" t="s">
        <v>50</v>
      </c>
      <c r="E927" s="30" t="s">
        <v>105</v>
      </c>
      <c r="F927" s="30" t="s">
        <v>82</v>
      </c>
      <c r="G927" s="31" t="n">
        <v>1799</v>
      </c>
      <c r="H927" s="19" t="n">
        <v>2</v>
      </c>
      <c r="I927" s="32" t="n">
        <v>0</v>
      </c>
      <c r="J927" s="30" t="s">
        <v>52</v>
      </c>
      <c r="K927" s="30" t="s">
        <v>47</v>
      </c>
      <c r="L927" s="30" t="s">
        <v>78</v>
      </c>
      <c r="M927" s="31" t="n">
        <f aca="false">AVERAGEIF($E$2:$E$1197,E927,$G$2:$G$1197)</f>
        <v>2870.26771653543</v>
      </c>
      <c r="N927" s="19" t="str">
        <f aca="false">IF(G927&gt;M927*3,"نعم","لا")</f>
        <v>لا</v>
      </c>
      <c r="O927" s="19" t="str">
        <f aca="false">IF(OR(C927="",ISNUMBER(C927)),"لا","نعم")</f>
        <v>لا</v>
      </c>
      <c r="P927" s="19" t="str">
        <f aca="false">IF(COUNTIF($B$2:B927,B927)&gt;1,"مكرر","فريد")</f>
        <v>فريد</v>
      </c>
      <c r="Q927" s="19" t="str">
        <f aca="false">IF(COUNTBLANK(D927:L927)&gt;0,"نعم","لا")</f>
        <v>لا</v>
      </c>
    </row>
    <row r="928" customFormat="false" ht="15" hidden="false" customHeight="false" outlineLevel="0" collapsed="false">
      <c r="A928" s="19" t="n">
        <v>927</v>
      </c>
      <c r="B928" s="30" t="s">
        <v>1252</v>
      </c>
      <c r="C928" s="44" t="n">
        <v>45644</v>
      </c>
      <c r="D928" s="30" t="s">
        <v>50</v>
      </c>
      <c r="E928" s="30" t="s">
        <v>109</v>
      </c>
      <c r="F928" s="30" t="s">
        <v>110</v>
      </c>
      <c r="G928" s="31" t="n">
        <v>59</v>
      </c>
      <c r="H928" s="19" t="n">
        <v>1</v>
      </c>
      <c r="I928" s="32" t="n">
        <v>0.05</v>
      </c>
      <c r="J928" s="30" t="s">
        <v>48</v>
      </c>
      <c r="K928" s="30" t="s">
        <v>47</v>
      </c>
      <c r="L928" s="30" t="s">
        <v>84</v>
      </c>
      <c r="M928" s="31" t="n">
        <f aca="false">AVERAGEIF($E$2:$E$1197,E928,$G$2:$G$1197)</f>
        <v>186.056291390729</v>
      </c>
      <c r="N928" s="19" t="str">
        <f aca="false">IF(G928&gt;M928*3,"نعم","لا")</f>
        <v>لا</v>
      </c>
      <c r="O928" s="19" t="str">
        <f aca="false">IF(OR(C928="",ISNUMBER(C928)),"لا","نعم")</f>
        <v>لا</v>
      </c>
      <c r="P928" s="19" t="str">
        <f aca="false">IF(COUNTIF($B$2:B928,B928)&gt;1,"مكرر","فريد")</f>
        <v>فريد</v>
      </c>
      <c r="Q928" s="19" t="str">
        <f aca="false">IF(COUNTBLANK(D928:L928)&gt;0,"نعم","لا")</f>
        <v>لا</v>
      </c>
    </row>
    <row r="929" customFormat="false" ht="15" hidden="false" customHeight="false" outlineLevel="0" collapsed="false">
      <c r="A929" s="19" t="n">
        <v>928</v>
      </c>
      <c r="B929" s="30" t="s">
        <v>1253</v>
      </c>
      <c r="C929" s="44" t="n">
        <v>45646</v>
      </c>
      <c r="D929" s="30" t="s">
        <v>50</v>
      </c>
      <c r="E929" s="30" t="s">
        <v>109</v>
      </c>
      <c r="F929" s="30" t="s">
        <v>192</v>
      </c>
      <c r="G929" s="31" t="n">
        <v>139</v>
      </c>
      <c r="H929" s="19" t="n">
        <v>4</v>
      </c>
      <c r="I929" s="32" t="n">
        <v>0.1</v>
      </c>
      <c r="J929" s="30" t="s">
        <v>55</v>
      </c>
      <c r="K929" s="30" t="s">
        <v>51</v>
      </c>
      <c r="L929" s="30" t="s">
        <v>94</v>
      </c>
      <c r="M929" s="31" t="n">
        <f aca="false">AVERAGEIF($E$2:$E$1197,E929,$G$2:$G$1197)</f>
        <v>186.056291390729</v>
      </c>
      <c r="N929" s="19" t="str">
        <f aca="false">IF(G929&gt;M929*3,"نعم","لا")</f>
        <v>لا</v>
      </c>
      <c r="O929" s="19" t="str">
        <f aca="false">IF(OR(C929="",ISNUMBER(C929)),"لا","نعم")</f>
        <v>لا</v>
      </c>
      <c r="P929" s="19" t="str">
        <f aca="false">IF(COUNTIF($B$2:B929,B929)&gt;1,"مكرر","فريد")</f>
        <v>فريد</v>
      </c>
      <c r="Q929" s="19" t="str">
        <f aca="false">IF(COUNTBLANK(D929:L929)&gt;0,"نعم","لا")</f>
        <v>لا</v>
      </c>
    </row>
    <row r="930" customFormat="false" ht="15" hidden="false" customHeight="false" outlineLevel="0" collapsed="false">
      <c r="A930" s="19" t="n">
        <v>929</v>
      </c>
      <c r="B930" s="30" t="s">
        <v>1089</v>
      </c>
      <c r="C930" s="30" t="s">
        <v>1355</v>
      </c>
      <c r="D930" s="30" t="s">
        <v>46</v>
      </c>
      <c r="E930" s="30" t="s">
        <v>105</v>
      </c>
      <c r="F930" s="30" t="s">
        <v>79</v>
      </c>
      <c r="G930" s="31" t="n">
        <v>3709</v>
      </c>
      <c r="H930" s="19" t="n">
        <v>1</v>
      </c>
      <c r="I930" s="32" t="n">
        <v>0.05</v>
      </c>
      <c r="J930" s="30" t="s">
        <v>52</v>
      </c>
      <c r="K930" s="30" t="s">
        <v>47</v>
      </c>
      <c r="L930" s="30" t="s">
        <v>89</v>
      </c>
      <c r="M930" s="31" t="n">
        <f aca="false">AVERAGEIF($E$2:$E$1197,E930,$G$2:$G$1197)</f>
        <v>2870.26771653543</v>
      </c>
      <c r="N930" s="19" t="str">
        <f aca="false">IF(G930&gt;M930*3,"نعم","لا")</f>
        <v>لا</v>
      </c>
      <c r="O930" s="19" t="str">
        <f aca="false">IF(OR(C930="",ISNUMBER(C930)),"لا","نعم")</f>
        <v>نعم</v>
      </c>
      <c r="P930" s="19" t="str">
        <f aca="false">IF(COUNTIF($B$2:B930,B930)&gt;1,"مكرر","فريد")</f>
        <v>فريد</v>
      </c>
      <c r="Q930" s="19" t="str">
        <f aca="false">IF(COUNTBLANK(D930:L930)&gt;0,"نعم","لا")</f>
        <v>لا</v>
      </c>
    </row>
    <row r="931" customFormat="false" ht="15" hidden="false" customHeight="false" outlineLevel="0" collapsed="false">
      <c r="A931" s="19" t="n">
        <v>930</v>
      </c>
      <c r="B931" s="30" t="s">
        <v>666</v>
      </c>
      <c r="C931" s="44" t="n">
        <v>45473</v>
      </c>
      <c r="D931" s="30" t="s">
        <v>50</v>
      </c>
      <c r="E931" s="30" t="s">
        <v>107</v>
      </c>
      <c r="F931" s="30" t="s">
        <v>184</v>
      </c>
      <c r="G931" s="31" t="n">
        <v>7379</v>
      </c>
      <c r="H931" s="19" t="n">
        <v>3</v>
      </c>
      <c r="I931" s="32" t="n">
        <v>0</v>
      </c>
      <c r="J931" s="30" t="s">
        <v>52</v>
      </c>
      <c r="K931" s="30" t="s">
        <v>47</v>
      </c>
      <c r="L931" s="30" t="s">
        <v>92</v>
      </c>
      <c r="M931" s="31" t="n">
        <f aca="false">AVERAGEIF($E$2:$E$1197,E931,$G$2:$G$1197)</f>
        <v>4981.14563106796</v>
      </c>
      <c r="N931" s="19" t="str">
        <f aca="false">IF(G931&gt;M931*3,"نعم","لا")</f>
        <v>لا</v>
      </c>
      <c r="O931" s="19" t="str">
        <f aca="false">IF(OR(C931="",ISNUMBER(C931)),"لا","نعم")</f>
        <v>لا</v>
      </c>
      <c r="P931" s="19" t="str">
        <f aca="false">IF(COUNTIF($B$2:B931,B931)&gt;1,"مكرر","فريد")</f>
        <v>فريد</v>
      </c>
      <c r="Q931" s="19" t="str">
        <f aca="false">IF(COUNTBLANK(D931:L931)&gt;0,"نعم","لا")</f>
        <v>لا</v>
      </c>
    </row>
    <row r="932" customFormat="false" ht="15" hidden="false" customHeight="false" outlineLevel="0" collapsed="false">
      <c r="A932" s="19" t="n">
        <v>931</v>
      </c>
      <c r="B932" s="30" t="s">
        <v>1064</v>
      </c>
      <c r="C932" s="44" t="n">
        <v>45600</v>
      </c>
      <c r="D932" s="30" t="s">
        <v>60</v>
      </c>
      <c r="E932" s="30" t="s">
        <v>105</v>
      </c>
      <c r="F932" s="30" t="s">
        <v>90</v>
      </c>
      <c r="G932" s="31" t="n">
        <v>1779</v>
      </c>
      <c r="H932" s="19" t="n">
        <v>2</v>
      </c>
      <c r="I932" s="32" t="n">
        <v>0.05</v>
      </c>
      <c r="J932" s="30" t="s">
        <v>55</v>
      </c>
      <c r="K932" s="30" t="s">
        <v>47</v>
      </c>
      <c r="L932" s="30" t="s">
        <v>86</v>
      </c>
      <c r="M932" s="31" t="n">
        <f aca="false">AVERAGEIF($E$2:$E$1197,E932,$G$2:$G$1197)</f>
        <v>2870.26771653543</v>
      </c>
      <c r="N932" s="19" t="str">
        <f aca="false">IF(G932&gt;M932*3,"نعم","لا")</f>
        <v>لا</v>
      </c>
      <c r="O932" s="19" t="str">
        <f aca="false">IF(OR(C932="",ISNUMBER(C932)),"لا","نعم")</f>
        <v>لا</v>
      </c>
      <c r="P932" s="19" t="str">
        <f aca="false">IF(COUNTIF($B$2:B932,B932)&gt;1,"مكرر","فريد")</f>
        <v>فريد</v>
      </c>
      <c r="Q932" s="19" t="str">
        <f aca="false">IF(COUNTBLANK(D932:L932)&gt;0,"نعم","لا")</f>
        <v>لا</v>
      </c>
    </row>
    <row r="933" customFormat="false" ht="15" hidden="false" customHeight="false" outlineLevel="0" collapsed="false">
      <c r="A933" s="19" t="n">
        <v>932</v>
      </c>
      <c r="B933" s="30" t="s">
        <v>1114</v>
      </c>
      <c r="C933" s="44" t="n">
        <v>45610</v>
      </c>
      <c r="D933" s="30" t="s">
        <v>50</v>
      </c>
      <c r="E933" s="30" t="s">
        <v>109</v>
      </c>
      <c r="F933" s="30" t="s">
        <v>175</v>
      </c>
      <c r="G933" s="31" t="n">
        <v>99</v>
      </c>
      <c r="H933" s="19" t="n">
        <v>2</v>
      </c>
      <c r="I933" s="32" t="n">
        <v>0</v>
      </c>
      <c r="J933" s="30" t="s">
        <v>52</v>
      </c>
      <c r="K933" s="30" t="s">
        <v>47</v>
      </c>
      <c r="L933" s="30" t="s">
        <v>99</v>
      </c>
      <c r="M933" s="31" t="n">
        <f aca="false">AVERAGEIF($E$2:$E$1197,E933,$G$2:$G$1197)</f>
        <v>186.056291390729</v>
      </c>
      <c r="N933" s="19" t="str">
        <f aca="false">IF(G933&gt;M933*3,"نعم","لا")</f>
        <v>لا</v>
      </c>
      <c r="O933" s="19" t="str">
        <f aca="false">IF(OR(C933="",ISNUMBER(C933)),"لا","نعم")</f>
        <v>لا</v>
      </c>
      <c r="P933" s="19" t="str">
        <f aca="false">IF(COUNTIF($B$2:B933,B933)&gt;1,"مكرر","فريد")</f>
        <v>فريد</v>
      </c>
      <c r="Q933" s="19" t="str">
        <f aca="false">IF(COUNTBLANK(D933:L933)&gt;0,"نعم","لا")</f>
        <v>لا</v>
      </c>
    </row>
    <row r="934" customFormat="false" ht="15" hidden="false" customHeight="false" outlineLevel="0" collapsed="false">
      <c r="A934" s="19" t="n">
        <v>933</v>
      </c>
      <c r="B934" s="30" t="s">
        <v>1066</v>
      </c>
      <c r="C934" s="30" t="s">
        <v>1480</v>
      </c>
      <c r="D934" s="30" t="s">
        <v>60</v>
      </c>
      <c r="E934" s="30" t="s">
        <v>109</v>
      </c>
      <c r="F934" s="30" t="s">
        <v>175</v>
      </c>
      <c r="G934" s="31" t="n">
        <v>59</v>
      </c>
      <c r="H934" s="19" t="n">
        <v>1</v>
      </c>
      <c r="I934" s="32" t="n">
        <v>0.1</v>
      </c>
      <c r="J934" s="30" t="s">
        <v>48</v>
      </c>
      <c r="K934" s="30" t="s">
        <v>47</v>
      </c>
      <c r="L934" s="30" t="s">
        <v>78</v>
      </c>
      <c r="M934" s="31" t="n">
        <f aca="false">AVERAGEIF($E$2:$E$1197,E934,$G$2:$G$1197)</f>
        <v>186.056291390729</v>
      </c>
      <c r="N934" s="19" t="str">
        <f aca="false">IF(G934&gt;M934*3,"نعم","لا")</f>
        <v>لا</v>
      </c>
      <c r="O934" s="19" t="str">
        <f aca="false">IF(OR(C934="",ISNUMBER(C934)),"لا","نعم")</f>
        <v>نعم</v>
      </c>
      <c r="P934" s="19" t="str">
        <f aca="false">IF(COUNTIF($B$2:B934,B934)&gt;1,"مكرر","فريد")</f>
        <v>فريد</v>
      </c>
      <c r="Q934" s="19" t="str">
        <f aca="false">IF(COUNTBLANK(D934:L934)&gt;0,"نعم","لا")</f>
        <v>لا</v>
      </c>
    </row>
    <row r="935" customFormat="false" ht="15" hidden="false" customHeight="false" outlineLevel="0" collapsed="false">
      <c r="A935" s="19" t="n">
        <v>934</v>
      </c>
      <c r="B935" s="30" t="s">
        <v>1230</v>
      </c>
      <c r="C935" s="44" t="n">
        <v>45638</v>
      </c>
      <c r="D935" s="30" t="s">
        <v>60</v>
      </c>
      <c r="E935" s="30" t="s">
        <v>113</v>
      </c>
      <c r="F935" s="30" t="s">
        <v>95</v>
      </c>
      <c r="G935" s="31" t="n">
        <v>259</v>
      </c>
      <c r="H935" s="19" t="n">
        <v>1</v>
      </c>
      <c r="I935" s="32" t="n">
        <v>0.15</v>
      </c>
      <c r="J935" s="30" t="s">
        <v>58</v>
      </c>
      <c r="K935" s="30" t="s">
        <v>47</v>
      </c>
      <c r="L935" s="30" t="s">
        <v>76</v>
      </c>
      <c r="M935" s="31" t="n">
        <f aca="false">AVERAGEIF($E$2:$E$1197,E935,$G$2:$G$1197)</f>
        <v>545.358823529412</v>
      </c>
      <c r="N935" s="19" t="str">
        <f aca="false">IF(G935&gt;M935*3,"نعم","لا")</f>
        <v>لا</v>
      </c>
      <c r="O935" s="19" t="str">
        <f aca="false">IF(OR(C935="",ISNUMBER(C935)),"لا","نعم")</f>
        <v>لا</v>
      </c>
      <c r="P935" s="19" t="str">
        <f aca="false">IF(COUNTIF($B$2:B935,B935)&gt;1,"مكرر","فريد")</f>
        <v>فريد</v>
      </c>
      <c r="Q935" s="19" t="str">
        <f aca="false">IF(COUNTBLANK(D935:L935)&gt;0,"نعم","لا")</f>
        <v>لا</v>
      </c>
    </row>
    <row r="936" customFormat="false" ht="15" hidden="false" customHeight="false" outlineLevel="0" collapsed="false">
      <c r="A936" s="19" t="n">
        <v>935</v>
      </c>
      <c r="B936" s="30" t="s">
        <v>948</v>
      </c>
      <c r="C936" s="44" t="n">
        <v>45564</v>
      </c>
      <c r="D936" s="30" t="s">
        <v>50</v>
      </c>
      <c r="E936" s="30" t="s">
        <v>113</v>
      </c>
      <c r="F936" s="30" t="s">
        <v>95</v>
      </c>
      <c r="G936" s="31" t="n">
        <v>469</v>
      </c>
      <c r="H936" s="19" t="n">
        <v>1</v>
      </c>
      <c r="I936" s="32" t="n">
        <v>0</v>
      </c>
      <c r="J936" s="30" t="s">
        <v>48</v>
      </c>
      <c r="K936" s="30" t="s">
        <v>47</v>
      </c>
      <c r="L936" s="30" t="s">
        <v>96</v>
      </c>
      <c r="M936" s="31" t="n">
        <f aca="false">AVERAGEIF($E$2:$E$1197,E936,$G$2:$G$1197)</f>
        <v>545.358823529412</v>
      </c>
      <c r="N936" s="19" t="str">
        <f aca="false">IF(G936&gt;M936*3,"نعم","لا")</f>
        <v>لا</v>
      </c>
      <c r="O936" s="19" t="str">
        <f aca="false">IF(OR(C936="",ISNUMBER(C936)),"لا","نعم")</f>
        <v>لا</v>
      </c>
      <c r="P936" s="19" t="str">
        <f aca="false">IF(COUNTIF($B$2:B936,B936)&gt;1,"مكرر","فريد")</f>
        <v>فريد</v>
      </c>
      <c r="Q936" s="19" t="str">
        <f aca="false">IF(COUNTBLANK(D936:L936)&gt;0,"نعم","لا")</f>
        <v>لا</v>
      </c>
    </row>
    <row r="937" customFormat="false" ht="15" hidden="false" customHeight="false" outlineLevel="0" collapsed="false">
      <c r="A937" s="19" t="n">
        <v>936</v>
      </c>
      <c r="B937" s="30" t="s">
        <v>737</v>
      </c>
      <c r="C937" s="44" t="n">
        <v>45497</v>
      </c>
      <c r="D937" s="30" t="s">
        <v>50</v>
      </c>
      <c r="E937" s="30" t="s">
        <v>111</v>
      </c>
      <c r="F937" s="30" t="s">
        <v>118</v>
      </c>
      <c r="G937" s="31" t="n">
        <v>229</v>
      </c>
      <c r="H937" s="19" t="n">
        <v>1</v>
      </c>
      <c r="I937" s="32"/>
      <c r="J937" s="30" t="s">
        <v>58</v>
      </c>
      <c r="K937" s="30" t="s">
        <v>47</v>
      </c>
      <c r="L937" s="30" t="s">
        <v>92</v>
      </c>
      <c r="M937" s="31" t="n">
        <f aca="false">AVERAGEIF($E$2:$E$1197,E937,$G$2:$G$1197)</f>
        <v>366.306569343066</v>
      </c>
      <c r="N937" s="19" t="str">
        <f aca="false">IF(G937&gt;M937*3,"نعم","لا")</f>
        <v>لا</v>
      </c>
      <c r="O937" s="19" t="str">
        <f aca="false">IF(OR(C937="",ISNUMBER(C937)),"لا","نعم")</f>
        <v>لا</v>
      </c>
      <c r="P937" s="19" t="str">
        <f aca="false">IF(COUNTIF($B$2:B937,B937)&gt;1,"مكرر","فريد")</f>
        <v>فريد</v>
      </c>
      <c r="Q937" s="19" t="str">
        <f aca="false">IF(COUNTBLANK(D937:L937)&gt;0,"نعم","لا")</f>
        <v>نعم</v>
      </c>
    </row>
    <row r="938" customFormat="false" ht="15" hidden="false" customHeight="false" outlineLevel="0" collapsed="false">
      <c r="A938" s="19" t="n">
        <v>937</v>
      </c>
      <c r="B938" s="30" t="s">
        <v>331</v>
      </c>
      <c r="C938" s="44" t="n">
        <v>45355</v>
      </c>
      <c r="D938" s="30" t="s">
        <v>60</v>
      </c>
      <c r="E938" s="30" t="s">
        <v>109</v>
      </c>
      <c r="F938" s="30" t="s">
        <v>192</v>
      </c>
      <c r="G938" s="31" t="n">
        <v>109</v>
      </c>
      <c r="H938" s="19" t="n">
        <v>3</v>
      </c>
      <c r="I938" s="32" t="n">
        <v>0</v>
      </c>
      <c r="J938" s="30" t="s">
        <v>48</v>
      </c>
      <c r="K938" s="30" t="s">
        <v>47</v>
      </c>
      <c r="L938" s="30" t="s">
        <v>96</v>
      </c>
      <c r="M938" s="31" t="n">
        <f aca="false">AVERAGEIF($E$2:$E$1197,E938,$G$2:$G$1197)</f>
        <v>186.056291390729</v>
      </c>
      <c r="N938" s="19" t="str">
        <f aca="false">IF(G938&gt;M938*3,"نعم","لا")</f>
        <v>لا</v>
      </c>
      <c r="O938" s="19" t="str">
        <f aca="false">IF(OR(C938="",ISNUMBER(C938)),"لا","نعم")</f>
        <v>لا</v>
      </c>
      <c r="P938" s="19" t="str">
        <f aca="false">IF(COUNTIF($B$2:B938,B938)&gt;1,"مكرر","فريد")</f>
        <v>فريد</v>
      </c>
      <c r="Q938" s="19" t="str">
        <f aca="false">IF(COUNTBLANK(D938:L938)&gt;0,"نعم","لا")</f>
        <v>لا</v>
      </c>
    </row>
    <row r="939" customFormat="false" ht="15" hidden="false" customHeight="false" outlineLevel="0" collapsed="false">
      <c r="A939" s="19" t="n">
        <v>938</v>
      </c>
      <c r="B939" s="30" t="s">
        <v>830</v>
      </c>
      <c r="C939" s="44" t="n">
        <v>45524</v>
      </c>
      <c r="D939" s="30" t="s">
        <v>50</v>
      </c>
      <c r="E939" s="30" t="s">
        <v>107</v>
      </c>
      <c r="F939" s="30" t="s">
        <v>272</v>
      </c>
      <c r="G939" s="31" t="n">
        <v>3789</v>
      </c>
      <c r="H939" s="19" t="n">
        <v>6</v>
      </c>
      <c r="I939" s="32" t="n">
        <v>0.2</v>
      </c>
      <c r="J939" s="30" t="s">
        <v>48</v>
      </c>
      <c r="K939" s="30" t="s">
        <v>51</v>
      </c>
      <c r="L939" s="30" t="s">
        <v>89</v>
      </c>
      <c r="M939" s="31" t="n">
        <f aca="false">AVERAGEIF($E$2:$E$1197,E939,$G$2:$G$1197)</f>
        <v>4981.14563106796</v>
      </c>
      <c r="N939" s="19" t="str">
        <f aca="false">IF(G939&gt;M939*3,"نعم","لا")</f>
        <v>لا</v>
      </c>
      <c r="O939" s="19" t="str">
        <f aca="false">IF(OR(C939="",ISNUMBER(C939)),"لا","نعم")</f>
        <v>لا</v>
      </c>
      <c r="P939" s="19" t="str">
        <f aca="false">IF(COUNTIF($B$2:B939,B939)&gt;1,"مكرر","فريد")</f>
        <v>فريد</v>
      </c>
      <c r="Q939" s="19" t="str">
        <f aca="false">IF(COUNTBLANK(D939:L939)&gt;0,"نعم","لا")</f>
        <v>لا</v>
      </c>
    </row>
    <row r="940" customFormat="false" ht="15" hidden="false" customHeight="false" outlineLevel="0" collapsed="false">
      <c r="A940" s="19" t="n">
        <v>939</v>
      </c>
      <c r="B940" s="30" t="s">
        <v>257</v>
      </c>
      <c r="C940" s="44" t="n">
        <v>45325</v>
      </c>
      <c r="D940" s="30" t="s">
        <v>46</v>
      </c>
      <c r="E940" s="30" t="s">
        <v>109</v>
      </c>
      <c r="F940" s="30" t="s">
        <v>93</v>
      </c>
      <c r="G940" s="31" t="n">
        <v>229</v>
      </c>
      <c r="H940" s="19" t="n">
        <v>1</v>
      </c>
      <c r="I940" s="32" t="n">
        <v>0</v>
      </c>
      <c r="J940" s="30" t="s">
        <v>48</v>
      </c>
      <c r="K940" s="30" t="s">
        <v>47</v>
      </c>
      <c r="L940" s="30" t="s">
        <v>94</v>
      </c>
      <c r="M940" s="31" t="n">
        <f aca="false">AVERAGEIF($E$2:$E$1197,E940,$G$2:$G$1197)</f>
        <v>186.056291390729</v>
      </c>
      <c r="N940" s="19" t="str">
        <f aca="false">IF(G940&gt;M940*3,"نعم","لا")</f>
        <v>لا</v>
      </c>
      <c r="O940" s="19" t="str">
        <f aca="false">IF(OR(C940="",ISNUMBER(C940)),"لا","نعم")</f>
        <v>لا</v>
      </c>
      <c r="P940" s="19" t="str">
        <f aca="false">IF(COUNTIF($B$2:B940,B940)&gt;1,"مكرر","فريد")</f>
        <v>فريد</v>
      </c>
      <c r="Q940" s="19" t="str">
        <f aca="false">IF(COUNTBLANK(D940:L940)&gt;0,"نعم","لا")</f>
        <v>لا</v>
      </c>
    </row>
    <row r="941" customFormat="false" ht="15" hidden="false" customHeight="false" outlineLevel="0" collapsed="false">
      <c r="A941" s="19" t="n">
        <v>940</v>
      </c>
      <c r="B941" s="30" t="s">
        <v>332</v>
      </c>
      <c r="C941" s="44" t="n">
        <v>45355</v>
      </c>
      <c r="D941" s="30" t="s">
        <v>54</v>
      </c>
      <c r="E941" s="30" t="s">
        <v>105</v>
      </c>
      <c r="F941" s="30" t="s">
        <v>79</v>
      </c>
      <c r="G941" s="31" t="n">
        <v>1379</v>
      </c>
      <c r="H941" s="19" t="n">
        <v>1</v>
      </c>
      <c r="I941" s="32" t="n">
        <v>0.1</v>
      </c>
      <c r="J941" s="30" t="s">
        <v>48</v>
      </c>
      <c r="K941" s="30" t="s">
        <v>47</v>
      </c>
      <c r="L941" s="30" t="s">
        <v>99</v>
      </c>
      <c r="M941" s="31" t="n">
        <f aca="false">AVERAGEIF($E$2:$E$1197,E941,$G$2:$G$1197)</f>
        <v>2870.26771653543</v>
      </c>
      <c r="N941" s="19" t="str">
        <f aca="false">IF(G941&gt;M941*3,"نعم","لا")</f>
        <v>لا</v>
      </c>
      <c r="O941" s="19" t="str">
        <f aca="false">IF(OR(C941="",ISNUMBER(C941)),"لا","نعم")</f>
        <v>لا</v>
      </c>
      <c r="P941" s="19" t="str">
        <f aca="false">IF(COUNTIF($B$2:B941,B941)&gt;1,"مكرر","فريد")</f>
        <v>فريد</v>
      </c>
      <c r="Q941" s="19" t="str">
        <f aca="false">IF(COUNTBLANK(D941:L941)&gt;0,"نعم","لا")</f>
        <v>لا</v>
      </c>
    </row>
    <row r="942" customFormat="false" ht="15" hidden="false" customHeight="false" outlineLevel="0" collapsed="false">
      <c r="A942" s="19" t="n">
        <v>941</v>
      </c>
      <c r="B942" s="30" t="s">
        <v>969</v>
      </c>
      <c r="C942" s="44" t="n">
        <v>45570</v>
      </c>
      <c r="D942" s="30" t="s">
        <v>57</v>
      </c>
      <c r="E942" s="30" t="s">
        <v>105</v>
      </c>
      <c r="F942" s="30" t="s">
        <v>90</v>
      </c>
      <c r="G942" s="31" t="n">
        <v>1619</v>
      </c>
      <c r="H942" s="19" t="n">
        <v>1</v>
      </c>
      <c r="I942" s="32" t="n">
        <v>0</v>
      </c>
      <c r="J942" s="30" t="s">
        <v>48</v>
      </c>
      <c r="K942" s="30" t="s">
        <v>47</v>
      </c>
      <c r="L942" s="30" t="s">
        <v>81</v>
      </c>
      <c r="M942" s="31" t="n">
        <f aca="false">AVERAGEIF($E$2:$E$1197,E942,$G$2:$G$1197)</f>
        <v>2870.26771653543</v>
      </c>
      <c r="N942" s="19" t="str">
        <f aca="false">IF(G942&gt;M942*3,"نعم","لا")</f>
        <v>لا</v>
      </c>
      <c r="O942" s="19" t="str">
        <f aca="false">IF(OR(C942="",ISNUMBER(C942)),"لا","نعم")</f>
        <v>لا</v>
      </c>
      <c r="P942" s="19" t="str">
        <f aca="false">IF(COUNTIF($B$2:B942,B942)&gt;1,"مكرر","فريد")</f>
        <v>فريد</v>
      </c>
      <c r="Q942" s="19" t="str">
        <f aca="false">IF(COUNTBLANK(D942:L942)&gt;0,"نعم","لا")</f>
        <v>لا</v>
      </c>
    </row>
    <row r="943" customFormat="false" ht="15" hidden="false" customHeight="false" outlineLevel="0" collapsed="false">
      <c r="A943" s="19" t="n">
        <v>942</v>
      </c>
      <c r="B943" s="30" t="s">
        <v>856</v>
      </c>
      <c r="C943" s="44" t="n">
        <v>45531</v>
      </c>
      <c r="D943" s="30" t="s">
        <v>46</v>
      </c>
      <c r="E943" s="30" t="s">
        <v>105</v>
      </c>
      <c r="F943" s="30" t="s">
        <v>79</v>
      </c>
      <c r="G943" s="31" t="n">
        <v>18490</v>
      </c>
      <c r="H943" s="19" t="n">
        <v>1</v>
      </c>
      <c r="I943" s="32" t="n">
        <v>0.1</v>
      </c>
      <c r="J943" s="30" t="s">
        <v>48</v>
      </c>
      <c r="K943" s="30" t="s">
        <v>47</v>
      </c>
      <c r="L943" s="30" t="s">
        <v>86</v>
      </c>
      <c r="M943" s="31" t="n">
        <f aca="false">AVERAGEIF($E$2:$E$1197,E943,$G$2:$G$1197)</f>
        <v>2870.26771653543</v>
      </c>
      <c r="N943" s="19" t="str">
        <f aca="false">IF(G943&gt;M943*3,"نعم","لا")</f>
        <v>نعم</v>
      </c>
      <c r="O943" s="19" t="str">
        <f aca="false">IF(OR(C943="",ISNUMBER(C943)),"لا","نعم")</f>
        <v>لا</v>
      </c>
      <c r="P943" s="19" t="str">
        <f aca="false">IF(COUNTIF($B$2:B943,B943)&gt;1,"مكرر","فريد")</f>
        <v>فريد</v>
      </c>
      <c r="Q943" s="19" t="str">
        <f aca="false">IF(COUNTBLANK(D943:L943)&gt;0,"نعم","لا")</f>
        <v>لا</v>
      </c>
    </row>
    <row r="944" customFormat="false" ht="15" hidden="false" customHeight="false" outlineLevel="0" collapsed="false">
      <c r="A944" s="19" t="n">
        <v>943</v>
      </c>
      <c r="B944" s="30" t="s">
        <v>1146</v>
      </c>
      <c r="C944" s="44" t="n">
        <v>45617</v>
      </c>
      <c r="D944" s="30" t="s">
        <v>60</v>
      </c>
      <c r="E944" s="30" t="s">
        <v>105</v>
      </c>
      <c r="F944" s="30" t="s">
        <v>179</v>
      </c>
      <c r="G944" s="31" t="n">
        <v>2459</v>
      </c>
      <c r="H944" s="19" t="n">
        <v>1</v>
      </c>
      <c r="I944" s="32" t="n">
        <v>0</v>
      </c>
      <c r="J944" s="30" t="s">
        <v>48</v>
      </c>
      <c r="K944" s="30" t="s">
        <v>47</v>
      </c>
      <c r="L944" s="30" t="s">
        <v>84</v>
      </c>
      <c r="M944" s="31" t="n">
        <f aca="false">AVERAGEIF($E$2:$E$1197,E944,$G$2:$G$1197)</f>
        <v>2870.26771653543</v>
      </c>
      <c r="N944" s="19" t="str">
        <f aca="false">IF(G944&gt;M944*3,"نعم","لا")</f>
        <v>لا</v>
      </c>
      <c r="O944" s="19" t="str">
        <f aca="false">IF(OR(C944="",ISNUMBER(C944)),"لا","نعم")</f>
        <v>لا</v>
      </c>
      <c r="P944" s="19" t="str">
        <f aca="false">IF(COUNTIF($B$2:B944,B944)&gt;1,"مكرر","فريد")</f>
        <v>فريد</v>
      </c>
      <c r="Q944" s="19" t="str">
        <f aca="false">IF(COUNTBLANK(D944:L944)&gt;0,"نعم","لا")</f>
        <v>لا</v>
      </c>
    </row>
    <row r="945" customFormat="false" ht="15" hidden="false" customHeight="false" outlineLevel="0" collapsed="false">
      <c r="A945" s="19" t="n">
        <v>944</v>
      </c>
      <c r="B945" s="30" t="s">
        <v>1023</v>
      </c>
      <c r="C945" s="44" t="n">
        <v>45590</v>
      </c>
      <c r="D945" s="30" t="s">
        <v>57</v>
      </c>
      <c r="E945" s="30" t="s">
        <v>107</v>
      </c>
      <c r="F945" s="30" t="s">
        <v>114</v>
      </c>
      <c r="G945" s="31" t="n">
        <v>7199</v>
      </c>
      <c r="H945" s="19" t="n">
        <v>2</v>
      </c>
      <c r="I945" s="32" t="n">
        <v>0</v>
      </c>
      <c r="J945" s="30" t="s">
        <v>55</v>
      </c>
      <c r="K945" s="30" t="s">
        <v>47</v>
      </c>
      <c r="L945" s="30" t="s">
        <v>76</v>
      </c>
      <c r="M945" s="31" t="n">
        <f aca="false">AVERAGEIF($E$2:$E$1197,E945,$G$2:$G$1197)</f>
        <v>4981.14563106796</v>
      </c>
      <c r="N945" s="19" t="str">
        <f aca="false">IF(G945&gt;M945*3,"نعم","لا")</f>
        <v>لا</v>
      </c>
      <c r="O945" s="19" t="str">
        <f aca="false">IF(OR(C945="",ISNUMBER(C945)),"لا","نعم")</f>
        <v>لا</v>
      </c>
      <c r="P945" s="19" t="str">
        <f aca="false">IF(COUNTIF($B$2:B945,B945)&gt;1,"مكرر","فريد")</f>
        <v>فريد</v>
      </c>
      <c r="Q945" s="19" t="str">
        <f aca="false">IF(COUNTBLANK(D945:L945)&gt;0,"نعم","لا")</f>
        <v>لا</v>
      </c>
    </row>
    <row r="946" customFormat="false" ht="15" hidden="false" customHeight="false" outlineLevel="0" collapsed="false">
      <c r="A946" s="19" t="n">
        <v>945</v>
      </c>
      <c r="B946" s="30" t="s">
        <v>1481</v>
      </c>
      <c r="C946" s="44" t="n">
        <v>45595</v>
      </c>
      <c r="D946" s="30"/>
      <c r="E946" s="30" t="s">
        <v>109</v>
      </c>
      <c r="F946" s="30" t="s">
        <v>171</v>
      </c>
      <c r="G946" s="31" t="n">
        <v>279</v>
      </c>
      <c r="H946" s="19" t="n">
        <v>1</v>
      </c>
      <c r="I946" s="32" t="n">
        <v>0</v>
      </c>
      <c r="J946" s="30" t="s">
        <v>48</v>
      </c>
      <c r="K946" s="30" t="s">
        <v>47</v>
      </c>
      <c r="L946" s="30" t="s">
        <v>78</v>
      </c>
      <c r="M946" s="31" t="n">
        <f aca="false">AVERAGEIF($E$2:$E$1197,E946,$G$2:$G$1197)</f>
        <v>186.056291390729</v>
      </c>
      <c r="N946" s="19" t="str">
        <f aca="false">IF(G946&gt;M946*3,"نعم","لا")</f>
        <v>لا</v>
      </c>
      <c r="O946" s="19" t="str">
        <f aca="false">IF(OR(C946="",ISNUMBER(C946)),"لا","نعم")</f>
        <v>لا</v>
      </c>
      <c r="P946" s="19" t="str">
        <f aca="false">IF(COUNTIF($B$2:B946,B946)&gt;1,"مكرر","فريد")</f>
        <v>فريد</v>
      </c>
      <c r="Q946" s="19" t="str">
        <f aca="false">IF(COUNTBLANK(D946:L946)&gt;0,"نعم","لا")</f>
        <v>نعم</v>
      </c>
    </row>
    <row r="947" customFormat="false" ht="15" hidden="false" customHeight="false" outlineLevel="0" collapsed="false">
      <c r="A947" s="19" t="n">
        <v>946</v>
      </c>
      <c r="B947" s="30" t="s">
        <v>1057</v>
      </c>
      <c r="C947" s="44" t="n">
        <v>45599</v>
      </c>
      <c r="D947" s="30" t="s">
        <v>46</v>
      </c>
      <c r="E947" s="30" t="s">
        <v>109</v>
      </c>
      <c r="F947" s="30" t="s">
        <v>93</v>
      </c>
      <c r="G947" s="31" t="n">
        <v>99</v>
      </c>
      <c r="H947" s="19" t="n">
        <v>2</v>
      </c>
      <c r="I947" s="32" t="n">
        <v>0</v>
      </c>
      <c r="J947" s="30" t="s">
        <v>48</v>
      </c>
      <c r="K947" s="30" t="s">
        <v>47</v>
      </c>
      <c r="L947" s="30" t="s">
        <v>86</v>
      </c>
      <c r="M947" s="31" t="n">
        <f aca="false">AVERAGEIF($E$2:$E$1197,E947,$G$2:$G$1197)</f>
        <v>186.056291390729</v>
      </c>
      <c r="N947" s="19" t="str">
        <f aca="false">IF(G947&gt;M947*3,"نعم","لا")</f>
        <v>لا</v>
      </c>
      <c r="O947" s="19" t="str">
        <f aca="false">IF(OR(C947="",ISNUMBER(C947)),"لا","نعم")</f>
        <v>لا</v>
      </c>
      <c r="P947" s="19" t="str">
        <f aca="false">IF(COUNTIF($B$2:B947,B947)&gt;1,"مكرر","فريد")</f>
        <v>فريد</v>
      </c>
      <c r="Q947" s="19" t="str">
        <f aca="false">IF(COUNTBLANK(D947:L947)&gt;0,"نعم","لا")</f>
        <v>لا</v>
      </c>
    </row>
    <row r="948" customFormat="false" ht="15" hidden="false" customHeight="false" outlineLevel="0" collapsed="false">
      <c r="A948" s="19" t="n">
        <v>947</v>
      </c>
      <c r="B948" s="30" t="s">
        <v>168</v>
      </c>
      <c r="C948" s="44" t="n">
        <v>45292</v>
      </c>
      <c r="D948" s="30" t="s">
        <v>57</v>
      </c>
      <c r="E948" s="30" t="s">
        <v>105</v>
      </c>
      <c r="F948" s="30" t="s">
        <v>85</v>
      </c>
      <c r="G948" s="31" t="n">
        <v>1509</v>
      </c>
      <c r="H948" s="19" t="n">
        <v>1</v>
      </c>
      <c r="I948" s="32" t="n">
        <v>0</v>
      </c>
      <c r="J948" s="30" t="s">
        <v>48</v>
      </c>
      <c r="K948" s="30" t="s">
        <v>47</v>
      </c>
      <c r="L948" s="30" t="s">
        <v>81</v>
      </c>
      <c r="M948" s="31" t="n">
        <f aca="false">AVERAGEIF($E$2:$E$1197,E948,$G$2:$G$1197)</f>
        <v>2870.26771653543</v>
      </c>
      <c r="N948" s="19" t="str">
        <f aca="false">IF(G948&gt;M948*3,"نعم","لا")</f>
        <v>لا</v>
      </c>
      <c r="O948" s="19" t="str">
        <f aca="false">IF(OR(C948="",ISNUMBER(C948)),"لا","نعم")</f>
        <v>لا</v>
      </c>
      <c r="P948" s="19" t="str">
        <f aca="false">IF(COUNTIF($B$2:B948,B948)&gt;1,"مكرر","فريد")</f>
        <v>مكرر</v>
      </c>
      <c r="Q948" s="19" t="str">
        <f aca="false">IF(COUNTBLANK(D948:L948)&gt;0,"نعم","لا")</f>
        <v>لا</v>
      </c>
    </row>
    <row r="949" customFormat="false" ht="15" hidden="false" customHeight="false" outlineLevel="0" collapsed="false">
      <c r="A949" s="19" t="n">
        <v>948</v>
      </c>
      <c r="B949" s="30" t="s">
        <v>322</v>
      </c>
      <c r="C949" s="44" t="n">
        <v>45350</v>
      </c>
      <c r="D949" s="30" t="s">
        <v>1353</v>
      </c>
      <c r="E949" s="30" t="s">
        <v>107</v>
      </c>
      <c r="F949" s="30" t="s">
        <v>115</v>
      </c>
      <c r="G949" s="31" t="n">
        <v>4749</v>
      </c>
      <c r="H949" s="19" t="n">
        <v>1</v>
      </c>
      <c r="I949" s="32" t="n">
        <v>0.1</v>
      </c>
      <c r="J949" s="30" t="s">
        <v>52</v>
      </c>
      <c r="K949" s="30" t="s">
        <v>47</v>
      </c>
      <c r="L949" s="30" t="s">
        <v>86</v>
      </c>
      <c r="M949" s="31" t="n">
        <f aca="false">AVERAGEIF($E$2:$E$1197,E949,$G$2:$G$1197)</f>
        <v>4981.14563106796</v>
      </c>
      <c r="N949" s="19" t="str">
        <f aca="false">IF(G949&gt;M949*3,"نعم","لا")</f>
        <v>لا</v>
      </c>
      <c r="O949" s="19" t="str">
        <f aca="false">IF(OR(C949="",ISNUMBER(C949)),"لا","نعم")</f>
        <v>لا</v>
      </c>
      <c r="P949" s="19" t="str">
        <f aca="false">IF(COUNTIF($B$2:B949,B949)&gt;1,"مكرر","فريد")</f>
        <v>فريد</v>
      </c>
      <c r="Q949" s="19" t="str">
        <f aca="false">IF(COUNTBLANK(D949:L949)&gt;0,"نعم","لا")</f>
        <v>لا</v>
      </c>
    </row>
    <row r="950" customFormat="false" ht="15" hidden="false" customHeight="false" outlineLevel="0" collapsed="false">
      <c r="A950" s="19" t="n">
        <v>949</v>
      </c>
      <c r="B950" s="30" t="s">
        <v>1118</v>
      </c>
      <c r="C950" s="44" t="n">
        <v>45611</v>
      </c>
      <c r="D950" s="30" t="s">
        <v>50</v>
      </c>
      <c r="E950" s="30" t="s">
        <v>109</v>
      </c>
      <c r="F950" s="30" t="s">
        <v>110</v>
      </c>
      <c r="G950" s="31" t="n">
        <v>219</v>
      </c>
      <c r="H950" s="19" t="n">
        <v>1</v>
      </c>
      <c r="I950" s="32" t="n">
        <v>0</v>
      </c>
      <c r="J950" s="30" t="s">
        <v>48</v>
      </c>
      <c r="K950" s="30" t="s">
        <v>47</v>
      </c>
      <c r="L950" s="30" t="s">
        <v>86</v>
      </c>
      <c r="M950" s="31" t="n">
        <f aca="false">AVERAGEIF($E$2:$E$1197,E950,$G$2:$G$1197)</f>
        <v>186.056291390729</v>
      </c>
      <c r="N950" s="19" t="str">
        <f aca="false">IF(G950&gt;M950*3,"نعم","لا")</f>
        <v>لا</v>
      </c>
      <c r="O950" s="19" t="str">
        <f aca="false">IF(OR(C950="",ISNUMBER(C950)),"لا","نعم")</f>
        <v>لا</v>
      </c>
      <c r="P950" s="19" t="str">
        <f aca="false">IF(COUNTIF($B$2:B950,B950)&gt;1,"مكرر","فريد")</f>
        <v>فريد</v>
      </c>
      <c r="Q950" s="19" t="str">
        <f aca="false">IF(COUNTBLANK(D950:L950)&gt;0,"نعم","لا")</f>
        <v>لا</v>
      </c>
    </row>
    <row r="951" customFormat="false" ht="15" hidden="false" customHeight="false" outlineLevel="0" collapsed="false">
      <c r="A951" s="19" t="n">
        <v>950</v>
      </c>
      <c r="B951" s="30" t="s">
        <v>1275</v>
      </c>
      <c r="C951" s="44" t="n">
        <v>45653</v>
      </c>
      <c r="D951" s="30" t="s">
        <v>57</v>
      </c>
      <c r="E951" s="30" t="s">
        <v>105</v>
      </c>
      <c r="F951" s="30" t="s">
        <v>90</v>
      </c>
      <c r="G951" s="31" t="n">
        <v>4209</v>
      </c>
      <c r="H951" s="19" t="n">
        <v>3</v>
      </c>
      <c r="I951" s="32" t="n">
        <v>0.05</v>
      </c>
      <c r="J951" s="30" t="s">
        <v>48</v>
      </c>
      <c r="K951" s="30" t="s">
        <v>51</v>
      </c>
      <c r="L951" s="30" t="s">
        <v>86</v>
      </c>
      <c r="M951" s="31" t="n">
        <f aca="false">AVERAGEIF($E$2:$E$1197,E951,$G$2:$G$1197)</f>
        <v>2870.26771653543</v>
      </c>
      <c r="N951" s="19" t="str">
        <f aca="false">IF(G951&gt;M951*3,"نعم","لا")</f>
        <v>لا</v>
      </c>
      <c r="O951" s="19" t="str">
        <f aca="false">IF(OR(C951="",ISNUMBER(C951)),"لا","نعم")</f>
        <v>لا</v>
      </c>
      <c r="P951" s="19" t="str">
        <f aca="false">IF(COUNTIF($B$2:B951,B951)&gt;1,"مكرر","فريد")</f>
        <v>فريد</v>
      </c>
      <c r="Q951" s="19" t="str">
        <f aca="false">IF(COUNTBLANK(D951:L951)&gt;0,"نعم","لا")</f>
        <v>لا</v>
      </c>
    </row>
    <row r="952" customFormat="false" ht="15" hidden="false" customHeight="false" outlineLevel="0" collapsed="false">
      <c r="A952" s="19" t="n">
        <v>951</v>
      </c>
      <c r="B952" s="30" t="s">
        <v>670</v>
      </c>
      <c r="C952" s="44" t="n">
        <v>45474</v>
      </c>
      <c r="D952" s="30" t="s">
        <v>54</v>
      </c>
      <c r="E952" s="30" t="s">
        <v>109</v>
      </c>
      <c r="F952" s="30" t="s">
        <v>192</v>
      </c>
      <c r="G952" s="31" t="n">
        <v>259</v>
      </c>
      <c r="H952" s="19" t="n">
        <v>1</v>
      </c>
      <c r="I952" s="32" t="n">
        <v>0</v>
      </c>
      <c r="J952" s="30" t="s">
        <v>48</v>
      </c>
      <c r="K952" s="30" t="s">
        <v>47</v>
      </c>
      <c r="L952" s="30" t="s">
        <v>76</v>
      </c>
      <c r="M952" s="31" t="n">
        <f aca="false">AVERAGEIF($E$2:$E$1197,E952,$G$2:$G$1197)</f>
        <v>186.056291390729</v>
      </c>
      <c r="N952" s="19" t="str">
        <f aca="false">IF(G952&gt;M952*3,"نعم","لا")</f>
        <v>لا</v>
      </c>
      <c r="O952" s="19" t="str">
        <f aca="false">IF(OR(C952="",ISNUMBER(C952)),"لا","نعم")</f>
        <v>لا</v>
      </c>
      <c r="P952" s="19" t="str">
        <f aca="false">IF(COUNTIF($B$2:B952,B952)&gt;1,"مكرر","فريد")</f>
        <v>فريد</v>
      </c>
      <c r="Q952" s="19" t="str">
        <f aca="false">IF(COUNTBLANK(D952:L952)&gt;0,"نعم","لا")</f>
        <v>لا</v>
      </c>
    </row>
    <row r="953" customFormat="false" ht="15" hidden="false" customHeight="false" outlineLevel="0" collapsed="false">
      <c r="A953" s="19" t="n">
        <v>952</v>
      </c>
      <c r="B953" s="30" t="s">
        <v>282</v>
      </c>
      <c r="C953" s="44" t="n">
        <v>45334</v>
      </c>
      <c r="D953" s="30" t="s">
        <v>54</v>
      </c>
      <c r="E953" s="30" t="s">
        <v>105</v>
      </c>
      <c r="F953" s="30" t="s">
        <v>90</v>
      </c>
      <c r="G953" s="31" t="n">
        <v>2729</v>
      </c>
      <c r="H953" s="19" t="n">
        <v>1</v>
      </c>
      <c r="I953" s="32" t="n">
        <v>0.05</v>
      </c>
      <c r="J953" s="30" t="s">
        <v>52</v>
      </c>
      <c r="K953" s="30" t="s">
        <v>47</v>
      </c>
      <c r="L953" s="30" t="s">
        <v>81</v>
      </c>
      <c r="M953" s="31" t="n">
        <f aca="false">AVERAGEIF($E$2:$E$1197,E953,$G$2:$G$1197)</f>
        <v>2870.26771653543</v>
      </c>
      <c r="N953" s="19" t="str">
        <f aca="false">IF(G953&gt;M953*3,"نعم","لا")</f>
        <v>لا</v>
      </c>
      <c r="O953" s="19" t="str">
        <f aca="false">IF(OR(C953="",ISNUMBER(C953)),"لا","نعم")</f>
        <v>لا</v>
      </c>
      <c r="P953" s="19" t="str">
        <f aca="false">IF(COUNTIF($B$2:B953,B953)&gt;1,"مكرر","فريد")</f>
        <v>فريد</v>
      </c>
      <c r="Q953" s="19" t="str">
        <f aca="false">IF(COUNTBLANK(D953:L953)&gt;0,"نعم","لا")</f>
        <v>لا</v>
      </c>
    </row>
    <row r="954" customFormat="false" ht="15" hidden="false" customHeight="false" outlineLevel="0" collapsed="false">
      <c r="A954" s="19" t="n">
        <v>953</v>
      </c>
      <c r="B954" s="30" t="s">
        <v>389</v>
      </c>
      <c r="C954" s="44" t="n">
        <v>45373</v>
      </c>
      <c r="D954" s="30" t="s">
        <v>57</v>
      </c>
      <c r="E954" s="30" t="s">
        <v>111</v>
      </c>
      <c r="F954" s="30" t="s">
        <v>118</v>
      </c>
      <c r="G954" s="31" t="n">
        <v>99</v>
      </c>
      <c r="H954" s="19" t="n">
        <v>1</v>
      </c>
      <c r="I954" s="32" t="n">
        <v>-0.1</v>
      </c>
      <c r="J954" s="30"/>
      <c r="K954" s="30" t="s">
        <v>47</v>
      </c>
      <c r="L954" s="30" t="s">
        <v>86</v>
      </c>
      <c r="M954" s="31" t="n">
        <f aca="false">AVERAGEIF($E$2:$E$1197,E954,$G$2:$G$1197)</f>
        <v>366.306569343066</v>
      </c>
      <c r="N954" s="19" t="str">
        <f aca="false">IF(G954&gt;M954*3,"نعم","لا")</f>
        <v>لا</v>
      </c>
      <c r="O954" s="19" t="str">
        <f aca="false">IF(OR(C954="",ISNUMBER(C954)),"لا","نعم")</f>
        <v>لا</v>
      </c>
      <c r="P954" s="19" t="str">
        <f aca="false">IF(COUNTIF($B$2:B954,B954)&gt;1,"مكرر","فريد")</f>
        <v>فريد</v>
      </c>
      <c r="Q954" s="19" t="str">
        <f aca="false">IF(COUNTBLANK(D954:L954)&gt;0,"نعم","لا")</f>
        <v>نعم</v>
      </c>
    </row>
    <row r="955" customFormat="false" ht="15" hidden="false" customHeight="false" outlineLevel="0" collapsed="false">
      <c r="A955" s="19" t="n">
        <v>954</v>
      </c>
      <c r="B955" s="30" t="s">
        <v>1123</v>
      </c>
      <c r="C955" s="44" t="n">
        <v>45612</v>
      </c>
      <c r="D955" s="30" t="s">
        <v>60</v>
      </c>
      <c r="E955" s="30" t="s">
        <v>111</v>
      </c>
      <c r="F955" s="30" t="s">
        <v>118</v>
      </c>
      <c r="G955" s="31" t="n">
        <v>519</v>
      </c>
      <c r="H955" s="19" t="n">
        <v>3</v>
      </c>
      <c r="I955" s="32" t="n">
        <v>0</v>
      </c>
      <c r="J955" s="30" t="s">
        <v>58</v>
      </c>
      <c r="K955" s="30" t="s">
        <v>47</v>
      </c>
      <c r="L955" s="30" t="s">
        <v>81</v>
      </c>
      <c r="M955" s="31" t="n">
        <f aca="false">AVERAGEIF($E$2:$E$1197,E955,$G$2:$G$1197)</f>
        <v>366.306569343066</v>
      </c>
      <c r="N955" s="19" t="str">
        <f aca="false">IF(G955&gt;M955*3,"نعم","لا")</f>
        <v>لا</v>
      </c>
      <c r="O955" s="19" t="str">
        <f aca="false">IF(OR(C955="",ISNUMBER(C955)),"لا","نعم")</f>
        <v>لا</v>
      </c>
      <c r="P955" s="19" t="str">
        <f aca="false">IF(COUNTIF($B$2:B955,B955)&gt;1,"مكرر","فريد")</f>
        <v>فريد</v>
      </c>
      <c r="Q955" s="19" t="str">
        <f aca="false">IF(COUNTBLANK(D955:L955)&gt;0,"نعم","لا")</f>
        <v>لا</v>
      </c>
    </row>
    <row r="956" customFormat="false" ht="15" hidden="false" customHeight="false" outlineLevel="0" collapsed="false">
      <c r="A956" s="19" t="n">
        <v>955</v>
      </c>
      <c r="B956" s="30" t="s">
        <v>998</v>
      </c>
      <c r="C956" s="44" t="n">
        <v>45583</v>
      </c>
      <c r="D956" s="30" t="s">
        <v>46</v>
      </c>
      <c r="E956" s="30" t="s">
        <v>105</v>
      </c>
      <c r="F956" s="30" t="s">
        <v>85</v>
      </c>
      <c r="G956" s="31" t="n">
        <v>2109</v>
      </c>
      <c r="H956" s="19" t="n">
        <v>5</v>
      </c>
      <c r="I956" s="32" t="n">
        <v>0.05</v>
      </c>
      <c r="J956" s="30" t="s">
        <v>48</v>
      </c>
      <c r="K956" s="30" t="s">
        <v>51</v>
      </c>
      <c r="L956" s="30" t="s">
        <v>96</v>
      </c>
      <c r="M956" s="31" t="n">
        <f aca="false">AVERAGEIF($E$2:$E$1197,E956,$G$2:$G$1197)</f>
        <v>2870.26771653543</v>
      </c>
      <c r="N956" s="19" t="str">
        <f aca="false">IF(G956&gt;M956*3,"نعم","لا")</f>
        <v>لا</v>
      </c>
      <c r="O956" s="19" t="str">
        <f aca="false">IF(OR(C956="",ISNUMBER(C956)),"لا","نعم")</f>
        <v>لا</v>
      </c>
      <c r="P956" s="19" t="str">
        <f aca="false">IF(COUNTIF($B$2:B956,B956)&gt;1,"مكرر","فريد")</f>
        <v>فريد</v>
      </c>
      <c r="Q956" s="19" t="str">
        <f aca="false">IF(COUNTBLANK(D956:L956)&gt;0,"نعم","لا")</f>
        <v>لا</v>
      </c>
    </row>
    <row r="957" customFormat="false" ht="15" hidden="false" customHeight="false" outlineLevel="0" collapsed="false">
      <c r="A957" s="19" t="n">
        <v>956</v>
      </c>
      <c r="B957" s="30" t="s">
        <v>275</v>
      </c>
      <c r="C957" s="44" t="n">
        <v>45330</v>
      </c>
      <c r="D957" s="30" t="s">
        <v>50</v>
      </c>
      <c r="E957" s="30" t="s">
        <v>111</v>
      </c>
      <c r="F957" s="30" t="s">
        <v>108</v>
      </c>
      <c r="G957" s="31" t="n">
        <v>439</v>
      </c>
      <c r="H957" s="19" t="n">
        <v>2</v>
      </c>
      <c r="I957" s="32" t="n">
        <v>0</v>
      </c>
      <c r="J957" s="30" t="s">
        <v>48</v>
      </c>
      <c r="K957" s="30" t="s">
        <v>51</v>
      </c>
      <c r="L957" s="30" t="s">
        <v>99</v>
      </c>
      <c r="M957" s="31" t="n">
        <f aca="false">AVERAGEIF($E$2:$E$1197,E957,$G$2:$G$1197)</f>
        <v>366.306569343066</v>
      </c>
      <c r="N957" s="19" t="str">
        <f aca="false">IF(G957&gt;M957*3,"نعم","لا")</f>
        <v>لا</v>
      </c>
      <c r="O957" s="19" t="str">
        <f aca="false">IF(OR(C957="",ISNUMBER(C957)),"لا","نعم")</f>
        <v>لا</v>
      </c>
      <c r="P957" s="19" t="str">
        <f aca="false">IF(COUNTIF($B$2:B957,B957)&gt;1,"مكرر","فريد")</f>
        <v>فريد</v>
      </c>
      <c r="Q957" s="19" t="str">
        <f aca="false">IF(COUNTBLANK(D957:L957)&gt;0,"نعم","لا")</f>
        <v>لا</v>
      </c>
    </row>
    <row r="958" customFormat="false" ht="15" hidden="false" customHeight="false" outlineLevel="0" collapsed="false">
      <c r="A958" s="19" t="n">
        <v>957</v>
      </c>
      <c r="B958" s="30" t="s">
        <v>581</v>
      </c>
      <c r="C958" s="44" t="n">
        <v>45445</v>
      </c>
      <c r="D958" s="30" t="s">
        <v>46</v>
      </c>
      <c r="E958" s="30" t="s">
        <v>107</v>
      </c>
      <c r="F958" s="30" t="s">
        <v>184</v>
      </c>
      <c r="G958" s="31" t="n">
        <v>2999</v>
      </c>
      <c r="H958" s="19" t="n">
        <v>1</v>
      </c>
      <c r="I958" s="32" t="n">
        <v>0.15</v>
      </c>
      <c r="J958" s="30" t="s">
        <v>52</v>
      </c>
      <c r="K958" s="30" t="s">
        <v>47</v>
      </c>
      <c r="L958" s="30" t="s">
        <v>89</v>
      </c>
      <c r="M958" s="31" t="n">
        <f aca="false">AVERAGEIF($E$2:$E$1197,E958,$G$2:$G$1197)</f>
        <v>4981.14563106796</v>
      </c>
      <c r="N958" s="19" t="str">
        <f aca="false">IF(G958&gt;M958*3,"نعم","لا")</f>
        <v>لا</v>
      </c>
      <c r="O958" s="19" t="str">
        <f aca="false">IF(OR(C958="",ISNUMBER(C958)),"لا","نعم")</f>
        <v>لا</v>
      </c>
      <c r="P958" s="19" t="str">
        <f aca="false">IF(COUNTIF($B$2:B958,B958)&gt;1,"مكرر","فريد")</f>
        <v>فريد</v>
      </c>
      <c r="Q958" s="19" t="str">
        <f aca="false">IF(COUNTBLANK(D958:L958)&gt;0,"نعم","لا")</f>
        <v>لا</v>
      </c>
    </row>
    <row r="959" customFormat="false" ht="15" hidden="false" customHeight="false" outlineLevel="0" collapsed="false">
      <c r="A959" s="19" t="n">
        <v>958</v>
      </c>
      <c r="B959" s="30" t="s">
        <v>580</v>
      </c>
      <c r="C959" s="44" t="n">
        <v>45444</v>
      </c>
      <c r="D959" s="30" t="s">
        <v>60</v>
      </c>
      <c r="E959" s="30" t="s">
        <v>111</v>
      </c>
      <c r="F959" s="30" t="s">
        <v>118</v>
      </c>
      <c r="G959" s="31" t="n">
        <v>389</v>
      </c>
      <c r="H959" s="19" t="n">
        <v>1</v>
      </c>
      <c r="I959" s="32" t="n">
        <v>0</v>
      </c>
      <c r="J959" s="30" t="s">
        <v>55</v>
      </c>
      <c r="K959" s="30" t="s">
        <v>47</v>
      </c>
      <c r="L959" s="30" t="s">
        <v>96</v>
      </c>
      <c r="M959" s="31" t="n">
        <f aca="false">AVERAGEIF($E$2:$E$1197,E959,$G$2:$G$1197)</f>
        <v>366.306569343066</v>
      </c>
      <c r="N959" s="19" t="str">
        <f aca="false">IF(G959&gt;M959*3,"نعم","لا")</f>
        <v>لا</v>
      </c>
      <c r="O959" s="19" t="str">
        <f aca="false">IF(OR(C959="",ISNUMBER(C959)),"لا","نعم")</f>
        <v>لا</v>
      </c>
      <c r="P959" s="19" t="str">
        <f aca="false">IF(COUNTIF($B$2:B959,B959)&gt;1,"مكرر","فريد")</f>
        <v>فريد</v>
      </c>
      <c r="Q959" s="19" t="str">
        <f aca="false">IF(COUNTBLANK(D959:L959)&gt;0,"نعم","لا")</f>
        <v>لا</v>
      </c>
    </row>
    <row r="960" customFormat="false" ht="15" hidden="false" customHeight="false" outlineLevel="0" collapsed="false">
      <c r="A960" s="19" t="n">
        <v>959</v>
      </c>
      <c r="B960" s="30" t="s">
        <v>776</v>
      </c>
      <c r="C960" s="44" t="n">
        <v>45510</v>
      </c>
      <c r="D960" s="30" t="s">
        <v>54</v>
      </c>
      <c r="E960" s="30" t="s">
        <v>113</v>
      </c>
      <c r="F960" s="30" t="s">
        <v>95</v>
      </c>
      <c r="G960" s="31" t="n">
        <v>539</v>
      </c>
      <c r="H960" s="19" t="n">
        <v>2</v>
      </c>
      <c r="I960" s="32" t="n">
        <v>0.05</v>
      </c>
      <c r="J960" s="30" t="s">
        <v>48</v>
      </c>
      <c r="K960" s="30" t="s">
        <v>47</v>
      </c>
      <c r="L960" s="30" t="s">
        <v>78</v>
      </c>
      <c r="M960" s="31" t="n">
        <f aca="false">AVERAGEIF($E$2:$E$1197,E960,$G$2:$G$1197)</f>
        <v>545.358823529412</v>
      </c>
      <c r="N960" s="19" t="str">
        <f aca="false">IF(G960&gt;M960*3,"نعم","لا")</f>
        <v>لا</v>
      </c>
      <c r="O960" s="19" t="str">
        <f aca="false">IF(OR(C960="",ISNUMBER(C960)),"لا","نعم")</f>
        <v>لا</v>
      </c>
      <c r="P960" s="19" t="str">
        <f aca="false">IF(COUNTIF($B$2:B960,B960)&gt;1,"مكرر","فريد")</f>
        <v>فريد</v>
      </c>
      <c r="Q960" s="19" t="str">
        <f aca="false">IF(COUNTBLANK(D960:L960)&gt;0,"نعم","لا")</f>
        <v>لا</v>
      </c>
    </row>
    <row r="961" customFormat="false" ht="15" hidden="false" customHeight="false" outlineLevel="0" collapsed="false">
      <c r="A961" s="19" t="n">
        <v>960</v>
      </c>
      <c r="B961" s="30" t="s">
        <v>739</v>
      </c>
      <c r="C961" s="44" t="n">
        <v>45498</v>
      </c>
      <c r="D961" s="30" t="s">
        <v>46</v>
      </c>
      <c r="E961" s="30" t="s">
        <v>111</v>
      </c>
      <c r="F961" s="30" t="s">
        <v>118</v>
      </c>
      <c r="G961" s="31" t="n">
        <v>179</v>
      </c>
      <c r="H961" s="19" t="n">
        <v>1</v>
      </c>
      <c r="I961" s="32" t="n">
        <v>0.05</v>
      </c>
      <c r="J961" s="30" t="s">
        <v>52</v>
      </c>
      <c r="K961" s="30" t="s">
        <v>47</v>
      </c>
      <c r="L961" s="30" t="s">
        <v>94</v>
      </c>
      <c r="M961" s="31" t="n">
        <f aca="false">AVERAGEIF($E$2:$E$1197,E961,$G$2:$G$1197)</f>
        <v>366.306569343066</v>
      </c>
      <c r="N961" s="19" t="str">
        <f aca="false">IF(G961&gt;M961*3,"نعم","لا")</f>
        <v>لا</v>
      </c>
      <c r="O961" s="19" t="str">
        <f aca="false">IF(OR(C961="",ISNUMBER(C961)),"لا","نعم")</f>
        <v>لا</v>
      </c>
      <c r="P961" s="19" t="str">
        <f aca="false">IF(COUNTIF($B$2:B961,B961)&gt;1,"مكرر","فريد")</f>
        <v>فريد</v>
      </c>
      <c r="Q961" s="19" t="str">
        <f aca="false">IF(COUNTBLANK(D961:L961)&gt;0,"نعم","لا")</f>
        <v>لا</v>
      </c>
    </row>
    <row r="962" customFormat="false" ht="15" hidden="false" customHeight="false" outlineLevel="0" collapsed="false">
      <c r="A962" s="19" t="n">
        <v>961</v>
      </c>
      <c r="B962" s="30" t="s">
        <v>1243</v>
      </c>
      <c r="C962" s="44" t="n">
        <v>45643</v>
      </c>
      <c r="D962" s="30" t="s">
        <v>50</v>
      </c>
      <c r="E962" s="30" t="s">
        <v>109</v>
      </c>
      <c r="F962" s="30" t="s">
        <v>171</v>
      </c>
      <c r="G962" s="31" t="n">
        <v>269</v>
      </c>
      <c r="H962" s="19" t="n">
        <v>8</v>
      </c>
      <c r="I962" s="32" t="n">
        <v>0</v>
      </c>
      <c r="J962" s="30" t="s">
        <v>55</v>
      </c>
      <c r="K962" s="30" t="s">
        <v>51</v>
      </c>
      <c r="L962" s="30" t="s">
        <v>86</v>
      </c>
      <c r="M962" s="31" t="n">
        <f aca="false">AVERAGEIF($E$2:$E$1197,E962,$G$2:$G$1197)</f>
        <v>186.056291390729</v>
      </c>
      <c r="N962" s="19" t="str">
        <f aca="false">IF(G962&gt;M962*3,"نعم","لا")</f>
        <v>لا</v>
      </c>
      <c r="O962" s="19" t="str">
        <f aca="false">IF(OR(C962="",ISNUMBER(C962)),"لا","نعم")</f>
        <v>لا</v>
      </c>
      <c r="P962" s="19" t="str">
        <f aca="false">IF(COUNTIF($B$2:B962,B962)&gt;1,"مكرر","فريد")</f>
        <v>فريد</v>
      </c>
      <c r="Q962" s="19" t="str">
        <f aca="false">IF(COUNTBLANK(D962:L962)&gt;0,"نعم","لا")</f>
        <v>لا</v>
      </c>
    </row>
    <row r="963" customFormat="false" ht="15" hidden="false" customHeight="false" outlineLevel="0" collapsed="false">
      <c r="A963" s="19" t="n">
        <v>962</v>
      </c>
      <c r="B963" s="30" t="s">
        <v>1066</v>
      </c>
      <c r="C963" s="30" t="s">
        <v>1482</v>
      </c>
      <c r="D963" s="30" t="s">
        <v>60</v>
      </c>
      <c r="E963" s="30" t="s">
        <v>109</v>
      </c>
      <c r="F963" s="30" t="s">
        <v>175</v>
      </c>
      <c r="G963" s="31" t="n">
        <v>59</v>
      </c>
      <c r="H963" s="19" t="n">
        <v>1</v>
      </c>
      <c r="I963" s="32" t="n">
        <v>0.1</v>
      </c>
      <c r="J963" s="30" t="s">
        <v>48</v>
      </c>
      <c r="K963" s="30" t="s">
        <v>47</v>
      </c>
      <c r="L963" s="30" t="s">
        <v>78</v>
      </c>
      <c r="M963" s="31" t="n">
        <f aca="false">AVERAGEIF($E$2:$E$1197,E963,$G$2:$G$1197)</f>
        <v>186.056291390729</v>
      </c>
      <c r="N963" s="19" t="str">
        <f aca="false">IF(G963&gt;M963*3,"نعم","لا")</f>
        <v>لا</v>
      </c>
      <c r="O963" s="19" t="str">
        <f aca="false">IF(OR(C963="",ISNUMBER(C963)),"لا","نعم")</f>
        <v>نعم</v>
      </c>
      <c r="P963" s="19" t="str">
        <f aca="false">IF(COUNTIF($B$2:B963,B963)&gt;1,"مكرر","فريد")</f>
        <v>مكرر</v>
      </c>
      <c r="Q963" s="19" t="str">
        <f aca="false">IF(COUNTBLANK(D963:L963)&gt;0,"نعم","لا")</f>
        <v>لا</v>
      </c>
    </row>
    <row r="964" customFormat="false" ht="15" hidden="false" customHeight="false" outlineLevel="0" collapsed="false">
      <c r="A964" s="19" t="n">
        <v>963</v>
      </c>
      <c r="B964" s="30" t="s">
        <v>824</v>
      </c>
      <c r="C964" s="44" t="n">
        <v>45522</v>
      </c>
      <c r="D964" s="30" t="s">
        <v>60</v>
      </c>
      <c r="E964" s="30" t="s">
        <v>105</v>
      </c>
      <c r="F964" s="30" t="s">
        <v>179</v>
      </c>
      <c r="G964" s="31" t="n">
        <v>969</v>
      </c>
      <c r="H964" s="19" t="n">
        <v>1</v>
      </c>
      <c r="I964" s="32" t="n">
        <v>0.1</v>
      </c>
      <c r="J964" s="30" t="s">
        <v>55</v>
      </c>
      <c r="K964" s="30" t="s">
        <v>47</v>
      </c>
      <c r="L964" s="30" t="s">
        <v>81</v>
      </c>
      <c r="M964" s="31" t="n">
        <f aca="false">AVERAGEIF($E$2:$E$1197,E964,$G$2:$G$1197)</f>
        <v>2870.26771653543</v>
      </c>
      <c r="N964" s="19" t="str">
        <f aca="false">IF(G964&gt;M964*3,"نعم","لا")</f>
        <v>لا</v>
      </c>
      <c r="O964" s="19" t="str">
        <f aca="false">IF(OR(C964="",ISNUMBER(C964)),"لا","نعم")</f>
        <v>لا</v>
      </c>
      <c r="P964" s="19" t="str">
        <f aca="false">IF(COUNTIF($B$2:B964,B964)&gt;1,"مكرر","فريد")</f>
        <v>فريد</v>
      </c>
      <c r="Q964" s="19" t="str">
        <f aca="false">IF(COUNTBLANK(D964:L964)&gt;0,"نعم","لا")</f>
        <v>لا</v>
      </c>
    </row>
    <row r="965" customFormat="false" ht="15" hidden="false" customHeight="false" outlineLevel="0" collapsed="false">
      <c r="A965" s="19" t="n">
        <v>964</v>
      </c>
      <c r="B965" s="30" t="s">
        <v>291</v>
      </c>
      <c r="C965" s="30" t="s">
        <v>1483</v>
      </c>
      <c r="D965" s="30" t="s">
        <v>1390</v>
      </c>
      <c r="E965" s="30" t="s">
        <v>113</v>
      </c>
      <c r="F965" s="30" t="s">
        <v>95</v>
      </c>
      <c r="G965" s="31" t="n">
        <v>499</v>
      </c>
      <c r="H965" s="19" t="n">
        <v>1</v>
      </c>
      <c r="I965" s="32" t="n">
        <v>0.05</v>
      </c>
      <c r="J965" s="30" t="s">
        <v>55</v>
      </c>
      <c r="K965" s="30" t="s">
        <v>47</v>
      </c>
      <c r="L965" s="30" t="s">
        <v>92</v>
      </c>
      <c r="M965" s="31" t="n">
        <f aca="false">AVERAGEIF($E$2:$E$1197,E965,$G$2:$G$1197)</f>
        <v>545.358823529412</v>
      </c>
      <c r="N965" s="19" t="str">
        <f aca="false">IF(G965&gt;M965*3,"نعم","لا")</f>
        <v>لا</v>
      </c>
      <c r="O965" s="19" t="str">
        <f aca="false">IF(OR(C965="",ISNUMBER(C965)),"لا","نعم")</f>
        <v>نعم</v>
      </c>
      <c r="P965" s="19" t="str">
        <f aca="false">IF(COUNTIF($B$2:B965,B965)&gt;1,"مكرر","فريد")</f>
        <v>فريد</v>
      </c>
      <c r="Q965" s="19" t="str">
        <f aca="false">IF(COUNTBLANK(D965:L965)&gt;0,"نعم","لا")</f>
        <v>لا</v>
      </c>
    </row>
    <row r="966" customFormat="false" ht="15" hidden="false" customHeight="false" outlineLevel="0" collapsed="false">
      <c r="A966" s="19" t="n">
        <v>965</v>
      </c>
      <c r="B966" s="30" t="s">
        <v>1484</v>
      </c>
      <c r="C966" s="44" t="n">
        <v>45311</v>
      </c>
      <c r="D966" s="30" t="s">
        <v>50</v>
      </c>
      <c r="E966" s="30" t="s">
        <v>113</v>
      </c>
      <c r="F966" s="30" t="s">
        <v>97</v>
      </c>
      <c r="G966" s="31" t="n">
        <v>279</v>
      </c>
      <c r="H966" s="19" t="n">
        <v>-1</v>
      </c>
      <c r="I966" s="32" t="n">
        <v>0</v>
      </c>
      <c r="J966" s="30" t="s">
        <v>52</v>
      </c>
      <c r="K966" s="30" t="s">
        <v>47</v>
      </c>
      <c r="L966" s="30" t="s">
        <v>96</v>
      </c>
      <c r="M966" s="31" t="n">
        <f aca="false">AVERAGEIF($E$2:$E$1197,E966,$G$2:$G$1197)</f>
        <v>545.358823529412</v>
      </c>
      <c r="N966" s="19" t="str">
        <f aca="false">IF(G966&gt;M966*3,"نعم","لا")</f>
        <v>لا</v>
      </c>
      <c r="O966" s="19" t="str">
        <f aca="false">IF(OR(C966="",ISNUMBER(C966)),"لا","نعم")</f>
        <v>لا</v>
      </c>
      <c r="P966" s="19" t="str">
        <f aca="false">IF(COUNTIF($B$2:B966,B966)&gt;1,"مكرر","فريد")</f>
        <v>فريد</v>
      </c>
      <c r="Q966" s="19" t="str">
        <f aca="false">IF(COUNTBLANK(D966:L966)&gt;0,"نعم","لا")</f>
        <v>لا</v>
      </c>
    </row>
    <row r="967" customFormat="false" ht="15" hidden="false" customHeight="false" outlineLevel="0" collapsed="false">
      <c r="A967" s="19" t="n">
        <v>966</v>
      </c>
      <c r="B967" s="30" t="s">
        <v>319</v>
      </c>
      <c r="C967" s="44" t="n">
        <v>45349</v>
      </c>
      <c r="D967" s="30" t="s">
        <v>50</v>
      </c>
      <c r="E967" s="30" t="s">
        <v>111</v>
      </c>
      <c r="F967" s="30" t="s">
        <v>122</v>
      </c>
      <c r="G967" s="31" t="n">
        <v>209</v>
      </c>
      <c r="H967" s="19" t="n">
        <v>1</v>
      </c>
      <c r="I967" s="32" t="n">
        <v>0.15</v>
      </c>
      <c r="J967" s="30" t="s">
        <v>52</v>
      </c>
      <c r="K967" s="30" t="s">
        <v>47</v>
      </c>
      <c r="L967" s="30" t="s">
        <v>84</v>
      </c>
      <c r="M967" s="31" t="n">
        <f aca="false">AVERAGEIF($E$2:$E$1197,E967,$G$2:$G$1197)</f>
        <v>366.306569343066</v>
      </c>
      <c r="N967" s="19" t="str">
        <f aca="false">IF(G967&gt;M967*3,"نعم","لا")</f>
        <v>لا</v>
      </c>
      <c r="O967" s="19" t="str">
        <f aca="false">IF(OR(C967="",ISNUMBER(C967)),"لا","نعم")</f>
        <v>لا</v>
      </c>
      <c r="P967" s="19" t="str">
        <f aca="false">IF(COUNTIF($B$2:B967,B967)&gt;1,"مكرر","فريد")</f>
        <v>فريد</v>
      </c>
      <c r="Q967" s="19" t="str">
        <f aca="false">IF(COUNTBLANK(D967:L967)&gt;0,"نعم","لا")</f>
        <v>لا</v>
      </c>
    </row>
    <row r="968" customFormat="false" ht="15" hidden="false" customHeight="false" outlineLevel="0" collapsed="false">
      <c r="A968" s="19" t="n">
        <v>967</v>
      </c>
      <c r="B968" s="30" t="s">
        <v>564</v>
      </c>
      <c r="C968" s="44" t="n">
        <v>45436</v>
      </c>
      <c r="D968" s="30" t="s">
        <v>50</v>
      </c>
      <c r="E968" s="30" t="s">
        <v>111</v>
      </c>
      <c r="F968" s="30" t="s">
        <v>108</v>
      </c>
      <c r="G968" s="31" t="n">
        <v>489</v>
      </c>
      <c r="H968" s="19" t="n">
        <v>2</v>
      </c>
      <c r="I968" s="32" t="n">
        <v>0.2</v>
      </c>
      <c r="J968" s="30" t="s">
        <v>48</v>
      </c>
      <c r="K968" s="30" t="s">
        <v>47</v>
      </c>
      <c r="L968" s="30" t="s">
        <v>94</v>
      </c>
      <c r="M968" s="31" t="n">
        <f aca="false">AVERAGEIF($E$2:$E$1197,E968,$G$2:$G$1197)</f>
        <v>366.306569343066</v>
      </c>
      <c r="N968" s="19" t="str">
        <f aca="false">IF(G968&gt;M968*3,"نعم","لا")</f>
        <v>لا</v>
      </c>
      <c r="O968" s="19" t="str">
        <f aca="false">IF(OR(C968="",ISNUMBER(C968)),"لا","نعم")</f>
        <v>لا</v>
      </c>
      <c r="P968" s="19" t="str">
        <f aca="false">IF(COUNTIF($B$2:B968,B968)&gt;1,"مكرر","فريد")</f>
        <v>فريد</v>
      </c>
      <c r="Q968" s="19" t="str">
        <f aca="false">IF(COUNTBLANK(D968:L968)&gt;0,"نعم","لا")</f>
        <v>لا</v>
      </c>
    </row>
    <row r="969" customFormat="false" ht="15" hidden="false" customHeight="false" outlineLevel="0" collapsed="false">
      <c r="A969" s="19" t="n">
        <v>968</v>
      </c>
      <c r="B969" s="30" t="s">
        <v>534</v>
      </c>
      <c r="C969" s="44" t="n">
        <v>45426</v>
      </c>
      <c r="D969" s="30" t="s">
        <v>50</v>
      </c>
      <c r="E969" s="30" t="s">
        <v>109</v>
      </c>
      <c r="F969" s="30" t="s">
        <v>192</v>
      </c>
      <c r="G969" s="31" t="n">
        <v>79</v>
      </c>
      <c r="H969" s="19" t="n">
        <v>2</v>
      </c>
      <c r="I969" s="32" t="n">
        <v>0.1</v>
      </c>
      <c r="J969" s="30" t="s">
        <v>48</v>
      </c>
      <c r="K969" s="30" t="s">
        <v>47</v>
      </c>
      <c r="L969" s="30" t="s">
        <v>84</v>
      </c>
      <c r="M969" s="31" t="n">
        <f aca="false">AVERAGEIF($E$2:$E$1197,E969,$G$2:$G$1197)</f>
        <v>186.056291390729</v>
      </c>
      <c r="N969" s="19" t="str">
        <f aca="false">IF(G969&gt;M969*3,"نعم","لا")</f>
        <v>لا</v>
      </c>
      <c r="O969" s="19" t="str">
        <f aca="false">IF(OR(C969="",ISNUMBER(C969)),"لا","نعم")</f>
        <v>لا</v>
      </c>
      <c r="P969" s="19" t="str">
        <f aca="false">IF(COUNTIF($B$2:B969,B969)&gt;1,"مكرر","فريد")</f>
        <v>مكرر</v>
      </c>
      <c r="Q969" s="19" t="str">
        <f aca="false">IF(COUNTBLANK(D969:L969)&gt;0,"نعم","لا")</f>
        <v>لا</v>
      </c>
    </row>
    <row r="970" customFormat="false" ht="15" hidden="false" customHeight="false" outlineLevel="0" collapsed="false">
      <c r="A970" s="19" t="n">
        <v>969</v>
      </c>
      <c r="B970" s="30" t="s">
        <v>375</v>
      </c>
      <c r="C970" s="44" t="n">
        <v>45368</v>
      </c>
      <c r="D970" s="30" t="s">
        <v>60</v>
      </c>
      <c r="E970" s="30" t="s">
        <v>109</v>
      </c>
      <c r="F970" s="30" t="s">
        <v>171</v>
      </c>
      <c r="G970" s="31" t="n">
        <v>289</v>
      </c>
      <c r="H970" s="19" t="n">
        <v>2</v>
      </c>
      <c r="I970" s="32" t="n">
        <v>0</v>
      </c>
      <c r="J970" s="30" t="s">
        <v>48</v>
      </c>
      <c r="K970" s="30" t="s">
        <v>51</v>
      </c>
      <c r="L970" s="30" t="s">
        <v>99</v>
      </c>
      <c r="M970" s="31" t="n">
        <f aca="false">AVERAGEIF($E$2:$E$1197,E970,$G$2:$G$1197)</f>
        <v>186.056291390729</v>
      </c>
      <c r="N970" s="19" t="str">
        <f aca="false">IF(G970&gt;M970*3,"نعم","لا")</f>
        <v>لا</v>
      </c>
      <c r="O970" s="19" t="str">
        <f aca="false">IF(OR(C970="",ISNUMBER(C970)),"لا","نعم")</f>
        <v>لا</v>
      </c>
      <c r="P970" s="19" t="str">
        <f aca="false">IF(COUNTIF($B$2:B970,B970)&gt;1,"مكرر","فريد")</f>
        <v>فريد</v>
      </c>
      <c r="Q970" s="19" t="str">
        <f aca="false">IF(COUNTBLANK(D970:L970)&gt;0,"نعم","لا")</f>
        <v>لا</v>
      </c>
    </row>
    <row r="971" customFormat="false" ht="15" hidden="false" customHeight="false" outlineLevel="0" collapsed="false">
      <c r="A971" s="19" t="n">
        <v>970</v>
      </c>
      <c r="B971" s="30" t="s">
        <v>915</v>
      </c>
      <c r="C971" s="44" t="n">
        <v>45553</v>
      </c>
      <c r="D971" s="30" t="s">
        <v>54</v>
      </c>
      <c r="E971" s="30" t="s">
        <v>109</v>
      </c>
      <c r="F971" s="30" t="s">
        <v>93</v>
      </c>
      <c r="G971" s="31" t="n">
        <v>129</v>
      </c>
      <c r="H971" s="19" t="n">
        <v>1</v>
      </c>
      <c r="I971" s="32" t="n">
        <v>0.15</v>
      </c>
      <c r="J971" s="30" t="s">
        <v>58</v>
      </c>
      <c r="K971" s="30" t="s">
        <v>47</v>
      </c>
      <c r="L971" s="30" t="s">
        <v>86</v>
      </c>
      <c r="M971" s="31" t="n">
        <f aca="false">AVERAGEIF($E$2:$E$1197,E971,$G$2:$G$1197)</f>
        <v>186.056291390729</v>
      </c>
      <c r="N971" s="19" t="str">
        <f aca="false">IF(G971&gt;M971*3,"نعم","لا")</f>
        <v>لا</v>
      </c>
      <c r="O971" s="19" t="str">
        <f aca="false">IF(OR(C971="",ISNUMBER(C971)),"لا","نعم")</f>
        <v>لا</v>
      </c>
      <c r="P971" s="19" t="str">
        <f aca="false">IF(COUNTIF($B$2:B971,B971)&gt;1,"مكرر","فريد")</f>
        <v>فريد</v>
      </c>
      <c r="Q971" s="19" t="str">
        <f aca="false">IF(COUNTBLANK(D971:L971)&gt;0,"نعم","لا")</f>
        <v>لا</v>
      </c>
    </row>
    <row r="972" customFormat="false" ht="15" hidden="false" customHeight="false" outlineLevel="0" collapsed="false">
      <c r="A972" s="19" t="n">
        <v>971</v>
      </c>
      <c r="B972" s="30" t="s">
        <v>1485</v>
      </c>
      <c r="C972" s="30" t="s">
        <v>1432</v>
      </c>
      <c r="D972" s="30"/>
      <c r="E972" s="30" t="s">
        <v>105</v>
      </c>
      <c r="F972" s="30" t="s">
        <v>179</v>
      </c>
      <c r="G972" s="31" t="n">
        <v>979</v>
      </c>
      <c r="H972" s="19" t="n">
        <v>1</v>
      </c>
      <c r="I972" s="32" t="n">
        <v>0</v>
      </c>
      <c r="J972" s="30" t="s">
        <v>52</v>
      </c>
      <c r="K972" s="30" t="s">
        <v>51</v>
      </c>
      <c r="L972" s="30" t="s">
        <v>99</v>
      </c>
      <c r="M972" s="31" t="n">
        <f aca="false">AVERAGEIF($E$2:$E$1197,E972,$G$2:$G$1197)</f>
        <v>2870.26771653543</v>
      </c>
      <c r="N972" s="19" t="str">
        <f aca="false">IF(G972&gt;M972*3,"نعم","لا")</f>
        <v>لا</v>
      </c>
      <c r="O972" s="19" t="str">
        <f aca="false">IF(OR(C972="",ISNUMBER(C972)),"لا","نعم")</f>
        <v>نعم</v>
      </c>
      <c r="P972" s="19" t="str">
        <f aca="false">IF(COUNTIF($B$2:B972,B972)&gt;1,"مكرر","فريد")</f>
        <v>فريد</v>
      </c>
      <c r="Q972" s="19" t="str">
        <f aca="false">IF(COUNTBLANK(D972:L972)&gt;0,"نعم","لا")</f>
        <v>نعم</v>
      </c>
    </row>
    <row r="973" customFormat="false" ht="15" hidden="false" customHeight="false" outlineLevel="0" collapsed="false">
      <c r="A973" s="19" t="n">
        <v>972</v>
      </c>
      <c r="B973" s="30" t="s">
        <v>1237</v>
      </c>
      <c r="C973" s="30" t="s">
        <v>1486</v>
      </c>
      <c r="D973" s="30" t="s">
        <v>60</v>
      </c>
      <c r="E973" s="30" t="s">
        <v>107</v>
      </c>
      <c r="F973" s="30" t="s">
        <v>114</v>
      </c>
      <c r="G973" s="31" t="n">
        <v>6249</v>
      </c>
      <c r="H973" s="19" t="n">
        <v>1</v>
      </c>
      <c r="I973" s="32" t="n">
        <v>0</v>
      </c>
      <c r="J973" s="30" t="s">
        <v>52</v>
      </c>
      <c r="K973" s="30" t="s">
        <v>47</v>
      </c>
      <c r="L973" s="30" t="s">
        <v>84</v>
      </c>
      <c r="M973" s="31" t="n">
        <f aca="false">AVERAGEIF($E$2:$E$1197,E973,$G$2:$G$1197)</f>
        <v>4981.14563106796</v>
      </c>
      <c r="N973" s="19" t="str">
        <f aca="false">IF(G973&gt;M973*3,"نعم","لا")</f>
        <v>لا</v>
      </c>
      <c r="O973" s="19" t="str">
        <f aca="false">IF(OR(C973="",ISNUMBER(C973)),"لا","نعم")</f>
        <v>نعم</v>
      </c>
      <c r="P973" s="19" t="str">
        <f aca="false">IF(COUNTIF($B$2:B973,B973)&gt;1,"مكرر","فريد")</f>
        <v>فريد</v>
      </c>
      <c r="Q973" s="19" t="str">
        <f aca="false">IF(COUNTBLANK(D973:L973)&gt;0,"نعم","لا")</f>
        <v>لا</v>
      </c>
    </row>
    <row r="974" customFormat="false" ht="15" hidden="false" customHeight="false" outlineLevel="0" collapsed="false">
      <c r="A974" s="19" t="n">
        <v>973</v>
      </c>
      <c r="B974" s="30" t="s">
        <v>398</v>
      </c>
      <c r="C974" s="44" t="n">
        <v>45376</v>
      </c>
      <c r="D974" s="30" t="s">
        <v>46</v>
      </c>
      <c r="E974" s="30" t="s">
        <v>105</v>
      </c>
      <c r="F974" s="30" t="s">
        <v>90</v>
      </c>
      <c r="G974" s="31" t="n">
        <v>2959</v>
      </c>
      <c r="H974" s="19" t="n">
        <v>2</v>
      </c>
      <c r="I974" s="32" t="n">
        <v>0.1</v>
      </c>
      <c r="J974" s="30" t="s">
        <v>48</v>
      </c>
      <c r="K974" s="30" t="s">
        <v>47</v>
      </c>
      <c r="L974" s="30" t="s">
        <v>84</v>
      </c>
      <c r="M974" s="31" t="n">
        <f aca="false">AVERAGEIF($E$2:$E$1197,E974,$G$2:$G$1197)</f>
        <v>2870.26771653543</v>
      </c>
      <c r="N974" s="19" t="str">
        <f aca="false">IF(G974&gt;M974*3,"نعم","لا")</f>
        <v>لا</v>
      </c>
      <c r="O974" s="19" t="str">
        <f aca="false">IF(OR(C974="",ISNUMBER(C974)),"لا","نعم")</f>
        <v>لا</v>
      </c>
      <c r="P974" s="19" t="str">
        <f aca="false">IF(COUNTIF($B$2:B974,B974)&gt;1,"مكرر","فريد")</f>
        <v>فريد</v>
      </c>
      <c r="Q974" s="19" t="str">
        <f aca="false">IF(COUNTBLANK(D974:L974)&gt;0,"نعم","لا")</f>
        <v>لا</v>
      </c>
    </row>
    <row r="975" customFormat="false" ht="15" hidden="false" customHeight="false" outlineLevel="0" collapsed="false">
      <c r="A975" s="19" t="n">
        <v>974</v>
      </c>
      <c r="B975" s="30" t="s">
        <v>177</v>
      </c>
      <c r="C975" s="44" t="n">
        <v>45295</v>
      </c>
      <c r="D975" s="30" t="s">
        <v>50</v>
      </c>
      <c r="E975" s="30" t="s">
        <v>109</v>
      </c>
      <c r="F975" s="30" t="s">
        <v>110</v>
      </c>
      <c r="G975" s="31" t="n">
        <v>39</v>
      </c>
      <c r="H975" s="19" t="n">
        <v>1</v>
      </c>
      <c r="I975" s="32" t="n">
        <v>0.05</v>
      </c>
      <c r="J975" s="30" t="s">
        <v>48</v>
      </c>
      <c r="K975" s="30" t="s">
        <v>47</v>
      </c>
      <c r="L975" s="30" t="s">
        <v>84</v>
      </c>
      <c r="M975" s="31" t="n">
        <f aca="false">AVERAGEIF($E$2:$E$1197,E975,$G$2:$G$1197)</f>
        <v>186.056291390729</v>
      </c>
      <c r="N975" s="19" t="str">
        <f aca="false">IF(G975&gt;M975*3,"نعم","لا")</f>
        <v>لا</v>
      </c>
      <c r="O975" s="19" t="str">
        <f aca="false">IF(OR(C975="",ISNUMBER(C975)),"لا","نعم")</f>
        <v>لا</v>
      </c>
      <c r="P975" s="19" t="str">
        <f aca="false">IF(COUNTIF($B$2:B975,B975)&gt;1,"مكرر","فريد")</f>
        <v>فريد</v>
      </c>
      <c r="Q975" s="19" t="str">
        <f aca="false">IF(COUNTBLANK(D975:L975)&gt;0,"نعم","لا")</f>
        <v>لا</v>
      </c>
    </row>
    <row r="976" customFormat="false" ht="15" hidden="false" customHeight="false" outlineLevel="0" collapsed="false">
      <c r="A976" s="19" t="n">
        <v>975</v>
      </c>
      <c r="B976" s="30" t="s">
        <v>328</v>
      </c>
      <c r="C976" s="44" t="n">
        <v>45354</v>
      </c>
      <c r="D976" s="30" t="s">
        <v>54</v>
      </c>
      <c r="E976" s="30" t="s">
        <v>109</v>
      </c>
      <c r="F976" s="30" t="s">
        <v>110</v>
      </c>
      <c r="G976" s="31" t="n">
        <v>79</v>
      </c>
      <c r="H976" s="19" t="n">
        <v>2</v>
      </c>
      <c r="I976" s="32" t="n">
        <v>0</v>
      </c>
      <c r="J976" s="30" t="s">
        <v>52</v>
      </c>
      <c r="K976" s="30" t="s">
        <v>47</v>
      </c>
      <c r="L976" s="30" t="s">
        <v>94</v>
      </c>
      <c r="M976" s="31" t="n">
        <f aca="false">AVERAGEIF($E$2:$E$1197,E976,$G$2:$G$1197)</f>
        <v>186.056291390729</v>
      </c>
      <c r="N976" s="19" t="str">
        <f aca="false">IF(G976&gt;M976*3,"نعم","لا")</f>
        <v>لا</v>
      </c>
      <c r="O976" s="19" t="str">
        <f aca="false">IF(OR(C976="",ISNUMBER(C976)),"لا","نعم")</f>
        <v>لا</v>
      </c>
      <c r="P976" s="19" t="str">
        <f aca="false">IF(COUNTIF($B$2:B976,B976)&gt;1,"مكرر","فريد")</f>
        <v>فريد</v>
      </c>
      <c r="Q976" s="19" t="str">
        <f aca="false">IF(COUNTBLANK(D976:L976)&gt;0,"نعم","لا")</f>
        <v>لا</v>
      </c>
    </row>
    <row r="977" customFormat="false" ht="15" hidden="false" customHeight="false" outlineLevel="0" collapsed="false">
      <c r="A977" s="19" t="n">
        <v>976</v>
      </c>
      <c r="B977" s="30" t="s">
        <v>208</v>
      </c>
      <c r="C977" s="44" t="n">
        <v>45305</v>
      </c>
      <c r="D977" s="30" t="s">
        <v>46</v>
      </c>
      <c r="E977" s="30" t="s">
        <v>105</v>
      </c>
      <c r="F977" s="30" t="s">
        <v>90</v>
      </c>
      <c r="G977" s="31" t="n">
        <v>2349</v>
      </c>
      <c r="H977" s="19" t="n">
        <v>10</v>
      </c>
      <c r="I977" s="32" t="n">
        <v>0.05</v>
      </c>
      <c r="J977" s="30" t="s">
        <v>48</v>
      </c>
      <c r="K977" s="30" t="s">
        <v>51</v>
      </c>
      <c r="L977" s="30" t="s">
        <v>76</v>
      </c>
      <c r="M977" s="31" t="n">
        <f aca="false">AVERAGEIF($E$2:$E$1197,E977,$G$2:$G$1197)</f>
        <v>2870.26771653543</v>
      </c>
      <c r="N977" s="19" t="str">
        <f aca="false">IF(G977&gt;M977*3,"نعم","لا")</f>
        <v>لا</v>
      </c>
      <c r="O977" s="19" t="str">
        <f aca="false">IF(OR(C977="",ISNUMBER(C977)),"لا","نعم")</f>
        <v>لا</v>
      </c>
      <c r="P977" s="19" t="str">
        <f aca="false">IF(COUNTIF($B$2:B977,B977)&gt;1,"مكرر","فريد")</f>
        <v>فريد</v>
      </c>
      <c r="Q977" s="19" t="str">
        <f aca="false">IF(COUNTBLANK(D977:L977)&gt;0,"نعم","لا")</f>
        <v>لا</v>
      </c>
    </row>
    <row r="978" customFormat="false" ht="15" hidden="false" customHeight="false" outlineLevel="0" collapsed="false">
      <c r="A978" s="19" t="n">
        <v>977</v>
      </c>
      <c r="B978" s="30" t="s">
        <v>613</v>
      </c>
      <c r="C978" s="44" t="n">
        <v>45456</v>
      </c>
      <c r="D978" s="30" t="s">
        <v>46</v>
      </c>
      <c r="E978" s="30" t="s">
        <v>109</v>
      </c>
      <c r="F978" s="30" t="s">
        <v>93</v>
      </c>
      <c r="G978" s="31" t="n">
        <v>339</v>
      </c>
      <c r="H978" s="19" t="n">
        <v>2</v>
      </c>
      <c r="I978" s="32" t="n">
        <v>0</v>
      </c>
      <c r="J978" s="30" t="s">
        <v>48</v>
      </c>
      <c r="K978" s="30" t="s">
        <v>47</v>
      </c>
      <c r="L978" s="30" t="s">
        <v>86</v>
      </c>
      <c r="M978" s="31" t="n">
        <f aca="false">AVERAGEIF($E$2:$E$1197,E978,$G$2:$G$1197)</f>
        <v>186.056291390729</v>
      </c>
      <c r="N978" s="19" t="str">
        <f aca="false">IF(G978&gt;M978*3,"نعم","لا")</f>
        <v>لا</v>
      </c>
      <c r="O978" s="19" t="str">
        <f aca="false">IF(OR(C978="",ISNUMBER(C978)),"لا","نعم")</f>
        <v>لا</v>
      </c>
      <c r="P978" s="19" t="str">
        <f aca="false">IF(COUNTIF($B$2:B978,B978)&gt;1,"مكرر","فريد")</f>
        <v>فريد</v>
      </c>
      <c r="Q978" s="19" t="str">
        <f aca="false">IF(COUNTBLANK(D978:L978)&gt;0,"نعم","لا")</f>
        <v>لا</v>
      </c>
    </row>
    <row r="979" customFormat="false" ht="15" hidden="false" customHeight="false" outlineLevel="0" collapsed="false">
      <c r="A979" s="19" t="n">
        <v>978</v>
      </c>
      <c r="B979" s="30" t="s">
        <v>805</v>
      </c>
      <c r="C979" s="44" t="n">
        <v>45517</v>
      </c>
      <c r="D979" s="30" t="s">
        <v>60</v>
      </c>
      <c r="E979" s="30" t="s">
        <v>113</v>
      </c>
      <c r="F979" s="30" t="s">
        <v>121</v>
      </c>
      <c r="G979" s="31" t="n">
        <v>249</v>
      </c>
      <c r="H979" s="19" t="n">
        <v>1</v>
      </c>
      <c r="I979" s="32" t="n">
        <v>0.15</v>
      </c>
      <c r="J979" s="30" t="s">
        <v>55</v>
      </c>
      <c r="K979" s="30" t="s">
        <v>47</v>
      </c>
      <c r="L979" s="30" t="s">
        <v>92</v>
      </c>
      <c r="M979" s="31" t="n">
        <f aca="false">AVERAGEIF($E$2:$E$1197,E979,$G$2:$G$1197)</f>
        <v>545.358823529412</v>
      </c>
      <c r="N979" s="19" t="str">
        <f aca="false">IF(G979&gt;M979*3,"نعم","لا")</f>
        <v>لا</v>
      </c>
      <c r="O979" s="19" t="str">
        <f aca="false">IF(OR(C979="",ISNUMBER(C979)),"لا","نعم")</f>
        <v>لا</v>
      </c>
      <c r="P979" s="19" t="str">
        <f aca="false">IF(COUNTIF($B$2:B979,B979)&gt;1,"مكرر","فريد")</f>
        <v>فريد</v>
      </c>
      <c r="Q979" s="19" t="str">
        <f aca="false">IF(COUNTBLANK(D979:L979)&gt;0,"نعم","لا")</f>
        <v>لا</v>
      </c>
    </row>
    <row r="980" customFormat="false" ht="15" hidden="false" customHeight="false" outlineLevel="0" collapsed="false">
      <c r="A980" s="19" t="n">
        <v>979</v>
      </c>
      <c r="B980" s="30" t="s">
        <v>421</v>
      </c>
      <c r="C980" s="44" t="n">
        <v>45381</v>
      </c>
      <c r="D980" s="30" t="s">
        <v>60</v>
      </c>
      <c r="E980" s="30" t="s">
        <v>105</v>
      </c>
      <c r="F980" s="30" t="s">
        <v>179</v>
      </c>
      <c r="G980" s="31" t="n">
        <v>4389</v>
      </c>
      <c r="H980" s="19" t="n">
        <v>2</v>
      </c>
      <c r="I980" s="32" t="n">
        <v>0.05</v>
      </c>
      <c r="J980" s="30" t="s">
        <v>58</v>
      </c>
      <c r="K980" s="30" t="s">
        <v>47</v>
      </c>
      <c r="L980" s="30" t="s">
        <v>86</v>
      </c>
      <c r="M980" s="31" t="n">
        <f aca="false">AVERAGEIF($E$2:$E$1197,E980,$G$2:$G$1197)</f>
        <v>2870.26771653543</v>
      </c>
      <c r="N980" s="19" t="str">
        <f aca="false">IF(G980&gt;M980*3,"نعم","لا")</f>
        <v>لا</v>
      </c>
      <c r="O980" s="19" t="str">
        <f aca="false">IF(OR(C980="",ISNUMBER(C980)),"لا","نعم")</f>
        <v>لا</v>
      </c>
      <c r="P980" s="19" t="str">
        <f aca="false">IF(COUNTIF($B$2:B980,B980)&gt;1,"مكرر","فريد")</f>
        <v>فريد</v>
      </c>
      <c r="Q980" s="19" t="str">
        <f aca="false">IF(COUNTBLANK(D980:L980)&gt;0,"نعم","لا")</f>
        <v>لا</v>
      </c>
    </row>
    <row r="981" customFormat="false" ht="15" hidden="false" customHeight="false" outlineLevel="0" collapsed="false">
      <c r="A981" s="19" t="n">
        <v>980</v>
      </c>
      <c r="B981" s="30" t="s">
        <v>470</v>
      </c>
      <c r="C981" s="44" t="n">
        <v>45399</v>
      </c>
      <c r="D981" s="30" t="s">
        <v>46</v>
      </c>
      <c r="E981" s="30" t="s">
        <v>111</v>
      </c>
      <c r="F981" s="30" t="s">
        <v>108</v>
      </c>
      <c r="G981" s="31" t="n">
        <v>549</v>
      </c>
      <c r="H981" s="19" t="n">
        <v>2</v>
      </c>
      <c r="I981" s="32" t="n">
        <v>0.15</v>
      </c>
      <c r="J981" s="30" t="s">
        <v>55</v>
      </c>
      <c r="K981" s="30" t="s">
        <v>47</v>
      </c>
      <c r="L981" s="30" t="s">
        <v>84</v>
      </c>
      <c r="M981" s="31" t="n">
        <f aca="false">AVERAGEIF($E$2:$E$1197,E981,$G$2:$G$1197)</f>
        <v>366.306569343066</v>
      </c>
      <c r="N981" s="19" t="str">
        <f aca="false">IF(G981&gt;M981*3,"نعم","لا")</f>
        <v>لا</v>
      </c>
      <c r="O981" s="19" t="str">
        <f aca="false">IF(OR(C981="",ISNUMBER(C981)),"لا","نعم")</f>
        <v>لا</v>
      </c>
      <c r="P981" s="19" t="str">
        <f aca="false">IF(COUNTIF($B$2:B981,B981)&gt;1,"مكرر","فريد")</f>
        <v>فريد</v>
      </c>
      <c r="Q981" s="19" t="str">
        <f aca="false">IF(COUNTBLANK(D981:L981)&gt;0,"نعم","لا")</f>
        <v>لا</v>
      </c>
    </row>
    <row r="982" customFormat="false" ht="15" hidden="false" customHeight="false" outlineLevel="0" collapsed="false">
      <c r="A982" s="19" t="n">
        <v>981</v>
      </c>
      <c r="B982" s="30" t="s">
        <v>1046</v>
      </c>
      <c r="C982" s="44" t="n">
        <v>45595</v>
      </c>
      <c r="D982" s="30" t="s">
        <v>60</v>
      </c>
      <c r="E982" s="30" t="s">
        <v>105</v>
      </c>
      <c r="F982" s="30" t="s">
        <v>85</v>
      </c>
      <c r="G982" s="31" t="n">
        <v>4029</v>
      </c>
      <c r="H982" s="19" t="n">
        <v>2</v>
      </c>
      <c r="I982" s="32" t="n">
        <v>0</v>
      </c>
      <c r="J982" s="30" t="s">
        <v>48</v>
      </c>
      <c r="K982" s="30" t="s">
        <v>51</v>
      </c>
      <c r="L982" s="30" t="s">
        <v>81</v>
      </c>
      <c r="M982" s="31" t="n">
        <f aca="false">AVERAGEIF($E$2:$E$1197,E982,$G$2:$G$1197)</f>
        <v>2870.26771653543</v>
      </c>
      <c r="N982" s="19" t="str">
        <f aca="false">IF(G982&gt;M982*3,"نعم","لا")</f>
        <v>لا</v>
      </c>
      <c r="O982" s="19" t="str">
        <f aca="false">IF(OR(C982="",ISNUMBER(C982)),"لا","نعم")</f>
        <v>لا</v>
      </c>
      <c r="P982" s="19" t="str">
        <f aca="false">IF(COUNTIF($B$2:B982,B982)&gt;1,"مكرر","فريد")</f>
        <v>فريد</v>
      </c>
      <c r="Q982" s="19" t="str">
        <f aca="false">IF(COUNTBLANK(D982:L982)&gt;0,"نعم","لا")</f>
        <v>لا</v>
      </c>
    </row>
    <row r="983" customFormat="false" ht="15" hidden="false" customHeight="false" outlineLevel="0" collapsed="false">
      <c r="A983" s="19" t="n">
        <v>982</v>
      </c>
      <c r="B983" s="30" t="s">
        <v>1484</v>
      </c>
      <c r="C983" s="44" t="n">
        <v>45311</v>
      </c>
      <c r="D983" s="30" t="s">
        <v>50</v>
      </c>
      <c r="E983" s="30" t="s">
        <v>113</v>
      </c>
      <c r="F983" s="30" t="s">
        <v>97</v>
      </c>
      <c r="G983" s="31" t="n">
        <v>279</v>
      </c>
      <c r="H983" s="19" t="n">
        <v>1</v>
      </c>
      <c r="I983" s="32" t="n">
        <v>0</v>
      </c>
      <c r="J983" s="30" t="s">
        <v>52</v>
      </c>
      <c r="K983" s="30" t="s">
        <v>47</v>
      </c>
      <c r="L983" s="30" t="s">
        <v>96</v>
      </c>
      <c r="M983" s="31" t="n">
        <f aca="false">AVERAGEIF($E$2:$E$1197,E983,$G$2:$G$1197)</f>
        <v>545.358823529412</v>
      </c>
      <c r="N983" s="19" t="str">
        <f aca="false">IF(G983&gt;M983*3,"نعم","لا")</f>
        <v>لا</v>
      </c>
      <c r="O983" s="19" t="str">
        <f aca="false">IF(OR(C983="",ISNUMBER(C983)),"لا","نعم")</f>
        <v>لا</v>
      </c>
      <c r="P983" s="19" t="str">
        <f aca="false">IF(COUNTIF($B$2:B983,B983)&gt;1,"مكرر","فريد")</f>
        <v>مكرر</v>
      </c>
      <c r="Q983" s="19" t="str">
        <f aca="false">IF(COUNTBLANK(D983:L983)&gt;0,"نعم","لا")</f>
        <v>لا</v>
      </c>
    </row>
    <row r="984" customFormat="false" ht="15" hidden="false" customHeight="false" outlineLevel="0" collapsed="false">
      <c r="A984" s="19" t="n">
        <v>983</v>
      </c>
      <c r="B984" s="30" t="s">
        <v>1025</v>
      </c>
      <c r="C984" s="44" t="n">
        <v>45590</v>
      </c>
      <c r="D984" s="30" t="s">
        <v>46</v>
      </c>
      <c r="E984" s="30" t="s">
        <v>105</v>
      </c>
      <c r="F984" s="30" t="s">
        <v>85</v>
      </c>
      <c r="G984" s="31" t="n">
        <v>3489</v>
      </c>
      <c r="H984" s="19" t="n">
        <v>1</v>
      </c>
      <c r="I984" s="32" t="n">
        <v>0</v>
      </c>
      <c r="J984" s="30" t="s">
        <v>1348</v>
      </c>
      <c r="K984" s="30" t="s">
        <v>47</v>
      </c>
      <c r="L984" s="30" t="s">
        <v>92</v>
      </c>
      <c r="M984" s="31" t="n">
        <f aca="false">AVERAGEIF($E$2:$E$1197,E984,$G$2:$G$1197)</f>
        <v>2870.26771653543</v>
      </c>
      <c r="N984" s="19" t="str">
        <f aca="false">IF(G984&gt;M984*3,"نعم","لا")</f>
        <v>لا</v>
      </c>
      <c r="O984" s="19" t="str">
        <f aca="false">IF(OR(C984="",ISNUMBER(C984)),"لا","نعم")</f>
        <v>لا</v>
      </c>
      <c r="P984" s="19" t="str">
        <f aca="false">IF(COUNTIF($B$2:B984,B984)&gt;1,"مكرر","فريد")</f>
        <v>فريد</v>
      </c>
      <c r="Q984" s="19" t="str">
        <f aca="false">IF(COUNTBLANK(D984:L984)&gt;0,"نعم","لا")</f>
        <v>لا</v>
      </c>
    </row>
    <row r="985" customFormat="false" ht="15" hidden="false" customHeight="false" outlineLevel="0" collapsed="false">
      <c r="A985" s="19" t="n">
        <v>984</v>
      </c>
      <c r="B985" s="30" t="s">
        <v>733</v>
      </c>
      <c r="C985" s="44" t="n">
        <v>45496</v>
      </c>
      <c r="D985" s="30" t="s">
        <v>57</v>
      </c>
      <c r="E985" s="30" t="s">
        <v>107</v>
      </c>
      <c r="F985" s="30" t="s">
        <v>184</v>
      </c>
      <c r="G985" s="31" t="n">
        <v>2099</v>
      </c>
      <c r="H985" s="19" t="n">
        <v>2</v>
      </c>
      <c r="I985" s="32" t="n">
        <v>0</v>
      </c>
      <c r="J985" s="30" t="s">
        <v>48</v>
      </c>
      <c r="K985" s="30" t="s">
        <v>51</v>
      </c>
      <c r="L985" s="30" t="s">
        <v>94</v>
      </c>
      <c r="M985" s="31" t="n">
        <f aca="false">AVERAGEIF($E$2:$E$1197,E985,$G$2:$G$1197)</f>
        <v>4981.14563106796</v>
      </c>
      <c r="N985" s="19" t="str">
        <f aca="false">IF(G985&gt;M985*3,"نعم","لا")</f>
        <v>لا</v>
      </c>
      <c r="O985" s="19" t="str">
        <f aca="false">IF(OR(C985="",ISNUMBER(C985)),"لا","نعم")</f>
        <v>لا</v>
      </c>
      <c r="P985" s="19" t="str">
        <f aca="false">IF(COUNTIF($B$2:B985,B985)&gt;1,"مكرر","فريد")</f>
        <v>فريد</v>
      </c>
      <c r="Q985" s="19" t="str">
        <f aca="false">IF(COUNTBLANK(D985:L985)&gt;0,"نعم","لا")</f>
        <v>لا</v>
      </c>
    </row>
    <row r="986" customFormat="false" ht="15" hidden="false" customHeight="false" outlineLevel="0" collapsed="false">
      <c r="A986" s="19" t="n">
        <v>985</v>
      </c>
      <c r="B986" s="30" t="s">
        <v>778</v>
      </c>
      <c r="C986" s="44" t="n">
        <v>45510</v>
      </c>
      <c r="D986" s="30" t="s">
        <v>50</v>
      </c>
      <c r="E986" s="30" t="s">
        <v>105</v>
      </c>
      <c r="F986" s="30" t="s">
        <v>79</v>
      </c>
      <c r="G986" s="31" t="n">
        <v>3549</v>
      </c>
      <c r="H986" s="19" t="n">
        <v>1</v>
      </c>
      <c r="I986" s="32" t="n">
        <v>0.1</v>
      </c>
      <c r="J986" s="30" t="s">
        <v>52</v>
      </c>
      <c r="K986" s="30" t="s">
        <v>47</v>
      </c>
      <c r="L986" s="30" t="s">
        <v>94</v>
      </c>
      <c r="M986" s="31" t="n">
        <f aca="false">AVERAGEIF($E$2:$E$1197,E986,$G$2:$G$1197)</f>
        <v>2870.26771653543</v>
      </c>
      <c r="N986" s="19" t="str">
        <f aca="false">IF(G986&gt;M986*3,"نعم","لا")</f>
        <v>لا</v>
      </c>
      <c r="O986" s="19" t="str">
        <f aca="false">IF(OR(C986="",ISNUMBER(C986)),"لا","نعم")</f>
        <v>لا</v>
      </c>
      <c r="P986" s="19" t="str">
        <f aca="false">IF(COUNTIF($B$2:B986,B986)&gt;1,"مكرر","فريد")</f>
        <v>فريد</v>
      </c>
      <c r="Q986" s="19" t="str">
        <f aca="false">IF(COUNTBLANK(D986:L986)&gt;0,"نعم","لا")</f>
        <v>لا</v>
      </c>
    </row>
    <row r="987" customFormat="false" ht="15" hidden="false" customHeight="false" outlineLevel="0" collapsed="false">
      <c r="A987" s="19" t="n">
        <v>986</v>
      </c>
      <c r="B987" s="30" t="s">
        <v>1162</v>
      </c>
      <c r="C987" s="44" t="n">
        <v>45620</v>
      </c>
      <c r="D987" s="30" t="s">
        <v>46</v>
      </c>
      <c r="E987" s="30" t="s">
        <v>113</v>
      </c>
      <c r="F987" s="30" t="s">
        <v>121</v>
      </c>
      <c r="G987" s="31" t="n">
        <v>779</v>
      </c>
      <c r="H987" s="19" t="n">
        <v>1</v>
      </c>
      <c r="I987" s="32" t="n">
        <v>0.05</v>
      </c>
      <c r="J987" s="30" t="s">
        <v>58</v>
      </c>
      <c r="K987" s="30" t="s">
        <v>47</v>
      </c>
      <c r="L987" s="30" t="s">
        <v>89</v>
      </c>
      <c r="M987" s="31" t="n">
        <f aca="false">AVERAGEIF($E$2:$E$1197,E987,$G$2:$G$1197)</f>
        <v>545.358823529412</v>
      </c>
      <c r="N987" s="19" t="str">
        <f aca="false">IF(G987&gt;M987*3,"نعم","لا")</f>
        <v>لا</v>
      </c>
      <c r="O987" s="19" t="str">
        <f aca="false">IF(OR(C987="",ISNUMBER(C987)),"لا","نعم")</f>
        <v>لا</v>
      </c>
      <c r="P987" s="19" t="str">
        <f aca="false">IF(COUNTIF($B$2:B987,B987)&gt;1,"مكرر","فريد")</f>
        <v>فريد</v>
      </c>
      <c r="Q987" s="19" t="str">
        <f aca="false">IF(COUNTBLANK(D987:L987)&gt;0,"نعم","لا")</f>
        <v>لا</v>
      </c>
    </row>
    <row r="988" customFormat="false" ht="15" hidden="false" customHeight="false" outlineLevel="0" collapsed="false">
      <c r="A988" s="19" t="n">
        <v>987</v>
      </c>
      <c r="B988" s="30" t="s">
        <v>1171</v>
      </c>
      <c r="C988" s="44" t="n">
        <v>45622</v>
      </c>
      <c r="D988" s="30" t="s">
        <v>57</v>
      </c>
      <c r="E988" s="30" t="s">
        <v>109</v>
      </c>
      <c r="F988" s="30" t="s">
        <v>171</v>
      </c>
      <c r="G988" s="31" t="n">
        <v>59</v>
      </c>
      <c r="H988" s="19" t="n">
        <v>1</v>
      </c>
      <c r="I988" s="32" t="n">
        <v>0</v>
      </c>
      <c r="J988" s="30" t="s">
        <v>52</v>
      </c>
      <c r="K988" s="30" t="s">
        <v>47</v>
      </c>
      <c r="L988" s="30" t="s">
        <v>78</v>
      </c>
      <c r="M988" s="31" t="n">
        <f aca="false">AVERAGEIF($E$2:$E$1197,E988,$G$2:$G$1197)</f>
        <v>186.056291390729</v>
      </c>
      <c r="N988" s="19" t="str">
        <f aca="false">IF(G988&gt;M988*3,"نعم","لا")</f>
        <v>لا</v>
      </c>
      <c r="O988" s="19" t="str">
        <f aca="false">IF(OR(C988="",ISNUMBER(C988)),"لا","نعم")</f>
        <v>لا</v>
      </c>
      <c r="P988" s="19" t="str">
        <f aca="false">IF(COUNTIF($B$2:B988,B988)&gt;1,"مكرر","فريد")</f>
        <v>فريد</v>
      </c>
      <c r="Q988" s="19" t="str">
        <f aca="false">IF(COUNTBLANK(D988:L988)&gt;0,"نعم","لا")</f>
        <v>لا</v>
      </c>
    </row>
    <row r="989" customFormat="false" ht="15" hidden="false" customHeight="false" outlineLevel="0" collapsed="false">
      <c r="A989" s="19" t="n">
        <v>988</v>
      </c>
      <c r="B989" s="30" t="s">
        <v>1164</v>
      </c>
      <c r="C989" s="44" t="n">
        <v>45621</v>
      </c>
      <c r="D989" s="30" t="s">
        <v>46</v>
      </c>
      <c r="E989" s="30" t="s">
        <v>109</v>
      </c>
      <c r="F989" s="30" t="s">
        <v>93</v>
      </c>
      <c r="G989" s="31" t="n">
        <v>89</v>
      </c>
      <c r="H989" s="19" t="n">
        <v>2</v>
      </c>
      <c r="I989" s="32" t="n">
        <v>0.1</v>
      </c>
      <c r="J989" s="30" t="s">
        <v>55</v>
      </c>
      <c r="K989" s="30" t="s">
        <v>47</v>
      </c>
      <c r="L989" s="30" t="s">
        <v>86</v>
      </c>
      <c r="M989" s="31" t="n">
        <f aca="false">AVERAGEIF($E$2:$E$1197,E989,$G$2:$G$1197)</f>
        <v>186.056291390729</v>
      </c>
      <c r="N989" s="19" t="str">
        <f aca="false">IF(G989&gt;M989*3,"نعم","لا")</f>
        <v>لا</v>
      </c>
      <c r="O989" s="19" t="str">
        <f aca="false">IF(OR(C989="",ISNUMBER(C989)),"لا","نعم")</f>
        <v>لا</v>
      </c>
      <c r="P989" s="19" t="str">
        <f aca="false">IF(COUNTIF($B$2:B989,B989)&gt;1,"مكرر","فريد")</f>
        <v>فريد</v>
      </c>
      <c r="Q989" s="19" t="str">
        <f aca="false">IF(COUNTBLANK(D989:L989)&gt;0,"نعم","لا")</f>
        <v>لا</v>
      </c>
    </row>
    <row r="990" customFormat="false" ht="15" hidden="false" customHeight="false" outlineLevel="0" collapsed="false">
      <c r="A990" s="19" t="n">
        <v>989</v>
      </c>
      <c r="B990" s="30" t="s">
        <v>427</v>
      </c>
      <c r="C990" s="44" t="n">
        <v>45383</v>
      </c>
      <c r="D990" s="30" t="s">
        <v>60</v>
      </c>
      <c r="E990" s="30" t="s">
        <v>113</v>
      </c>
      <c r="F990" s="30" t="s">
        <v>95</v>
      </c>
      <c r="G990" s="31" t="n">
        <v>609</v>
      </c>
      <c r="H990" s="19" t="n">
        <v>1</v>
      </c>
      <c r="I990" s="32" t="n">
        <v>0</v>
      </c>
      <c r="J990" s="30" t="s">
        <v>48</v>
      </c>
      <c r="K990" s="30" t="s">
        <v>47</v>
      </c>
      <c r="L990" s="30" t="s">
        <v>84</v>
      </c>
      <c r="M990" s="31" t="n">
        <f aca="false">AVERAGEIF($E$2:$E$1197,E990,$G$2:$G$1197)</f>
        <v>545.358823529412</v>
      </c>
      <c r="N990" s="19" t="str">
        <f aca="false">IF(G990&gt;M990*3,"نعم","لا")</f>
        <v>لا</v>
      </c>
      <c r="O990" s="19" t="str">
        <f aca="false">IF(OR(C990="",ISNUMBER(C990)),"لا","نعم")</f>
        <v>لا</v>
      </c>
      <c r="P990" s="19" t="str">
        <f aca="false">IF(COUNTIF($B$2:B990,B990)&gt;1,"مكرر","فريد")</f>
        <v>فريد</v>
      </c>
      <c r="Q990" s="19" t="str">
        <f aca="false">IF(COUNTBLANK(D990:L990)&gt;0,"نعم","لا")</f>
        <v>لا</v>
      </c>
    </row>
    <row r="991" customFormat="false" ht="15" hidden="false" customHeight="false" outlineLevel="0" collapsed="false">
      <c r="A991" s="19" t="n">
        <v>990</v>
      </c>
      <c r="B991" s="30" t="s">
        <v>760</v>
      </c>
      <c r="C991" s="44" t="n">
        <v>45507</v>
      </c>
      <c r="D991" s="30" t="s">
        <v>60</v>
      </c>
      <c r="E991" s="30" t="s">
        <v>109</v>
      </c>
      <c r="F991" s="30" t="s">
        <v>171</v>
      </c>
      <c r="G991" s="31" t="n">
        <v>69</v>
      </c>
      <c r="H991" s="19" t="n">
        <v>4</v>
      </c>
      <c r="I991" s="32" t="n">
        <v>0</v>
      </c>
      <c r="J991" s="30" t="s">
        <v>48</v>
      </c>
      <c r="K991" s="30" t="s">
        <v>51</v>
      </c>
      <c r="L991" s="30" t="s">
        <v>92</v>
      </c>
      <c r="M991" s="31" t="n">
        <f aca="false">AVERAGEIF($E$2:$E$1197,E991,$G$2:$G$1197)</f>
        <v>186.056291390729</v>
      </c>
      <c r="N991" s="19" t="str">
        <f aca="false">IF(G991&gt;M991*3,"نعم","لا")</f>
        <v>لا</v>
      </c>
      <c r="O991" s="19" t="str">
        <f aca="false">IF(OR(C991="",ISNUMBER(C991)),"لا","نعم")</f>
        <v>لا</v>
      </c>
      <c r="P991" s="19" t="str">
        <f aca="false">IF(COUNTIF($B$2:B991,B991)&gt;1,"مكرر","فريد")</f>
        <v>فريد</v>
      </c>
      <c r="Q991" s="19" t="str">
        <f aca="false">IF(COUNTBLANK(D991:L991)&gt;0,"نعم","لا")</f>
        <v>لا</v>
      </c>
    </row>
    <row r="992" customFormat="false" ht="15" hidden="false" customHeight="false" outlineLevel="0" collapsed="false">
      <c r="A992" s="19" t="n">
        <v>991</v>
      </c>
      <c r="B992" s="30" t="s">
        <v>464</v>
      </c>
      <c r="C992" s="44" t="n">
        <v>45396</v>
      </c>
      <c r="D992" s="30" t="s">
        <v>50</v>
      </c>
      <c r="E992" s="30" t="s">
        <v>107</v>
      </c>
      <c r="F992" s="30" t="s">
        <v>184</v>
      </c>
      <c r="G992" s="31" t="n">
        <v>5909</v>
      </c>
      <c r="H992" s="19" t="n">
        <v>3</v>
      </c>
      <c r="I992" s="32" t="n">
        <v>0</v>
      </c>
      <c r="J992" s="30" t="s">
        <v>52</v>
      </c>
      <c r="K992" s="30" t="s">
        <v>47</v>
      </c>
      <c r="L992" s="30" t="s">
        <v>96</v>
      </c>
      <c r="M992" s="31" t="n">
        <f aca="false">AVERAGEIF($E$2:$E$1197,E992,$G$2:$G$1197)</f>
        <v>4981.14563106796</v>
      </c>
      <c r="N992" s="19" t="str">
        <f aca="false">IF(G992&gt;M992*3,"نعم","لا")</f>
        <v>لا</v>
      </c>
      <c r="O992" s="19" t="str">
        <f aca="false">IF(OR(C992="",ISNUMBER(C992)),"لا","نعم")</f>
        <v>لا</v>
      </c>
      <c r="P992" s="19" t="str">
        <f aca="false">IF(COUNTIF($B$2:B992,B992)&gt;1,"مكرر","فريد")</f>
        <v>فريد</v>
      </c>
      <c r="Q992" s="19" t="str">
        <f aca="false">IF(COUNTBLANK(D992:L992)&gt;0,"نعم","لا")</f>
        <v>لا</v>
      </c>
    </row>
    <row r="993" customFormat="false" ht="15" hidden="false" customHeight="false" outlineLevel="0" collapsed="false">
      <c r="A993" s="19" t="n">
        <v>992</v>
      </c>
      <c r="B993" s="30" t="s">
        <v>1139</v>
      </c>
      <c r="C993" s="44" t="n">
        <v>45615</v>
      </c>
      <c r="D993" s="30" t="s">
        <v>60</v>
      </c>
      <c r="E993" s="30" t="s">
        <v>105</v>
      </c>
      <c r="F993" s="30" t="s">
        <v>90</v>
      </c>
      <c r="G993" s="31" t="n">
        <v>4439</v>
      </c>
      <c r="H993" s="19" t="n">
        <v>1</v>
      </c>
      <c r="I993" s="32" t="n">
        <v>0</v>
      </c>
      <c r="J993" s="30" t="s">
        <v>55</v>
      </c>
      <c r="K993" s="30" t="s">
        <v>47</v>
      </c>
      <c r="L993" s="30" t="s">
        <v>96</v>
      </c>
      <c r="M993" s="31" t="n">
        <f aca="false">AVERAGEIF($E$2:$E$1197,E993,$G$2:$G$1197)</f>
        <v>2870.26771653543</v>
      </c>
      <c r="N993" s="19" t="str">
        <f aca="false">IF(G993&gt;M993*3,"نعم","لا")</f>
        <v>لا</v>
      </c>
      <c r="O993" s="19" t="str">
        <f aca="false">IF(OR(C993="",ISNUMBER(C993)),"لا","نعم")</f>
        <v>لا</v>
      </c>
      <c r="P993" s="19" t="str">
        <f aca="false">IF(COUNTIF($B$2:B993,B993)&gt;1,"مكرر","فريد")</f>
        <v>فريد</v>
      </c>
      <c r="Q993" s="19" t="str">
        <f aca="false">IF(COUNTBLANK(D993:L993)&gt;0,"نعم","لا")</f>
        <v>لا</v>
      </c>
    </row>
    <row r="994" customFormat="false" ht="15" hidden="false" customHeight="false" outlineLevel="0" collapsed="false">
      <c r="A994" s="19" t="n">
        <v>993</v>
      </c>
      <c r="B994" s="30" t="s">
        <v>575</v>
      </c>
      <c r="C994" s="44" t="n">
        <v>45440</v>
      </c>
      <c r="D994" s="30" t="s">
        <v>60</v>
      </c>
      <c r="E994" s="30" t="s">
        <v>107</v>
      </c>
      <c r="F994" s="30" t="s">
        <v>184</v>
      </c>
      <c r="G994" s="31" t="n">
        <v>3929</v>
      </c>
      <c r="H994" s="19" t="n">
        <v>2</v>
      </c>
      <c r="I994" s="32" t="n">
        <v>0.05</v>
      </c>
      <c r="J994" s="30" t="s">
        <v>52</v>
      </c>
      <c r="K994" s="30" t="s">
        <v>47</v>
      </c>
      <c r="L994" s="30" t="s">
        <v>94</v>
      </c>
      <c r="M994" s="31" t="n">
        <f aca="false">AVERAGEIF($E$2:$E$1197,E994,$G$2:$G$1197)</f>
        <v>4981.14563106796</v>
      </c>
      <c r="N994" s="19" t="str">
        <f aca="false">IF(G994&gt;M994*3,"نعم","لا")</f>
        <v>لا</v>
      </c>
      <c r="O994" s="19" t="str">
        <f aca="false">IF(OR(C994="",ISNUMBER(C994)),"لا","نعم")</f>
        <v>لا</v>
      </c>
      <c r="P994" s="19" t="str">
        <f aca="false">IF(COUNTIF($B$2:B994,B994)&gt;1,"مكرر","فريد")</f>
        <v>فريد</v>
      </c>
      <c r="Q994" s="19" t="str">
        <f aca="false">IF(COUNTBLANK(D994:L994)&gt;0,"نعم","لا")</f>
        <v>لا</v>
      </c>
    </row>
    <row r="995" customFormat="false" ht="15" hidden="false" customHeight="false" outlineLevel="0" collapsed="false">
      <c r="A995" s="19" t="n">
        <v>994</v>
      </c>
      <c r="B995" s="30" t="s">
        <v>318</v>
      </c>
      <c r="C995" s="44" t="n">
        <v>45349</v>
      </c>
      <c r="D995" s="30" t="s">
        <v>46</v>
      </c>
      <c r="E995" s="30" t="s">
        <v>105</v>
      </c>
      <c r="F995" s="30" t="s">
        <v>82</v>
      </c>
      <c r="G995" s="31" t="n">
        <v>4449</v>
      </c>
      <c r="H995" s="19" t="n">
        <v>1</v>
      </c>
      <c r="I995" s="32" t="n">
        <v>0</v>
      </c>
      <c r="J995" s="30" t="s">
        <v>1487</v>
      </c>
      <c r="K995" s="30" t="s">
        <v>47</v>
      </c>
      <c r="L995" s="30" t="s">
        <v>86</v>
      </c>
      <c r="M995" s="31" t="n">
        <f aca="false">AVERAGEIF($E$2:$E$1197,E995,$G$2:$G$1197)</f>
        <v>2870.26771653543</v>
      </c>
      <c r="N995" s="19" t="str">
        <f aca="false">IF(G995&gt;M995*3,"نعم","لا")</f>
        <v>لا</v>
      </c>
      <c r="O995" s="19" t="str">
        <f aca="false">IF(OR(C995="",ISNUMBER(C995)),"لا","نعم")</f>
        <v>لا</v>
      </c>
      <c r="P995" s="19" t="str">
        <f aca="false">IF(COUNTIF($B$2:B995,B995)&gt;1,"مكرر","فريد")</f>
        <v>فريد</v>
      </c>
      <c r="Q995" s="19" t="str">
        <f aca="false">IF(COUNTBLANK(D995:L995)&gt;0,"نعم","لا")</f>
        <v>لا</v>
      </c>
    </row>
    <row r="996" customFormat="false" ht="15" hidden="false" customHeight="false" outlineLevel="0" collapsed="false">
      <c r="A996" s="19" t="n">
        <v>995</v>
      </c>
      <c r="B996" s="30" t="s">
        <v>1088</v>
      </c>
      <c r="C996" s="44" t="n">
        <v>45605</v>
      </c>
      <c r="D996" s="30" t="s">
        <v>46</v>
      </c>
      <c r="E996" s="30" t="s">
        <v>111</v>
      </c>
      <c r="F996" s="30" t="s">
        <v>118</v>
      </c>
      <c r="G996" s="31" t="n">
        <v>439</v>
      </c>
      <c r="H996" s="19" t="n">
        <v>1</v>
      </c>
      <c r="I996" s="32" t="n">
        <v>0</v>
      </c>
      <c r="J996" s="30" t="s">
        <v>48</v>
      </c>
      <c r="K996" s="30" t="s">
        <v>47</v>
      </c>
      <c r="L996" s="30" t="s">
        <v>89</v>
      </c>
      <c r="M996" s="31" t="n">
        <f aca="false">AVERAGEIF($E$2:$E$1197,E996,$G$2:$G$1197)</f>
        <v>366.306569343066</v>
      </c>
      <c r="N996" s="19" t="str">
        <f aca="false">IF(G996&gt;M996*3,"نعم","لا")</f>
        <v>لا</v>
      </c>
      <c r="O996" s="19" t="str">
        <f aca="false">IF(OR(C996="",ISNUMBER(C996)),"لا","نعم")</f>
        <v>لا</v>
      </c>
      <c r="P996" s="19" t="str">
        <f aca="false">IF(COUNTIF($B$2:B996,B996)&gt;1,"مكرر","فريد")</f>
        <v>فريد</v>
      </c>
      <c r="Q996" s="19" t="str">
        <f aca="false">IF(COUNTBLANK(D996:L996)&gt;0,"نعم","لا")</f>
        <v>لا</v>
      </c>
    </row>
    <row r="997" customFormat="false" ht="15" hidden="false" customHeight="false" outlineLevel="0" collapsed="false">
      <c r="A997" s="19" t="n">
        <v>996</v>
      </c>
      <c r="B997" s="30" t="s">
        <v>633</v>
      </c>
      <c r="C997" s="44" t="n">
        <v>45462</v>
      </c>
      <c r="D997" s="30" t="s">
        <v>50</v>
      </c>
      <c r="E997" s="30" t="s">
        <v>107</v>
      </c>
      <c r="F997" s="30" t="s">
        <v>114</v>
      </c>
      <c r="G997" s="31" t="n">
        <v>6019</v>
      </c>
      <c r="H997" s="19" t="n">
        <v>5</v>
      </c>
      <c r="I997" s="32" t="n">
        <v>0.1</v>
      </c>
      <c r="J997" s="30" t="s">
        <v>48</v>
      </c>
      <c r="K997" s="30" t="s">
        <v>51</v>
      </c>
      <c r="L997" s="30" t="s">
        <v>94</v>
      </c>
      <c r="M997" s="31" t="n">
        <f aca="false">AVERAGEIF($E$2:$E$1197,E997,$G$2:$G$1197)</f>
        <v>4981.14563106796</v>
      </c>
      <c r="N997" s="19" t="str">
        <f aca="false">IF(G997&gt;M997*3,"نعم","لا")</f>
        <v>لا</v>
      </c>
      <c r="O997" s="19" t="str">
        <f aca="false">IF(OR(C997="",ISNUMBER(C997)),"لا","نعم")</f>
        <v>لا</v>
      </c>
      <c r="P997" s="19" t="str">
        <f aca="false">IF(COUNTIF($B$2:B997,B997)&gt;1,"مكرر","فريد")</f>
        <v>فريد</v>
      </c>
      <c r="Q997" s="19" t="str">
        <f aca="false">IF(COUNTBLANK(D997:L997)&gt;0,"نعم","لا")</f>
        <v>لا</v>
      </c>
    </row>
    <row r="998" customFormat="false" ht="15" hidden="false" customHeight="false" outlineLevel="0" collapsed="false">
      <c r="A998" s="19" t="n">
        <v>997</v>
      </c>
      <c r="B998" s="30" t="s">
        <v>1097</v>
      </c>
      <c r="C998" s="44" t="n">
        <v>45606</v>
      </c>
      <c r="D998" s="30" t="s">
        <v>54</v>
      </c>
      <c r="E998" s="30" t="s">
        <v>113</v>
      </c>
      <c r="F998" s="30" t="s">
        <v>97</v>
      </c>
      <c r="G998" s="31" t="n">
        <v>659</v>
      </c>
      <c r="H998" s="19" t="n">
        <v>3</v>
      </c>
      <c r="I998" s="32" t="n">
        <v>0</v>
      </c>
      <c r="J998" s="30" t="s">
        <v>52</v>
      </c>
      <c r="K998" s="30" t="s">
        <v>51</v>
      </c>
      <c r="L998" s="30" t="s">
        <v>86</v>
      </c>
      <c r="M998" s="31" t="n">
        <f aca="false">AVERAGEIF($E$2:$E$1197,E998,$G$2:$G$1197)</f>
        <v>545.358823529412</v>
      </c>
      <c r="N998" s="19" t="str">
        <f aca="false">IF(G998&gt;M998*3,"نعم","لا")</f>
        <v>لا</v>
      </c>
      <c r="O998" s="19" t="str">
        <f aca="false">IF(OR(C998="",ISNUMBER(C998)),"لا","نعم")</f>
        <v>لا</v>
      </c>
      <c r="P998" s="19" t="str">
        <f aca="false">IF(COUNTIF($B$2:B998,B998)&gt;1,"مكرر","فريد")</f>
        <v>فريد</v>
      </c>
      <c r="Q998" s="19" t="str">
        <f aca="false">IF(COUNTBLANK(D998:L998)&gt;0,"نعم","لا")</f>
        <v>لا</v>
      </c>
    </row>
    <row r="999" customFormat="false" ht="15" hidden="false" customHeight="false" outlineLevel="0" collapsed="false">
      <c r="A999" s="19" t="n">
        <v>998</v>
      </c>
      <c r="B999" s="30" t="s">
        <v>1130</v>
      </c>
      <c r="C999" s="30" t="s">
        <v>1379</v>
      </c>
      <c r="D999" s="30" t="s">
        <v>57</v>
      </c>
      <c r="E999" s="30" t="s">
        <v>105</v>
      </c>
      <c r="F999" s="30" t="s">
        <v>85</v>
      </c>
      <c r="G999" s="31" t="n">
        <v>1129</v>
      </c>
      <c r="H999" s="19" t="n">
        <v>2</v>
      </c>
      <c r="I999" s="32" t="n">
        <v>0</v>
      </c>
      <c r="J999" s="30" t="s">
        <v>55</v>
      </c>
      <c r="K999" s="30" t="s">
        <v>47</v>
      </c>
      <c r="L999" s="30" t="s">
        <v>86</v>
      </c>
      <c r="M999" s="31" t="n">
        <f aca="false">AVERAGEIF($E$2:$E$1197,E999,$G$2:$G$1197)</f>
        <v>2870.26771653543</v>
      </c>
      <c r="N999" s="19" t="str">
        <f aca="false">IF(G999&gt;M999*3,"نعم","لا")</f>
        <v>لا</v>
      </c>
      <c r="O999" s="19" t="str">
        <f aca="false">IF(OR(C999="",ISNUMBER(C999)),"لا","نعم")</f>
        <v>نعم</v>
      </c>
      <c r="P999" s="19" t="str">
        <f aca="false">IF(COUNTIF($B$2:B999,B999)&gt;1,"مكرر","فريد")</f>
        <v>فريد</v>
      </c>
      <c r="Q999" s="19" t="str">
        <f aca="false">IF(COUNTBLANK(D999:L999)&gt;0,"نعم","لا")</f>
        <v>لا</v>
      </c>
    </row>
    <row r="1000" customFormat="false" ht="15" hidden="false" customHeight="false" outlineLevel="0" collapsed="false">
      <c r="A1000" s="19" t="n">
        <v>999</v>
      </c>
      <c r="B1000" s="30" t="s">
        <v>929</v>
      </c>
      <c r="C1000" s="44" t="n">
        <v>45557</v>
      </c>
      <c r="D1000" s="30" t="s">
        <v>57</v>
      </c>
      <c r="E1000" s="30" t="s">
        <v>105</v>
      </c>
      <c r="F1000" s="30" t="s">
        <v>79</v>
      </c>
      <c r="G1000" s="31" t="n">
        <v>3049</v>
      </c>
      <c r="H1000" s="19" t="n">
        <v>1</v>
      </c>
      <c r="I1000" s="32" t="n">
        <v>0</v>
      </c>
      <c r="J1000" s="30" t="s">
        <v>48</v>
      </c>
      <c r="K1000" s="30" t="s">
        <v>47</v>
      </c>
      <c r="L1000" s="30" t="s">
        <v>84</v>
      </c>
      <c r="M1000" s="31" t="n">
        <f aca="false">AVERAGEIF($E$2:$E$1197,E1000,$G$2:$G$1197)</f>
        <v>2870.26771653543</v>
      </c>
      <c r="N1000" s="19" t="str">
        <f aca="false">IF(G1000&gt;M1000*3,"نعم","لا")</f>
        <v>لا</v>
      </c>
      <c r="O1000" s="19" t="str">
        <f aca="false">IF(OR(C1000="",ISNUMBER(C1000)),"لا","نعم")</f>
        <v>لا</v>
      </c>
      <c r="P1000" s="19" t="str">
        <f aca="false">IF(COUNTIF($B$2:B1000,B1000)&gt;1,"مكرر","فريد")</f>
        <v>فريد</v>
      </c>
      <c r="Q1000" s="19" t="str">
        <f aca="false">IF(COUNTBLANK(D1000:L1000)&gt;0,"نعم","لا")</f>
        <v>لا</v>
      </c>
    </row>
    <row r="1001" customFormat="false" ht="15" hidden="false" customHeight="false" outlineLevel="0" collapsed="false">
      <c r="A1001" s="19" t="n">
        <v>1000</v>
      </c>
      <c r="B1001" s="30" t="s">
        <v>795</v>
      </c>
      <c r="C1001" s="44" t="n">
        <v>45515</v>
      </c>
      <c r="D1001" s="30" t="s">
        <v>57</v>
      </c>
      <c r="E1001" s="30" t="s">
        <v>113</v>
      </c>
      <c r="F1001" s="30" t="s">
        <v>121</v>
      </c>
      <c r="G1001" s="31" t="n">
        <v>349</v>
      </c>
      <c r="H1001" s="19" t="n">
        <v>1</v>
      </c>
      <c r="I1001" s="32" t="n">
        <v>0.1</v>
      </c>
      <c r="J1001" s="30" t="s">
        <v>48</v>
      </c>
      <c r="K1001" s="30" t="s">
        <v>51</v>
      </c>
      <c r="L1001" s="30" t="s">
        <v>99</v>
      </c>
      <c r="M1001" s="31" t="n">
        <f aca="false">AVERAGEIF($E$2:$E$1197,E1001,$G$2:$G$1197)</f>
        <v>545.358823529412</v>
      </c>
      <c r="N1001" s="19" t="str">
        <f aca="false">IF(G1001&gt;M1001*3,"نعم","لا")</f>
        <v>لا</v>
      </c>
      <c r="O1001" s="19" t="str">
        <f aca="false">IF(OR(C1001="",ISNUMBER(C1001)),"لا","نعم")</f>
        <v>لا</v>
      </c>
      <c r="P1001" s="19" t="str">
        <f aca="false">IF(COUNTIF($B$2:B1001,B1001)&gt;1,"مكرر","فريد")</f>
        <v>فريد</v>
      </c>
      <c r="Q1001" s="19" t="str">
        <f aca="false">IF(COUNTBLANK(D1001:L1001)&gt;0,"نعم","لا")</f>
        <v>لا</v>
      </c>
    </row>
    <row r="1002" customFormat="false" ht="15" hidden="false" customHeight="false" outlineLevel="0" collapsed="false">
      <c r="A1002" s="19" t="n">
        <v>1001</v>
      </c>
      <c r="B1002" s="30" t="s">
        <v>917</v>
      </c>
      <c r="C1002" s="30" t="s">
        <v>1488</v>
      </c>
      <c r="D1002" s="30" t="s">
        <v>1337</v>
      </c>
      <c r="E1002" s="30" t="s">
        <v>113</v>
      </c>
      <c r="F1002" s="30" t="s">
        <v>95</v>
      </c>
      <c r="G1002" s="31" t="n">
        <v>689</v>
      </c>
      <c r="H1002" s="19" t="n">
        <v>1</v>
      </c>
      <c r="I1002" s="32" t="n">
        <v>0</v>
      </c>
      <c r="J1002" s="30" t="s">
        <v>52</v>
      </c>
      <c r="K1002" s="30" t="s">
        <v>47</v>
      </c>
      <c r="L1002" s="30" t="s">
        <v>84</v>
      </c>
      <c r="M1002" s="31" t="n">
        <f aca="false">AVERAGEIF($E$2:$E$1197,E1002,$G$2:$G$1197)</f>
        <v>545.358823529412</v>
      </c>
      <c r="N1002" s="19" t="str">
        <f aca="false">IF(G1002&gt;M1002*3,"نعم","لا")</f>
        <v>لا</v>
      </c>
      <c r="O1002" s="19" t="str">
        <f aca="false">IF(OR(C1002="",ISNUMBER(C1002)),"لا","نعم")</f>
        <v>نعم</v>
      </c>
      <c r="P1002" s="19" t="str">
        <f aca="false">IF(COUNTIF($B$2:B1002,B1002)&gt;1,"مكرر","فريد")</f>
        <v>مكرر</v>
      </c>
      <c r="Q1002" s="19" t="str">
        <f aca="false">IF(COUNTBLANK(D1002:L1002)&gt;0,"نعم","لا")</f>
        <v>لا</v>
      </c>
    </row>
    <row r="1003" customFormat="false" ht="15" hidden="false" customHeight="false" outlineLevel="0" collapsed="false">
      <c r="A1003" s="19" t="n">
        <v>1002</v>
      </c>
      <c r="B1003" s="30" t="s">
        <v>1269</v>
      </c>
      <c r="C1003" s="44" t="n">
        <v>45650</v>
      </c>
      <c r="D1003" s="30" t="s">
        <v>60</v>
      </c>
      <c r="E1003" s="30" t="s">
        <v>105</v>
      </c>
      <c r="F1003" s="30" t="s">
        <v>82</v>
      </c>
      <c r="G1003" s="31" t="n">
        <v>3799</v>
      </c>
      <c r="H1003" s="19" t="n">
        <v>1</v>
      </c>
      <c r="I1003" s="32" t="n">
        <v>0.05</v>
      </c>
      <c r="J1003" s="30" t="s">
        <v>48</v>
      </c>
      <c r="K1003" s="30" t="s">
        <v>47</v>
      </c>
      <c r="L1003" s="30" t="s">
        <v>81</v>
      </c>
      <c r="M1003" s="31" t="n">
        <f aca="false">AVERAGEIF($E$2:$E$1197,E1003,$G$2:$G$1197)</f>
        <v>2870.26771653543</v>
      </c>
      <c r="N1003" s="19" t="str">
        <f aca="false">IF(G1003&gt;M1003*3,"نعم","لا")</f>
        <v>لا</v>
      </c>
      <c r="O1003" s="19" t="str">
        <f aca="false">IF(OR(C1003="",ISNUMBER(C1003)),"لا","نعم")</f>
        <v>لا</v>
      </c>
      <c r="P1003" s="19" t="str">
        <f aca="false">IF(COUNTIF($B$2:B1003,B1003)&gt;1,"مكرر","فريد")</f>
        <v>فريد</v>
      </c>
      <c r="Q1003" s="19" t="str">
        <f aca="false">IF(COUNTBLANK(D1003:L1003)&gt;0,"نعم","لا")</f>
        <v>لا</v>
      </c>
    </row>
    <row r="1004" customFormat="false" ht="15" hidden="false" customHeight="false" outlineLevel="0" collapsed="false">
      <c r="A1004" s="19" t="n">
        <v>1003</v>
      </c>
      <c r="B1004" s="30" t="s">
        <v>710</v>
      </c>
      <c r="C1004" s="44" t="n">
        <v>45489</v>
      </c>
      <c r="D1004" s="30" t="s">
        <v>60</v>
      </c>
      <c r="E1004" s="30" t="s">
        <v>105</v>
      </c>
      <c r="F1004" s="30" t="s">
        <v>79</v>
      </c>
      <c r="G1004" s="31" t="n">
        <v>2319</v>
      </c>
      <c r="H1004" s="19" t="n">
        <v>8</v>
      </c>
      <c r="I1004" s="32" t="n">
        <v>0.05</v>
      </c>
      <c r="J1004" s="30" t="s">
        <v>55</v>
      </c>
      <c r="K1004" s="30" t="s">
        <v>51</v>
      </c>
      <c r="L1004" s="30" t="s">
        <v>86</v>
      </c>
      <c r="M1004" s="31" t="n">
        <f aca="false">AVERAGEIF($E$2:$E$1197,E1004,$G$2:$G$1197)</f>
        <v>2870.26771653543</v>
      </c>
      <c r="N1004" s="19" t="str">
        <f aca="false">IF(G1004&gt;M1004*3,"نعم","لا")</f>
        <v>لا</v>
      </c>
      <c r="O1004" s="19" t="str">
        <f aca="false">IF(OR(C1004="",ISNUMBER(C1004)),"لا","نعم")</f>
        <v>لا</v>
      </c>
      <c r="P1004" s="19" t="str">
        <f aca="false">IF(COUNTIF($B$2:B1004,B1004)&gt;1,"مكرر","فريد")</f>
        <v>مكرر</v>
      </c>
      <c r="Q1004" s="19" t="str">
        <f aca="false">IF(COUNTBLANK(D1004:L1004)&gt;0,"نعم","لا")</f>
        <v>لا</v>
      </c>
    </row>
    <row r="1005" customFormat="false" ht="15" hidden="false" customHeight="false" outlineLevel="0" collapsed="false">
      <c r="A1005" s="19" t="n">
        <v>1004</v>
      </c>
      <c r="B1005" s="30" t="s">
        <v>793</v>
      </c>
      <c r="C1005" s="44" t="n">
        <v>45514</v>
      </c>
      <c r="D1005" s="30" t="s">
        <v>57</v>
      </c>
      <c r="E1005" s="30" t="s">
        <v>109</v>
      </c>
      <c r="F1005" s="30" t="s">
        <v>175</v>
      </c>
      <c r="G1005" s="31" t="n">
        <v>339</v>
      </c>
      <c r="H1005" s="19" t="n">
        <v>1</v>
      </c>
      <c r="I1005" s="32" t="n">
        <v>0</v>
      </c>
      <c r="J1005" s="30" t="s">
        <v>48</v>
      </c>
      <c r="K1005" s="30" t="s">
        <v>47</v>
      </c>
      <c r="L1005" s="30" t="s">
        <v>78</v>
      </c>
      <c r="M1005" s="31" t="n">
        <f aca="false">AVERAGEIF($E$2:$E$1197,E1005,$G$2:$G$1197)</f>
        <v>186.056291390729</v>
      </c>
      <c r="N1005" s="19" t="str">
        <f aca="false">IF(G1005&gt;M1005*3,"نعم","لا")</f>
        <v>لا</v>
      </c>
      <c r="O1005" s="19" t="str">
        <f aca="false">IF(OR(C1005="",ISNUMBER(C1005)),"لا","نعم")</f>
        <v>لا</v>
      </c>
      <c r="P1005" s="19" t="str">
        <f aca="false">IF(COUNTIF($B$2:B1005,B1005)&gt;1,"مكرر","فريد")</f>
        <v>فريد</v>
      </c>
      <c r="Q1005" s="19" t="str">
        <f aca="false">IF(COUNTBLANK(D1005:L1005)&gt;0,"نعم","لا")</f>
        <v>لا</v>
      </c>
    </row>
    <row r="1006" customFormat="false" ht="15" hidden="false" customHeight="false" outlineLevel="0" collapsed="false">
      <c r="A1006" s="19" t="n">
        <v>1005</v>
      </c>
      <c r="B1006" s="30" t="s">
        <v>1080</v>
      </c>
      <c r="C1006" s="44" t="n">
        <v>45604</v>
      </c>
      <c r="D1006" s="30" t="s">
        <v>60</v>
      </c>
      <c r="E1006" s="30" t="s">
        <v>109</v>
      </c>
      <c r="F1006" s="30" t="s">
        <v>110</v>
      </c>
      <c r="G1006" s="31" t="n">
        <v>329</v>
      </c>
      <c r="H1006" s="19" t="n">
        <v>1</v>
      </c>
      <c r="I1006" s="32" t="n">
        <v>0.1</v>
      </c>
      <c r="J1006" s="30" t="s">
        <v>52</v>
      </c>
      <c r="K1006" s="30" t="s">
        <v>47</v>
      </c>
      <c r="L1006" s="30" t="s">
        <v>78</v>
      </c>
      <c r="M1006" s="31" t="n">
        <f aca="false">AVERAGEIF($E$2:$E$1197,E1006,$G$2:$G$1197)</f>
        <v>186.056291390729</v>
      </c>
      <c r="N1006" s="19" t="str">
        <f aca="false">IF(G1006&gt;M1006*3,"نعم","لا")</f>
        <v>لا</v>
      </c>
      <c r="O1006" s="19" t="str">
        <f aca="false">IF(OR(C1006="",ISNUMBER(C1006)),"لا","نعم")</f>
        <v>لا</v>
      </c>
      <c r="P1006" s="19" t="str">
        <f aca="false">IF(COUNTIF($B$2:B1006,B1006)&gt;1,"مكرر","فريد")</f>
        <v>فريد</v>
      </c>
      <c r="Q1006" s="19" t="str">
        <f aca="false">IF(COUNTBLANK(D1006:L1006)&gt;0,"نعم","لا")</f>
        <v>لا</v>
      </c>
    </row>
    <row r="1007" customFormat="false" ht="15" hidden="false" customHeight="false" outlineLevel="0" collapsed="false">
      <c r="A1007" s="19" t="n">
        <v>1006</v>
      </c>
      <c r="B1007" s="30" t="s">
        <v>1073</v>
      </c>
      <c r="C1007" s="44" t="n">
        <v>45602</v>
      </c>
      <c r="D1007" s="30" t="s">
        <v>46</v>
      </c>
      <c r="E1007" s="30" t="s">
        <v>105</v>
      </c>
      <c r="F1007" s="30" t="s">
        <v>90</v>
      </c>
      <c r="G1007" s="31" t="n">
        <v>2659</v>
      </c>
      <c r="H1007" s="19" t="n">
        <v>2</v>
      </c>
      <c r="I1007" s="32" t="n">
        <v>0</v>
      </c>
      <c r="J1007" s="30" t="s">
        <v>48</v>
      </c>
      <c r="K1007" s="30" t="s">
        <v>51</v>
      </c>
      <c r="L1007" s="30" t="s">
        <v>89</v>
      </c>
      <c r="M1007" s="31" t="n">
        <f aca="false">AVERAGEIF($E$2:$E$1197,E1007,$G$2:$G$1197)</f>
        <v>2870.26771653543</v>
      </c>
      <c r="N1007" s="19" t="str">
        <f aca="false">IF(G1007&gt;M1007*3,"نعم","لا")</f>
        <v>لا</v>
      </c>
      <c r="O1007" s="19" t="str">
        <f aca="false">IF(OR(C1007="",ISNUMBER(C1007)),"لا","نعم")</f>
        <v>لا</v>
      </c>
      <c r="P1007" s="19" t="str">
        <f aca="false">IF(COUNTIF($B$2:B1007,B1007)&gt;1,"مكرر","فريد")</f>
        <v>فريد</v>
      </c>
      <c r="Q1007" s="19" t="str">
        <f aca="false">IF(COUNTBLANK(D1007:L1007)&gt;0,"نعم","لا")</f>
        <v>لا</v>
      </c>
    </row>
    <row r="1008" customFormat="false" ht="15" hidden="false" customHeight="false" outlineLevel="0" collapsed="false">
      <c r="A1008" s="19" t="n">
        <v>1007</v>
      </c>
      <c r="B1008" s="30" t="s">
        <v>648</v>
      </c>
      <c r="C1008" s="44" t="n">
        <v>45467</v>
      </c>
      <c r="D1008" s="30" t="s">
        <v>57</v>
      </c>
      <c r="E1008" s="30" t="s">
        <v>109</v>
      </c>
      <c r="F1008" s="30" t="s">
        <v>93</v>
      </c>
      <c r="G1008" s="31" t="n">
        <v>309</v>
      </c>
      <c r="H1008" s="19"/>
      <c r="I1008" s="32" t="n">
        <v>0.05</v>
      </c>
      <c r="J1008" s="30" t="s">
        <v>52</v>
      </c>
      <c r="K1008" s="30" t="s">
        <v>47</v>
      </c>
      <c r="L1008" s="30" t="s">
        <v>89</v>
      </c>
      <c r="M1008" s="31" t="n">
        <f aca="false">AVERAGEIF($E$2:$E$1197,E1008,$G$2:$G$1197)</f>
        <v>186.056291390729</v>
      </c>
      <c r="N1008" s="19" t="str">
        <f aca="false">IF(G1008&gt;M1008*3,"نعم","لا")</f>
        <v>لا</v>
      </c>
      <c r="O1008" s="19" t="str">
        <f aca="false">IF(OR(C1008="",ISNUMBER(C1008)),"لا","نعم")</f>
        <v>لا</v>
      </c>
      <c r="P1008" s="19" t="str">
        <f aca="false">IF(COUNTIF($B$2:B1008,B1008)&gt;1,"مكرر","فريد")</f>
        <v>فريد</v>
      </c>
      <c r="Q1008" s="19" t="str">
        <f aca="false">IF(COUNTBLANK(D1008:L1008)&gt;0,"نعم","لا")</f>
        <v>نعم</v>
      </c>
    </row>
    <row r="1009" customFormat="false" ht="15" hidden="false" customHeight="false" outlineLevel="0" collapsed="false">
      <c r="A1009" s="19" t="n">
        <v>1008</v>
      </c>
      <c r="B1009" s="30" t="s">
        <v>968</v>
      </c>
      <c r="C1009" s="44" t="n">
        <v>45569</v>
      </c>
      <c r="D1009" s="30" t="s">
        <v>50</v>
      </c>
      <c r="E1009" s="30" t="s">
        <v>107</v>
      </c>
      <c r="F1009" s="30" t="s">
        <v>114</v>
      </c>
      <c r="G1009" s="31" t="n">
        <v>2579</v>
      </c>
      <c r="H1009" s="19" t="n">
        <v>1</v>
      </c>
      <c r="I1009" s="32" t="n">
        <v>0</v>
      </c>
      <c r="J1009" s="30" t="s">
        <v>55</v>
      </c>
      <c r="K1009" s="30" t="s">
        <v>47</v>
      </c>
      <c r="L1009" s="30" t="s">
        <v>84</v>
      </c>
      <c r="M1009" s="31" t="n">
        <f aca="false">AVERAGEIF($E$2:$E$1197,E1009,$G$2:$G$1197)</f>
        <v>4981.14563106796</v>
      </c>
      <c r="N1009" s="19" t="str">
        <f aca="false">IF(G1009&gt;M1009*3,"نعم","لا")</f>
        <v>لا</v>
      </c>
      <c r="O1009" s="19" t="str">
        <f aca="false">IF(OR(C1009="",ISNUMBER(C1009)),"لا","نعم")</f>
        <v>لا</v>
      </c>
      <c r="P1009" s="19" t="str">
        <f aca="false">IF(COUNTIF($B$2:B1009,B1009)&gt;1,"مكرر","فريد")</f>
        <v>فريد</v>
      </c>
      <c r="Q1009" s="19" t="str">
        <f aca="false">IF(COUNTBLANK(D1009:L1009)&gt;0,"نعم","لا")</f>
        <v>لا</v>
      </c>
    </row>
    <row r="1010" customFormat="false" ht="15" hidden="false" customHeight="false" outlineLevel="0" collapsed="false">
      <c r="A1010" s="19" t="n">
        <v>1009</v>
      </c>
      <c r="B1010" s="30" t="s">
        <v>857</v>
      </c>
      <c r="C1010" s="44" t="n">
        <v>45532</v>
      </c>
      <c r="D1010" s="30" t="s">
        <v>50</v>
      </c>
      <c r="E1010" s="30" t="s">
        <v>105</v>
      </c>
      <c r="F1010" s="30" t="s">
        <v>85</v>
      </c>
      <c r="G1010" s="31" t="n">
        <v>1949</v>
      </c>
      <c r="H1010" s="19" t="n">
        <v>2</v>
      </c>
      <c r="I1010" s="32" t="n">
        <v>0.05</v>
      </c>
      <c r="J1010" s="30" t="s">
        <v>55</v>
      </c>
      <c r="K1010" s="30" t="s">
        <v>47</v>
      </c>
      <c r="L1010" s="30" t="s">
        <v>78</v>
      </c>
      <c r="M1010" s="31" t="n">
        <f aca="false">AVERAGEIF($E$2:$E$1197,E1010,$G$2:$G$1197)</f>
        <v>2870.26771653543</v>
      </c>
      <c r="N1010" s="19" t="str">
        <f aca="false">IF(G1010&gt;M1010*3,"نعم","لا")</f>
        <v>لا</v>
      </c>
      <c r="O1010" s="19" t="str">
        <f aca="false">IF(OR(C1010="",ISNUMBER(C1010)),"لا","نعم")</f>
        <v>لا</v>
      </c>
      <c r="P1010" s="19" t="str">
        <f aca="false">IF(COUNTIF($B$2:B1010,B1010)&gt;1,"مكرر","فريد")</f>
        <v>فريد</v>
      </c>
      <c r="Q1010" s="19" t="str">
        <f aca="false">IF(COUNTBLANK(D1010:L1010)&gt;0,"نعم","لا")</f>
        <v>لا</v>
      </c>
    </row>
    <row r="1011" customFormat="false" ht="15" hidden="false" customHeight="false" outlineLevel="0" collapsed="false">
      <c r="A1011" s="19" t="n">
        <v>1010</v>
      </c>
      <c r="B1011" s="30" t="s">
        <v>1257</v>
      </c>
      <c r="C1011" s="44" t="n">
        <v>45648</v>
      </c>
      <c r="D1011" s="30" t="s">
        <v>57</v>
      </c>
      <c r="E1011" s="30" t="s">
        <v>105</v>
      </c>
      <c r="F1011" s="30" t="s">
        <v>85</v>
      </c>
      <c r="G1011" s="31" t="n">
        <v>3599</v>
      </c>
      <c r="H1011" s="19" t="n">
        <v>1</v>
      </c>
      <c r="I1011" s="32" t="n">
        <v>0</v>
      </c>
      <c r="J1011" s="30" t="s">
        <v>52</v>
      </c>
      <c r="K1011" s="30" t="s">
        <v>47</v>
      </c>
      <c r="L1011" s="30" t="s">
        <v>92</v>
      </c>
      <c r="M1011" s="31" t="n">
        <f aca="false">AVERAGEIF($E$2:$E$1197,E1011,$G$2:$G$1197)</f>
        <v>2870.26771653543</v>
      </c>
      <c r="N1011" s="19" t="str">
        <f aca="false">IF(G1011&gt;M1011*3,"نعم","لا")</f>
        <v>لا</v>
      </c>
      <c r="O1011" s="19" t="str">
        <f aca="false">IF(OR(C1011="",ISNUMBER(C1011)),"لا","نعم")</f>
        <v>لا</v>
      </c>
      <c r="P1011" s="19" t="str">
        <f aca="false">IF(COUNTIF($B$2:B1011,B1011)&gt;1,"مكرر","فريد")</f>
        <v>مكرر</v>
      </c>
      <c r="Q1011" s="19" t="str">
        <f aca="false">IF(COUNTBLANK(D1011:L1011)&gt;0,"نعم","لا")</f>
        <v>لا</v>
      </c>
    </row>
    <row r="1012" customFormat="false" ht="15" hidden="false" customHeight="false" outlineLevel="0" collapsed="false">
      <c r="A1012" s="19" t="n">
        <v>1011</v>
      </c>
      <c r="B1012" s="30" t="s">
        <v>321</v>
      </c>
      <c r="C1012" s="44" t="n">
        <v>45349</v>
      </c>
      <c r="D1012" s="30" t="s">
        <v>46</v>
      </c>
      <c r="E1012" s="30" t="s">
        <v>107</v>
      </c>
      <c r="F1012" s="30" t="s">
        <v>115</v>
      </c>
      <c r="G1012" s="31" t="n">
        <v>6269</v>
      </c>
      <c r="H1012" s="19" t="n">
        <v>1</v>
      </c>
      <c r="I1012" s="32" t="n">
        <v>0.05</v>
      </c>
      <c r="J1012" s="30" t="s">
        <v>48</v>
      </c>
      <c r="K1012" s="30" t="s">
        <v>47</v>
      </c>
      <c r="L1012" s="30" t="s">
        <v>86</v>
      </c>
      <c r="M1012" s="31" t="n">
        <f aca="false">AVERAGEIF($E$2:$E$1197,E1012,$G$2:$G$1197)</f>
        <v>4981.14563106796</v>
      </c>
      <c r="N1012" s="19" t="str">
        <f aca="false">IF(G1012&gt;M1012*3,"نعم","لا")</f>
        <v>لا</v>
      </c>
      <c r="O1012" s="19" t="str">
        <f aca="false">IF(OR(C1012="",ISNUMBER(C1012)),"لا","نعم")</f>
        <v>لا</v>
      </c>
      <c r="P1012" s="19" t="str">
        <f aca="false">IF(COUNTIF($B$2:B1012,B1012)&gt;1,"مكرر","فريد")</f>
        <v>فريد</v>
      </c>
      <c r="Q1012" s="19" t="str">
        <f aca="false">IF(COUNTBLANK(D1012:L1012)&gt;0,"نعم","لا")</f>
        <v>لا</v>
      </c>
    </row>
    <row r="1013" customFormat="false" ht="15" hidden="false" customHeight="false" outlineLevel="0" collapsed="false">
      <c r="A1013" s="19" t="n">
        <v>1012</v>
      </c>
      <c r="B1013" s="30" t="s">
        <v>315</v>
      </c>
      <c r="C1013" s="44" t="n">
        <v>45348</v>
      </c>
      <c r="D1013" s="30" t="s">
        <v>50</v>
      </c>
      <c r="E1013" s="30" t="s">
        <v>111</v>
      </c>
      <c r="F1013" s="30" t="s">
        <v>120</v>
      </c>
      <c r="G1013" s="31" t="n">
        <v>169</v>
      </c>
      <c r="H1013" s="19" t="n">
        <v>6</v>
      </c>
      <c r="I1013" s="32" t="n">
        <v>0.05</v>
      </c>
      <c r="J1013" s="30" t="s">
        <v>48</v>
      </c>
      <c r="K1013" s="30" t="s">
        <v>51</v>
      </c>
      <c r="L1013" s="30" t="s">
        <v>94</v>
      </c>
      <c r="M1013" s="31" t="n">
        <f aca="false">AVERAGEIF($E$2:$E$1197,E1013,$G$2:$G$1197)</f>
        <v>366.306569343066</v>
      </c>
      <c r="N1013" s="19" t="str">
        <f aca="false">IF(G1013&gt;M1013*3,"نعم","لا")</f>
        <v>لا</v>
      </c>
      <c r="O1013" s="19" t="str">
        <f aca="false">IF(OR(C1013="",ISNUMBER(C1013)),"لا","نعم")</f>
        <v>لا</v>
      </c>
      <c r="P1013" s="19" t="str">
        <f aca="false">IF(COUNTIF($B$2:B1013,B1013)&gt;1,"مكرر","فريد")</f>
        <v>فريد</v>
      </c>
      <c r="Q1013" s="19" t="str">
        <f aca="false">IF(COUNTBLANK(D1013:L1013)&gt;0,"نعم","لا")</f>
        <v>لا</v>
      </c>
    </row>
    <row r="1014" customFormat="false" ht="15" hidden="false" customHeight="false" outlineLevel="0" collapsed="false">
      <c r="A1014" s="19" t="n">
        <v>1013</v>
      </c>
      <c r="B1014" s="30" t="s">
        <v>842</v>
      </c>
      <c r="C1014" s="44" t="n">
        <v>45527</v>
      </c>
      <c r="D1014" s="30" t="s">
        <v>46</v>
      </c>
      <c r="E1014" s="30" t="s">
        <v>111</v>
      </c>
      <c r="F1014" s="30" t="s">
        <v>122</v>
      </c>
      <c r="G1014" s="31" t="n">
        <v>579</v>
      </c>
      <c r="H1014" s="19" t="n">
        <v>1</v>
      </c>
      <c r="I1014" s="32" t="n">
        <v>0.05</v>
      </c>
      <c r="J1014" s="30" t="s">
        <v>48</v>
      </c>
      <c r="K1014" s="30" t="s">
        <v>51</v>
      </c>
      <c r="L1014" s="30" t="s">
        <v>84</v>
      </c>
      <c r="M1014" s="31" t="n">
        <f aca="false">AVERAGEIF($E$2:$E$1197,E1014,$G$2:$G$1197)</f>
        <v>366.306569343066</v>
      </c>
      <c r="N1014" s="19" t="str">
        <f aca="false">IF(G1014&gt;M1014*3,"نعم","لا")</f>
        <v>لا</v>
      </c>
      <c r="O1014" s="19" t="str">
        <f aca="false">IF(OR(C1014="",ISNUMBER(C1014)),"لا","نعم")</f>
        <v>لا</v>
      </c>
      <c r="P1014" s="19" t="str">
        <f aca="false">IF(COUNTIF($B$2:B1014,B1014)&gt;1,"مكرر","فريد")</f>
        <v>مكرر</v>
      </c>
      <c r="Q1014" s="19" t="str">
        <f aca="false">IF(COUNTBLANK(D1014:L1014)&gt;0,"نعم","لا")</f>
        <v>لا</v>
      </c>
    </row>
    <row r="1015" customFormat="false" ht="15" hidden="false" customHeight="false" outlineLevel="0" collapsed="false">
      <c r="A1015" s="19" t="n">
        <v>1014</v>
      </c>
      <c r="B1015" s="30" t="s">
        <v>1107</v>
      </c>
      <c r="C1015" s="44" t="n">
        <v>45608</v>
      </c>
      <c r="D1015" s="30" t="s">
        <v>46</v>
      </c>
      <c r="E1015" s="30" t="s">
        <v>109</v>
      </c>
      <c r="F1015" s="30" t="s">
        <v>192</v>
      </c>
      <c r="G1015" s="31" t="n">
        <v>119</v>
      </c>
      <c r="H1015" s="19" t="n">
        <v>2</v>
      </c>
      <c r="I1015" s="32" t="n">
        <v>0</v>
      </c>
      <c r="J1015" s="30" t="s">
        <v>55</v>
      </c>
      <c r="K1015" s="30" t="s">
        <v>51</v>
      </c>
      <c r="L1015" s="30" t="s">
        <v>76</v>
      </c>
      <c r="M1015" s="31" t="n">
        <f aca="false">AVERAGEIF($E$2:$E$1197,E1015,$G$2:$G$1197)</f>
        <v>186.056291390729</v>
      </c>
      <c r="N1015" s="19" t="str">
        <f aca="false">IF(G1015&gt;M1015*3,"نعم","لا")</f>
        <v>لا</v>
      </c>
      <c r="O1015" s="19" t="str">
        <f aca="false">IF(OR(C1015="",ISNUMBER(C1015)),"لا","نعم")</f>
        <v>لا</v>
      </c>
      <c r="P1015" s="19" t="str">
        <f aca="false">IF(COUNTIF($B$2:B1015,B1015)&gt;1,"مكرر","فريد")</f>
        <v>فريد</v>
      </c>
      <c r="Q1015" s="19" t="str">
        <f aca="false">IF(COUNTBLANK(D1015:L1015)&gt;0,"نعم","لا")</f>
        <v>لا</v>
      </c>
    </row>
    <row r="1016" customFormat="false" ht="15" hidden="false" customHeight="false" outlineLevel="0" collapsed="false">
      <c r="A1016" s="19" t="n">
        <v>1015</v>
      </c>
      <c r="B1016" s="30" t="s">
        <v>506</v>
      </c>
      <c r="C1016" s="44" t="n">
        <v>45417</v>
      </c>
      <c r="D1016" s="30" t="s">
        <v>54</v>
      </c>
      <c r="E1016" s="30" t="s">
        <v>105</v>
      </c>
      <c r="F1016" s="30" t="s">
        <v>79</v>
      </c>
      <c r="G1016" s="31" t="n">
        <v>919</v>
      </c>
      <c r="H1016" s="19" t="n">
        <v>5</v>
      </c>
      <c r="I1016" s="32" t="n">
        <v>0</v>
      </c>
      <c r="J1016" s="30" t="s">
        <v>52</v>
      </c>
      <c r="K1016" s="30" t="s">
        <v>51</v>
      </c>
      <c r="L1016" s="30" t="s">
        <v>92</v>
      </c>
      <c r="M1016" s="31" t="n">
        <f aca="false">AVERAGEIF($E$2:$E$1197,E1016,$G$2:$G$1197)</f>
        <v>2870.26771653543</v>
      </c>
      <c r="N1016" s="19" t="str">
        <f aca="false">IF(G1016&gt;M1016*3,"نعم","لا")</f>
        <v>لا</v>
      </c>
      <c r="O1016" s="19" t="str">
        <f aca="false">IF(OR(C1016="",ISNUMBER(C1016)),"لا","نعم")</f>
        <v>لا</v>
      </c>
      <c r="P1016" s="19" t="str">
        <f aca="false">IF(COUNTIF($B$2:B1016,B1016)&gt;1,"مكرر","فريد")</f>
        <v>فريد</v>
      </c>
      <c r="Q1016" s="19" t="str">
        <f aca="false">IF(COUNTBLANK(D1016:L1016)&gt;0,"نعم","لا")</f>
        <v>لا</v>
      </c>
    </row>
    <row r="1017" customFormat="false" ht="15" hidden="false" customHeight="false" outlineLevel="0" collapsed="false">
      <c r="A1017" s="19" t="n">
        <v>1016</v>
      </c>
      <c r="B1017" s="30" t="s">
        <v>565</v>
      </c>
      <c r="C1017" s="44" t="n">
        <v>45436</v>
      </c>
      <c r="D1017" s="30" t="s">
        <v>46</v>
      </c>
      <c r="E1017" s="30" t="s">
        <v>109</v>
      </c>
      <c r="F1017" s="30" t="s">
        <v>93</v>
      </c>
      <c r="G1017" s="31" t="n">
        <v>69</v>
      </c>
      <c r="H1017" s="19" t="n">
        <v>1</v>
      </c>
      <c r="I1017" s="32" t="n">
        <v>0.2</v>
      </c>
      <c r="J1017" s="30" t="s">
        <v>55</v>
      </c>
      <c r="K1017" s="30" t="s">
        <v>51</v>
      </c>
      <c r="L1017" s="30" t="s">
        <v>84</v>
      </c>
      <c r="M1017" s="31" t="n">
        <f aca="false">AVERAGEIF($E$2:$E$1197,E1017,$G$2:$G$1197)</f>
        <v>186.056291390729</v>
      </c>
      <c r="N1017" s="19" t="str">
        <f aca="false">IF(G1017&gt;M1017*3,"نعم","لا")</f>
        <v>لا</v>
      </c>
      <c r="O1017" s="19" t="str">
        <f aca="false">IF(OR(C1017="",ISNUMBER(C1017)),"لا","نعم")</f>
        <v>لا</v>
      </c>
      <c r="P1017" s="19" t="str">
        <f aca="false">IF(COUNTIF($B$2:B1017,B1017)&gt;1,"مكرر","فريد")</f>
        <v>فريد</v>
      </c>
      <c r="Q1017" s="19" t="str">
        <f aca="false">IF(COUNTBLANK(D1017:L1017)&gt;0,"نعم","لا")</f>
        <v>لا</v>
      </c>
    </row>
    <row r="1018" customFormat="false" ht="15" hidden="false" customHeight="false" outlineLevel="0" collapsed="false">
      <c r="A1018" s="19" t="n">
        <v>1017</v>
      </c>
      <c r="B1018" s="30" t="s">
        <v>1077</v>
      </c>
      <c r="C1018" s="44" t="n">
        <v>45603</v>
      </c>
      <c r="D1018" s="30" t="s">
        <v>54</v>
      </c>
      <c r="E1018" s="30" t="s">
        <v>105</v>
      </c>
      <c r="F1018" s="30" t="s">
        <v>85</v>
      </c>
      <c r="G1018" s="31" t="n">
        <v>1669</v>
      </c>
      <c r="H1018" s="19" t="n">
        <v>2</v>
      </c>
      <c r="I1018" s="32" t="n">
        <v>0</v>
      </c>
      <c r="J1018" s="30" t="s">
        <v>48</v>
      </c>
      <c r="K1018" s="30" t="s">
        <v>47</v>
      </c>
      <c r="L1018" s="30" t="s">
        <v>76</v>
      </c>
      <c r="M1018" s="31" t="n">
        <f aca="false">AVERAGEIF($E$2:$E$1197,E1018,$G$2:$G$1197)</f>
        <v>2870.26771653543</v>
      </c>
      <c r="N1018" s="19" t="str">
        <f aca="false">IF(G1018&gt;M1018*3,"نعم","لا")</f>
        <v>لا</v>
      </c>
      <c r="O1018" s="19" t="str">
        <f aca="false">IF(OR(C1018="",ISNUMBER(C1018)),"لا","نعم")</f>
        <v>لا</v>
      </c>
      <c r="P1018" s="19" t="str">
        <f aca="false">IF(COUNTIF($B$2:B1018,B1018)&gt;1,"مكرر","فريد")</f>
        <v>فريد</v>
      </c>
      <c r="Q1018" s="19" t="str">
        <f aca="false">IF(COUNTBLANK(D1018:L1018)&gt;0,"نعم","لا")</f>
        <v>لا</v>
      </c>
    </row>
    <row r="1019" customFormat="false" ht="15" hidden="false" customHeight="false" outlineLevel="0" collapsed="false">
      <c r="A1019" s="19" t="n">
        <v>1018</v>
      </c>
      <c r="B1019" s="30" t="s">
        <v>1102</v>
      </c>
      <c r="C1019" s="44" t="n">
        <v>45607</v>
      </c>
      <c r="D1019" s="30" t="s">
        <v>50</v>
      </c>
      <c r="E1019" s="30" t="s">
        <v>105</v>
      </c>
      <c r="F1019" s="30" t="s">
        <v>85</v>
      </c>
      <c r="G1019" s="31" t="n">
        <v>1779</v>
      </c>
      <c r="H1019" s="19" t="n">
        <v>1</v>
      </c>
      <c r="I1019" s="32" t="n">
        <v>0</v>
      </c>
      <c r="J1019" s="30" t="s">
        <v>48</v>
      </c>
      <c r="K1019" s="30" t="s">
        <v>47</v>
      </c>
      <c r="L1019" s="30" t="s">
        <v>89</v>
      </c>
      <c r="M1019" s="31" t="n">
        <f aca="false">AVERAGEIF($E$2:$E$1197,E1019,$G$2:$G$1197)</f>
        <v>2870.26771653543</v>
      </c>
      <c r="N1019" s="19" t="str">
        <f aca="false">IF(G1019&gt;M1019*3,"نعم","لا")</f>
        <v>لا</v>
      </c>
      <c r="O1019" s="19" t="str">
        <f aca="false">IF(OR(C1019="",ISNUMBER(C1019)),"لا","نعم")</f>
        <v>لا</v>
      </c>
      <c r="P1019" s="19" t="str">
        <f aca="false">IF(COUNTIF($B$2:B1019,B1019)&gt;1,"مكرر","فريد")</f>
        <v>فريد</v>
      </c>
      <c r="Q1019" s="19" t="str">
        <f aca="false">IF(COUNTBLANK(D1019:L1019)&gt;0,"نعم","لا")</f>
        <v>لا</v>
      </c>
    </row>
    <row r="1020" customFormat="false" ht="15" hidden="false" customHeight="false" outlineLevel="0" collapsed="false">
      <c r="A1020" s="19" t="n">
        <v>1019</v>
      </c>
      <c r="B1020" s="30" t="s">
        <v>1262</v>
      </c>
      <c r="C1020" s="44" t="n">
        <v>45648</v>
      </c>
      <c r="D1020" s="30" t="s">
        <v>57</v>
      </c>
      <c r="E1020" s="30" t="s">
        <v>111</v>
      </c>
      <c r="F1020" s="30" t="s">
        <v>122</v>
      </c>
      <c r="G1020" s="31" t="n">
        <v>329</v>
      </c>
      <c r="H1020" s="19" t="n">
        <v>1</v>
      </c>
      <c r="I1020" s="32" t="n">
        <v>0</v>
      </c>
      <c r="J1020" s="30" t="s">
        <v>55</v>
      </c>
      <c r="K1020" s="30" t="s">
        <v>47</v>
      </c>
      <c r="L1020" s="30" t="s">
        <v>92</v>
      </c>
      <c r="M1020" s="31" t="n">
        <f aca="false">AVERAGEIF($E$2:$E$1197,E1020,$G$2:$G$1197)</f>
        <v>366.306569343066</v>
      </c>
      <c r="N1020" s="19" t="str">
        <f aca="false">IF(G1020&gt;M1020*3,"نعم","لا")</f>
        <v>لا</v>
      </c>
      <c r="O1020" s="19" t="str">
        <f aca="false">IF(OR(C1020="",ISNUMBER(C1020)),"لا","نعم")</f>
        <v>لا</v>
      </c>
      <c r="P1020" s="19" t="str">
        <f aca="false">IF(COUNTIF($B$2:B1020,B1020)&gt;1,"مكرر","فريد")</f>
        <v>فريد</v>
      </c>
      <c r="Q1020" s="19" t="str">
        <f aca="false">IF(COUNTBLANK(D1020:L1020)&gt;0,"نعم","لا")</f>
        <v>لا</v>
      </c>
    </row>
    <row r="1021" customFormat="false" ht="15" hidden="false" customHeight="false" outlineLevel="0" collapsed="false">
      <c r="A1021" s="19" t="n">
        <v>1020</v>
      </c>
      <c r="B1021" s="30" t="s">
        <v>812</v>
      </c>
      <c r="C1021" s="44" t="n">
        <v>45519</v>
      </c>
      <c r="D1021" s="30" t="s">
        <v>57</v>
      </c>
      <c r="E1021" s="30" t="s">
        <v>107</v>
      </c>
      <c r="F1021" s="30" t="s">
        <v>272</v>
      </c>
      <c r="G1021" s="31" t="n">
        <v>3539</v>
      </c>
      <c r="H1021" s="19" t="n">
        <v>1</v>
      </c>
      <c r="I1021" s="32" t="n">
        <v>0.05</v>
      </c>
      <c r="J1021" s="30" t="s">
        <v>48</v>
      </c>
      <c r="K1021" s="30" t="s">
        <v>47</v>
      </c>
      <c r="L1021" s="30" t="s">
        <v>86</v>
      </c>
      <c r="M1021" s="31" t="n">
        <f aca="false">AVERAGEIF($E$2:$E$1197,E1021,$G$2:$G$1197)</f>
        <v>4981.14563106796</v>
      </c>
      <c r="N1021" s="19" t="str">
        <f aca="false">IF(G1021&gt;M1021*3,"نعم","لا")</f>
        <v>لا</v>
      </c>
      <c r="O1021" s="19" t="str">
        <f aca="false">IF(OR(C1021="",ISNUMBER(C1021)),"لا","نعم")</f>
        <v>لا</v>
      </c>
      <c r="P1021" s="19" t="str">
        <f aca="false">IF(COUNTIF($B$2:B1021,B1021)&gt;1,"مكرر","فريد")</f>
        <v>فريد</v>
      </c>
      <c r="Q1021" s="19" t="str">
        <f aca="false">IF(COUNTBLANK(D1021:L1021)&gt;0,"نعم","لا")</f>
        <v>لا</v>
      </c>
    </row>
    <row r="1022" customFormat="false" ht="15" hidden="false" customHeight="false" outlineLevel="0" collapsed="false">
      <c r="A1022" s="19" t="n">
        <v>1021</v>
      </c>
      <c r="B1022" s="30" t="s">
        <v>921</v>
      </c>
      <c r="C1022" s="44" t="n">
        <v>45554</v>
      </c>
      <c r="D1022" s="30" t="s">
        <v>50</v>
      </c>
      <c r="E1022" s="30" t="s">
        <v>113</v>
      </c>
      <c r="F1022" s="30" t="s">
        <v>95</v>
      </c>
      <c r="G1022" s="31" t="n">
        <v>429</v>
      </c>
      <c r="H1022" s="19" t="n">
        <v>1</v>
      </c>
      <c r="I1022" s="32" t="n">
        <v>0.15</v>
      </c>
      <c r="J1022" s="30" t="s">
        <v>48</v>
      </c>
      <c r="K1022" s="30" t="s">
        <v>47</v>
      </c>
      <c r="L1022" s="30" t="s">
        <v>78</v>
      </c>
      <c r="M1022" s="31" t="n">
        <f aca="false">AVERAGEIF($E$2:$E$1197,E1022,$G$2:$G$1197)</f>
        <v>545.358823529412</v>
      </c>
      <c r="N1022" s="19" t="str">
        <f aca="false">IF(G1022&gt;M1022*3,"نعم","لا")</f>
        <v>لا</v>
      </c>
      <c r="O1022" s="19" t="str">
        <f aca="false">IF(OR(C1022="",ISNUMBER(C1022)),"لا","نعم")</f>
        <v>لا</v>
      </c>
      <c r="P1022" s="19" t="str">
        <f aca="false">IF(COUNTIF($B$2:B1022,B1022)&gt;1,"مكرر","فريد")</f>
        <v>فريد</v>
      </c>
      <c r="Q1022" s="19" t="str">
        <f aca="false">IF(COUNTBLANK(D1022:L1022)&gt;0,"نعم","لا")</f>
        <v>لا</v>
      </c>
    </row>
    <row r="1023" customFormat="false" ht="15" hidden="false" customHeight="false" outlineLevel="0" collapsed="false">
      <c r="A1023" s="19" t="n">
        <v>1022</v>
      </c>
      <c r="B1023" s="30" t="s">
        <v>512</v>
      </c>
      <c r="C1023" s="44" t="n">
        <v>45420</v>
      </c>
      <c r="D1023" s="30" t="s">
        <v>60</v>
      </c>
      <c r="E1023" s="30" t="s">
        <v>105</v>
      </c>
      <c r="F1023" s="30" t="s">
        <v>79</v>
      </c>
      <c r="G1023" s="31" t="n">
        <v>1459</v>
      </c>
      <c r="H1023" s="19" t="n">
        <v>1</v>
      </c>
      <c r="I1023" s="32" t="n">
        <v>0</v>
      </c>
      <c r="J1023" s="30" t="s">
        <v>58</v>
      </c>
      <c r="K1023" s="30" t="s">
        <v>47</v>
      </c>
      <c r="L1023" s="30" t="s">
        <v>81</v>
      </c>
      <c r="M1023" s="31" t="n">
        <f aca="false">AVERAGEIF($E$2:$E$1197,E1023,$G$2:$G$1197)</f>
        <v>2870.26771653543</v>
      </c>
      <c r="N1023" s="19" t="str">
        <f aca="false">IF(G1023&gt;M1023*3,"نعم","لا")</f>
        <v>لا</v>
      </c>
      <c r="O1023" s="19" t="str">
        <f aca="false">IF(OR(C1023="",ISNUMBER(C1023)),"لا","نعم")</f>
        <v>لا</v>
      </c>
      <c r="P1023" s="19" t="str">
        <f aca="false">IF(COUNTIF($B$2:B1023,B1023)&gt;1,"مكرر","فريد")</f>
        <v>فريد</v>
      </c>
      <c r="Q1023" s="19" t="str">
        <f aca="false">IF(COUNTBLANK(D1023:L1023)&gt;0,"نعم","لا")</f>
        <v>لا</v>
      </c>
    </row>
    <row r="1024" customFormat="false" ht="15" hidden="false" customHeight="false" outlineLevel="0" collapsed="false">
      <c r="A1024" s="19" t="n">
        <v>1023</v>
      </c>
      <c r="B1024" s="30" t="s">
        <v>623</v>
      </c>
      <c r="C1024" s="44" t="n">
        <v>45458</v>
      </c>
      <c r="D1024" s="30" t="s">
        <v>57</v>
      </c>
      <c r="E1024" s="30" t="s">
        <v>113</v>
      </c>
      <c r="F1024" s="30" t="s">
        <v>95</v>
      </c>
      <c r="G1024" s="31" t="n">
        <v>359</v>
      </c>
      <c r="H1024" s="19" t="n">
        <v>2</v>
      </c>
      <c r="I1024" s="32" t="n">
        <v>0</v>
      </c>
      <c r="J1024" s="30" t="s">
        <v>55</v>
      </c>
      <c r="K1024" s="30" t="s">
        <v>47</v>
      </c>
      <c r="L1024" s="30" t="s">
        <v>99</v>
      </c>
      <c r="M1024" s="31" t="n">
        <f aca="false">AVERAGEIF($E$2:$E$1197,E1024,$G$2:$G$1197)</f>
        <v>545.358823529412</v>
      </c>
      <c r="N1024" s="19" t="str">
        <f aca="false">IF(G1024&gt;M1024*3,"نعم","لا")</f>
        <v>لا</v>
      </c>
      <c r="O1024" s="19" t="str">
        <f aca="false">IF(OR(C1024="",ISNUMBER(C1024)),"لا","نعم")</f>
        <v>لا</v>
      </c>
      <c r="P1024" s="19" t="str">
        <f aca="false">IF(COUNTIF($B$2:B1024,B1024)&gt;1,"مكرر","فريد")</f>
        <v>فريد</v>
      </c>
      <c r="Q1024" s="19" t="str">
        <f aca="false">IF(COUNTBLANK(D1024:L1024)&gt;0,"نعم","لا")</f>
        <v>لا</v>
      </c>
    </row>
    <row r="1025" customFormat="false" ht="15" hidden="false" customHeight="false" outlineLevel="0" collapsed="false">
      <c r="A1025" s="19" t="n">
        <v>1024</v>
      </c>
      <c r="B1025" s="30" t="s">
        <v>490</v>
      </c>
      <c r="C1025" s="44" t="n">
        <v>45410</v>
      </c>
      <c r="D1025" s="30" t="s">
        <v>46</v>
      </c>
      <c r="E1025" s="30" t="s">
        <v>105</v>
      </c>
      <c r="F1025" s="30" t="s">
        <v>79</v>
      </c>
      <c r="G1025" s="31" t="n">
        <v>3769</v>
      </c>
      <c r="H1025" s="19" t="n">
        <v>3</v>
      </c>
      <c r="I1025" s="32" t="n">
        <v>0.15</v>
      </c>
      <c r="J1025" s="30" t="s">
        <v>48</v>
      </c>
      <c r="K1025" s="30" t="s">
        <v>51</v>
      </c>
      <c r="L1025" s="30" t="s">
        <v>78</v>
      </c>
      <c r="M1025" s="31" t="n">
        <f aca="false">AVERAGEIF($E$2:$E$1197,E1025,$G$2:$G$1197)</f>
        <v>2870.26771653543</v>
      </c>
      <c r="N1025" s="19" t="str">
        <f aca="false">IF(G1025&gt;M1025*3,"نعم","لا")</f>
        <v>لا</v>
      </c>
      <c r="O1025" s="19" t="str">
        <f aca="false">IF(OR(C1025="",ISNUMBER(C1025)),"لا","نعم")</f>
        <v>لا</v>
      </c>
      <c r="P1025" s="19" t="str">
        <f aca="false">IF(COUNTIF($B$2:B1025,B1025)&gt;1,"مكرر","فريد")</f>
        <v>فريد</v>
      </c>
      <c r="Q1025" s="19" t="str">
        <f aca="false">IF(COUNTBLANK(D1025:L1025)&gt;0,"نعم","لا")</f>
        <v>لا</v>
      </c>
    </row>
    <row r="1026" customFormat="false" ht="15" hidden="false" customHeight="false" outlineLevel="0" collapsed="false">
      <c r="A1026" s="19" t="n">
        <v>1025</v>
      </c>
      <c r="B1026" s="30" t="s">
        <v>354</v>
      </c>
      <c r="C1026" s="44" t="n">
        <v>45362</v>
      </c>
      <c r="D1026" s="30" t="s">
        <v>57</v>
      </c>
      <c r="E1026" s="30" t="s">
        <v>111</v>
      </c>
      <c r="F1026" s="30" t="s">
        <v>120</v>
      </c>
      <c r="G1026" s="31" t="n">
        <v>389</v>
      </c>
      <c r="H1026" s="19" t="n">
        <v>1</v>
      </c>
      <c r="I1026" s="32" t="n">
        <v>0</v>
      </c>
      <c r="J1026" s="30" t="s">
        <v>52</v>
      </c>
      <c r="K1026" s="30" t="s">
        <v>47</v>
      </c>
      <c r="L1026" s="30" t="s">
        <v>96</v>
      </c>
      <c r="M1026" s="31" t="n">
        <f aca="false">AVERAGEIF($E$2:$E$1197,E1026,$G$2:$G$1197)</f>
        <v>366.306569343066</v>
      </c>
      <c r="N1026" s="19" t="str">
        <f aca="false">IF(G1026&gt;M1026*3,"نعم","لا")</f>
        <v>لا</v>
      </c>
      <c r="O1026" s="19" t="str">
        <f aca="false">IF(OR(C1026="",ISNUMBER(C1026)),"لا","نعم")</f>
        <v>لا</v>
      </c>
      <c r="P1026" s="19" t="str">
        <f aca="false">IF(COUNTIF($B$2:B1026,B1026)&gt;1,"مكرر","فريد")</f>
        <v>فريد</v>
      </c>
      <c r="Q1026" s="19" t="str">
        <f aca="false">IF(COUNTBLANK(D1026:L1026)&gt;0,"نعم","لا")</f>
        <v>لا</v>
      </c>
    </row>
    <row r="1027" customFormat="false" ht="15" hidden="false" customHeight="false" outlineLevel="0" collapsed="false">
      <c r="A1027" s="19" t="n">
        <v>1026</v>
      </c>
      <c r="B1027" s="30" t="s">
        <v>765</v>
      </c>
      <c r="C1027" s="44" t="n">
        <v>45507</v>
      </c>
      <c r="D1027" s="30" t="s">
        <v>50</v>
      </c>
      <c r="E1027" s="30" t="s">
        <v>107</v>
      </c>
      <c r="F1027" s="30" t="s">
        <v>115</v>
      </c>
      <c r="G1027" s="31" t="n">
        <v>4769</v>
      </c>
      <c r="H1027" s="19" t="n">
        <v>1</v>
      </c>
      <c r="I1027" s="32" t="n">
        <v>0.1</v>
      </c>
      <c r="J1027" s="30" t="s">
        <v>55</v>
      </c>
      <c r="K1027" s="30" t="s">
        <v>47</v>
      </c>
      <c r="L1027" s="30" t="s">
        <v>84</v>
      </c>
      <c r="M1027" s="31" t="n">
        <f aca="false">AVERAGEIF($E$2:$E$1197,E1027,$G$2:$G$1197)</f>
        <v>4981.14563106796</v>
      </c>
      <c r="N1027" s="19" t="str">
        <f aca="false">IF(G1027&gt;M1027*3,"نعم","لا")</f>
        <v>لا</v>
      </c>
      <c r="O1027" s="19" t="str">
        <f aca="false">IF(OR(C1027="",ISNUMBER(C1027)),"لا","نعم")</f>
        <v>لا</v>
      </c>
      <c r="P1027" s="19" t="str">
        <f aca="false">IF(COUNTIF($B$2:B1027,B1027)&gt;1,"مكرر","فريد")</f>
        <v>فريد</v>
      </c>
      <c r="Q1027" s="19" t="str">
        <f aca="false">IF(COUNTBLANK(D1027:L1027)&gt;0,"نعم","لا")</f>
        <v>لا</v>
      </c>
    </row>
    <row r="1028" customFormat="false" ht="15" hidden="false" customHeight="false" outlineLevel="0" collapsed="false">
      <c r="A1028" s="19" t="n">
        <v>1027</v>
      </c>
      <c r="B1028" s="30" t="s">
        <v>313</v>
      </c>
      <c r="C1028" s="44" t="n">
        <v>45347</v>
      </c>
      <c r="D1028" s="30" t="s">
        <v>60</v>
      </c>
      <c r="E1028" s="30" t="s">
        <v>105</v>
      </c>
      <c r="F1028" s="30" t="s">
        <v>179</v>
      </c>
      <c r="G1028" s="31" t="n">
        <v>3659</v>
      </c>
      <c r="H1028" s="19" t="n">
        <v>1</v>
      </c>
      <c r="I1028" s="32" t="n">
        <v>0.15</v>
      </c>
      <c r="J1028" s="30" t="s">
        <v>48</v>
      </c>
      <c r="K1028" s="30" t="s">
        <v>47</v>
      </c>
      <c r="L1028" s="30" t="s">
        <v>96</v>
      </c>
      <c r="M1028" s="31" t="n">
        <f aca="false">AVERAGEIF($E$2:$E$1197,E1028,$G$2:$G$1197)</f>
        <v>2870.26771653543</v>
      </c>
      <c r="N1028" s="19" t="str">
        <f aca="false">IF(G1028&gt;M1028*3,"نعم","لا")</f>
        <v>لا</v>
      </c>
      <c r="O1028" s="19" t="str">
        <f aca="false">IF(OR(C1028="",ISNUMBER(C1028)),"لا","نعم")</f>
        <v>لا</v>
      </c>
      <c r="P1028" s="19" t="str">
        <f aca="false">IF(COUNTIF($B$2:B1028,B1028)&gt;1,"مكرر","فريد")</f>
        <v>فريد</v>
      </c>
      <c r="Q1028" s="19" t="str">
        <f aca="false">IF(COUNTBLANK(D1028:L1028)&gt;0,"نعم","لا")</f>
        <v>لا</v>
      </c>
    </row>
    <row r="1029" customFormat="false" ht="15" hidden="false" customHeight="false" outlineLevel="0" collapsed="false">
      <c r="A1029" s="19" t="n">
        <v>1028</v>
      </c>
      <c r="B1029" s="30" t="s">
        <v>901</v>
      </c>
      <c r="C1029" s="44" t="n">
        <v>45547</v>
      </c>
      <c r="D1029" s="30" t="s">
        <v>46</v>
      </c>
      <c r="E1029" s="30" t="s">
        <v>109</v>
      </c>
      <c r="F1029" s="30" t="s">
        <v>93</v>
      </c>
      <c r="G1029" s="31" t="n">
        <v>69</v>
      </c>
      <c r="H1029" s="19" t="n">
        <v>1</v>
      </c>
      <c r="I1029" s="32" t="n">
        <v>0.1</v>
      </c>
      <c r="J1029" s="30" t="s">
        <v>48</v>
      </c>
      <c r="K1029" s="30" t="s">
        <v>47</v>
      </c>
      <c r="L1029" s="30" t="s">
        <v>76</v>
      </c>
      <c r="M1029" s="31" t="n">
        <f aca="false">AVERAGEIF($E$2:$E$1197,E1029,$G$2:$G$1197)</f>
        <v>186.056291390729</v>
      </c>
      <c r="N1029" s="19" t="str">
        <f aca="false">IF(G1029&gt;M1029*3,"نعم","لا")</f>
        <v>لا</v>
      </c>
      <c r="O1029" s="19" t="str">
        <f aca="false">IF(OR(C1029="",ISNUMBER(C1029)),"لا","نعم")</f>
        <v>لا</v>
      </c>
      <c r="P1029" s="19" t="str">
        <f aca="false">IF(COUNTIF($B$2:B1029,B1029)&gt;1,"مكرر","فريد")</f>
        <v>فريد</v>
      </c>
      <c r="Q1029" s="19" t="str">
        <f aca="false">IF(COUNTBLANK(D1029:L1029)&gt;0,"نعم","لا")</f>
        <v>لا</v>
      </c>
    </row>
    <row r="1030" customFormat="false" ht="15" hidden="false" customHeight="false" outlineLevel="0" collapsed="false">
      <c r="A1030" s="19" t="n">
        <v>1029</v>
      </c>
      <c r="B1030" s="30" t="s">
        <v>1127</v>
      </c>
      <c r="C1030" s="44" t="n">
        <v>45613</v>
      </c>
      <c r="D1030" s="30" t="s">
        <v>50</v>
      </c>
      <c r="E1030" s="30" t="s">
        <v>109</v>
      </c>
      <c r="F1030" s="30" t="s">
        <v>171</v>
      </c>
      <c r="G1030" s="31" t="n">
        <v>189</v>
      </c>
      <c r="H1030" s="19" t="n">
        <v>3</v>
      </c>
      <c r="I1030" s="32" t="n">
        <v>0</v>
      </c>
      <c r="J1030" s="30" t="s">
        <v>52</v>
      </c>
      <c r="K1030" s="30" t="s">
        <v>47</v>
      </c>
      <c r="L1030" s="30" t="s">
        <v>76</v>
      </c>
      <c r="M1030" s="31" t="n">
        <f aca="false">AVERAGEIF($E$2:$E$1197,E1030,$G$2:$G$1197)</f>
        <v>186.056291390729</v>
      </c>
      <c r="N1030" s="19" t="str">
        <f aca="false">IF(G1030&gt;M1030*3,"نعم","لا")</f>
        <v>لا</v>
      </c>
      <c r="O1030" s="19" t="str">
        <f aca="false">IF(OR(C1030="",ISNUMBER(C1030)),"لا","نعم")</f>
        <v>لا</v>
      </c>
      <c r="P1030" s="19" t="str">
        <f aca="false">IF(COUNTIF($B$2:B1030,B1030)&gt;1,"مكرر","فريد")</f>
        <v>فريد</v>
      </c>
      <c r="Q1030" s="19" t="str">
        <f aca="false">IF(COUNTBLANK(D1030:L1030)&gt;0,"نعم","لا")</f>
        <v>لا</v>
      </c>
    </row>
    <row r="1031" customFormat="false" ht="15" hidden="false" customHeight="false" outlineLevel="0" collapsed="false">
      <c r="A1031" s="19" t="n">
        <v>1030</v>
      </c>
      <c r="B1031" s="30" t="s">
        <v>365</v>
      </c>
      <c r="C1031" s="44" t="n">
        <v>45365</v>
      </c>
      <c r="D1031" s="30" t="s">
        <v>46</v>
      </c>
      <c r="E1031" s="30" t="s">
        <v>109</v>
      </c>
      <c r="F1031" s="30" t="s">
        <v>175</v>
      </c>
      <c r="G1031" s="31" t="n">
        <v>319</v>
      </c>
      <c r="H1031" s="19" t="n">
        <v>1</v>
      </c>
      <c r="I1031" s="32" t="n">
        <v>0.1</v>
      </c>
      <c r="J1031" s="30" t="s">
        <v>52</v>
      </c>
      <c r="K1031" s="30" t="s">
        <v>47</v>
      </c>
      <c r="L1031" s="30" t="s">
        <v>76</v>
      </c>
      <c r="M1031" s="31" t="n">
        <f aca="false">AVERAGEIF($E$2:$E$1197,E1031,$G$2:$G$1197)</f>
        <v>186.056291390729</v>
      </c>
      <c r="N1031" s="19" t="str">
        <f aca="false">IF(G1031&gt;M1031*3,"نعم","لا")</f>
        <v>لا</v>
      </c>
      <c r="O1031" s="19" t="str">
        <f aca="false">IF(OR(C1031="",ISNUMBER(C1031)),"لا","نعم")</f>
        <v>لا</v>
      </c>
      <c r="P1031" s="19" t="str">
        <f aca="false">IF(COUNTIF($B$2:B1031,B1031)&gt;1,"مكرر","فريد")</f>
        <v>فريد</v>
      </c>
      <c r="Q1031" s="19" t="str">
        <f aca="false">IF(COUNTBLANK(D1031:L1031)&gt;0,"نعم","لا")</f>
        <v>لا</v>
      </c>
    </row>
    <row r="1032" customFormat="false" ht="15" hidden="false" customHeight="false" outlineLevel="0" collapsed="false">
      <c r="A1032" s="19" t="n">
        <v>1031</v>
      </c>
      <c r="B1032" s="30" t="s">
        <v>1031</v>
      </c>
      <c r="C1032" s="44" t="n">
        <v>45591</v>
      </c>
      <c r="D1032" s="30" t="s">
        <v>46</v>
      </c>
      <c r="E1032" s="30" t="s">
        <v>105</v>
      </c>
      <c r="F1032" s="30" t="s">
        <v>79</v>
      </c>
      <c r="G1032" s="31" t="n">
        <v>2519</v>
      </c>
      <c r="H1032" s="19" t="n">
        <v>4</v>
      </c>
      <c r="I1032" s="32" t="n">
        <v>0</v>
      </c>
      <c r="J1032" s="30" t="s">
        <v>48</v>
      </c>
      <c r="K1032" s="30" t="s">
        <v>51</v>
      </c>
      <c r="L1032" s="30" t="s">
        <v>96</v>
      </c>
      <c r="M1032" s="31" t="n">
        <f aca="false">AVERAGEIF($E$2:$E$1197,E1032,$G$2:$G$1197)</f>
        <v>2870.26771653543</v>
      </c>
      <c r="N1032" s="19" t="str">
        <f aca="false">IF(G1032&gt;M1032*3,"نعم","لا")</f>
        <v>لا</v>
      </c>
      <c r="O1032" s="19" t="str">
        <f aca="false">IF(OR(C1032="",ISNUMBER(C1032)),"لا","نعم")</f>
        <v>لا</v>
      </c>
      <c r="P1032" s="19" t="str">
        <f aca="false">IF(COUNTIF($B$2:B1032,B1032)&gt;1,"مكرر","فريد")</f>
        <v>مكرر</v>
      </c>
      <c r="Q1032" s="19" t="str">
        <f aca="false">IF(COUNTBLANK(D1032:L1032)&gt;0,"نعم","لا")</f>
        <v>لا</v>
      </c>
    </row>
    <row r="1033" customFormat="false" ht="15" hidden="false" customHeight="false" outlineLevel="0" collapsed="false">
      <c r="A1033" s="19" t="n">
        <v>1032</v>
      </c>
      <c r="B1033" s="30" t="s">
        <v>447</v>
      </c>
      <c r="C1033" s="44" t="n">
        <v>45388</v>
      </c>
      <c r="D1033" s="30" t="s">
        <v>46</v>
      </c>
      <c r="E1033" s="30" t="s">
        <v>113</v>
      </c>
      <c r="F1033" s="30" t="s">
        <v>100</v>
      </c>
      <c r="G1033" s="31" t="n">
        <v>819</v>
      </c>
      <c r="H1033" s="19" t="n">
        <v>1</v>
      </c>
      <c r="I1033" s="32" t="n">
        <v>0</v>
      </c>
      <c r="J1033" s="30" t="s">
        <v>55</v>
      </c>
      <c r="K1033" s="30" t="s">
        <v>47</v>
      </c>
      <c r="L1033" s="30" t="s">
        <v>76</v>
      </c>
      <c r="M1033" s="31" t="n">
        <f aca="false">AVERAGEIF($E$2:$E$1197,E1033,$G$2:$G$1197)</f>
        <v>545.358823529412</v>
      </c>
      <c r="N1033" s="19" t="str">
        <f aca="false">IF(G1033&gt;M1033*3,"نعم","لا")</f>
        <v>لا</v>
      </c>
      <c r="O1033" s="19" t="str">
        <f aca="false">IF(OR(C1033="",ISNUMBER(C1033)),"لا","نعم")</f>
        <v>لا</v>
      </c>
      <c r="P1033" s="19" t="str">
        <f aca="false">IF(COUNTIF($B$2:B1033,B1033)&gt;1,"مكرر","فريد")</f>
        <v>فريد</v>
      </c>
      <c r="Q1033" s="19" t="str">
        <f aca="false">IF(COUNTBLANK(D1033:L1033)&gt;0,"نعم","لا")</f>
        <v>لا</v>
      </c>
    </row>
    <row r="1034" customFormat="false" ht="15" hidden="false" customHeight="false" outlineLevel="0" collapsed="false">
      <c r="A1034" s="19" t="n">
        <v>1033</v>
      </c>
      <c r="B1034" s="30" t="s">
        <v>459</v>
      </c>
      <c r="C1034" s="44" t="n">
        <v>45392</v>
      </c>
      <c r="D1034" s="30" t="s">
        <v>60</v>
      </c>
      <c r="E1034" s="30" t="s">
        <v>109</v>
      </c>
      <c r="F1034" s="30" t="s">
        <v>175</v>
      </c>
      <c r="G1034" s="31" t="n">
        <v>199</v>
      </c>
      <c r="H1034" s="19" t="n">
        <v>1</v>
      </c>
      <c r="I1034" s="32" t="n">
        <v>0.1</v>
      </c>
      <c r="J1034" s="30" t="s">
        <v>52</v>
      </c>
      <c r="K1034" s="30" t="s">
        <v>47</v>
      </c>
      <c r="L1034" s="30" t="s">
        <v>86</v>
      </c>
      <c r="M1034" s="31" t="n">
        <f aca="false">AVERAGEIF($E$2:$E$1197,E1034,$G$2:$G$1197)</f>
        <v>186.056291390729</v>
      </c>
      <c r="N1034" s="19" t="str">
        <f aca="false">IF(G1034&gt;M1034*3,"نعم","لا")</f>
        <v>لا</v>
      </c>
      <c r="O1034" s="19" t="str">
        <f aca="false">IF(OR(C1034="",ISNUMBER(C1034)),"لا","نعم")</f>
        <v>لا</v>
      </c>
      <c r="P1034" s="19" t="str">
        <f aca="false">IF(COUNTIF($B$2:B1034,B1034)&gt;1,"مكرر","فريد")</f>
        <v>فريد</v>
      </c>
      <c r="Q1034" s="19" t="str">
        <f aca="false">IF(COUNTBLANK(D1034:L1034)&gt;0,"نعم","لا")</f>
        <v>لا</v>
      </c>
    </row>
    <row r="1035" customFormat="false" ht="15" hidden="false" customHeight="false" outlineLevel="0" collapsed="false">
      <c r="A1035" s="19" t="n">
        <v>1034</v>
      </c>
      <c r="B1035" s="30" t="s">
        <v>1229</v>
      </c>
      <c r="C1035" s="44" t="n">
        <v>45638</v>
      </c>
      <c r="D1035" s="30" t="s">
        <v>46</v>
      </c>
      <c r="E1035" s="30" t="s">
        <v>105</v>
      </c>
      <c r="F1035" s="30" t="s">
        <v>82</v>
      </c>
      <c r="G1035" s="31" t="n">
        <v>3539</v>
      </c>
      <c r="H1035" s="19" t="n">
        <v>2</v>
      </c>
      <c r="I1035" s="32" t="n">
        <v>0</v>
      </c>
      <c r="J1035" s="30" t="s">
        <v>55</v>
      </c>
      <c r="K1035" s="30" t="s">
        <v>47</v>
      </c>
      <c r="L1035" s="30" t="s">
        <v>84</v>
      </c>
      <c r="M1035" s="31" t="n">
        <f aca="false">AVERAGEIF($E$2:$E$1197,E1035,$G$2:$G$1197)</f>
        <v>2870.26771653543</v>
      </c>
      <c r="N1035" s="19" t="str">
        <f aca="false">IF(G1035&gt;M1035*3,"نعم","لا")</f>
        <v>لا</v>
      </c>
      <c r="O1035" s="19" t="str">
        <f aca="false">IF(OR(C1035="",ISNUMBER(C1035)),"لا","نعم")</f>
        <v>لا</v>
      </c>
      <c r="P1035" s="19" t="str">
        <f aca="false">IF(COUNTIF($B$2:B1035,B1035)&gt;1,"مكرر","فريد")</f>
        <v>فريد</v>
      </c>
      <c r="Q1035" s="19" t="str">
        <f aca="false">IF(COUNTBLANK(D1035:L1035)&gt;0,"نعم","لا")</f>
        <v>لا</v>
      </c>
    </row>
    <row r="1036" customFormat="false" ht="15" hidden="false" customHeight="false" outlineLevel="0" collapsed="false">
      <c r="A1036" s="19" t="n">
        <v>1035</v>
      </c>
      <c r="B1036" s="30" t="s">
        <v>561</v>
      </c>
      <c r="C1036" s="44" t="n">
        <v>45435</v>
      </c>
      <c r="D1036" s="30" t="s">
        <v>54</v>
      </c>
      <c r="E1036" s="30" t="s">
        <v>109</v>
      </c>
      <c r="F1036" s="30" t="s">
        <v>192</v>
      </c>
      <c r="G1036" s="31" t="n">
        <v>199</v>
      </c>
      <c r="H1036" s="19" t="n">
        <v>1</v>
      </c>
      <c r="I1036" s="32" t="n">
        <v>0</v>
      </c>
      <c r="J1036" s="30" t="s">
        <v>48</v>
      </c>
      <c r="K1036" s="30" t="s">
        <v>47</v>
      </c>
      <c r="L1036" s="30" t="s">
        <v>84</v>
      </c>
      <c r="M1036" s="31" t="n">
        <f aca="false">AVERAGEIF($E$2:$E$1197,E1036,$G$2:$G$1197)</f>
        <v>186.056291390729</v>
      </c>
      <c r="N1036" s="19" t="str">
        <f aca="false">IF(G1036&gt;M1036*3,"نعم","لا")</f>
        <v>لا</v>
      </c>
      <c r="O1036" s="19" t="str">
        <f aca="false">IF(OR(C1036="",ISNUMBER(C1036)),"لا","نعم")</f>
        <v>لا</v>
      </c>
      <c r="P1036" s="19" t="str">
        <f aca="false">IF(COUNTIF($B$2:B1036,B1036)&gt;1,"مكرر","فريد")</f>
        <v>فريد</v>
      </c>
      <c r="Q1036" s="19" t="str">
        <f aca="false">IF(COUNTBLANK(D1036:L1036)&gt;0,"نعم","لا")</f>
        <v>لا</v>
      </c>
    </row>
    <row r="1037" customFormat="false" ht="15" hidden="false" customHeight="false" outlineLevel="0" collapsed="false">
      <c r="A1037" s="19" t="n">
        <v>1036</v>
      </c>
      <c r="B1037" s="30" t="s">
        <v>293</v>
      </c>
      <c r="C1037" s="44" t="n">
        <v>45337</v>
      </c>
      <c r="D1037" s="30" t="s">
        <v>46</v>
      </c>
      <c r="E1037" s="30" t="s">
        <v>107</v>
      </c>
      <c r="F1037" s="30" t="s">
        <v>184</v>
      </c>
      <c r="G1037" s="31" t="n">
        <v>4509</v>
      </c>
      <c r="H1037" s="19" t="n">
        <v>3</v>
      </c>
      <c r="I1037" s="32" t="n">
        <v>0.1</v>
      </c>
      <c r="J1037" s="30" t="s">
        <v>48</v>
      </c>
      <c r="K1037" s="30" t="s">
        <v>47</v>
      </c>
      <c r="L1037" s="30" t="s">
        <v>94</v>
      </c>
      <c r="M1037" s="31" t="n">
        <f aca="false">AVERAGEIF($E$2:$E$1197,E1037,$G$2:$G$1197)</f>
        <v>4981.14563106796</v>
      </c>
      <c r="N1037" s="19" t="str">
        <f aca="false">IF(G1037&gt;M1037*3,"نعم","لا")</f>
        <v>لا</v>
      </c>
      <c r="O1037" s="19" t="str">
        <f aca="false">IF(OR(C1037="",ISNUMBER(C1037)),"لا","نعم")</f>
        <v>لا</v>
      </c>
      <c r="P1037" s="19" t="str">
        <f aca="false">IF(COUNTIF($B$2:B1037,B1037)&gt;1,"مكرر","فريد")</f>
        <v>فريد</v>
      </c>
      <c r="Q1037" s="19" t="str">
        <f aca="false">IF(COUNTBLANK(D1037:L1037)&gt;0,"نعم","لا")</f>
        <v>لا</v>
      </c>
    </row>
    <row r="1038" customFormat="false" ht="15" hidden="false" customHeight="false" outlineLevel="0" collapsed="false">
      <c r="A1038" s="19" t="n">
        <v>1037</v>
      </c>
      <c r="B1038" s="30" t="s">
        <v>371</v>
      </c>
      <c r="C1038" s="44" t="n">
        <v>45366</v>
      </c>
      <c r="D1038" s="30" t="s">
        <v>50</v>
      </c>
      <c r="E1038" s="30" t="s">
        <v>113</v>
      </c>
      <c r="F1038" s="30" t="s">
        <v>95</v>
      </c>
      <c r="G1038" s="31" t="n">
        <v>479</v>
      </c>
      <c r="H1038" s="19" t="n">
        <v>1</v>
      </c>
      <c r="I1038" s="32" t="n">
        <v>0</v>
      </c>
      <c r="J1038" s="30" t="s">
        <v>55</v>
      </c>
      <c r="K1038" s="30" t="s">
        <v>47</v>
      </c>
      <c r="L1038" s="30" t="s">
        <v>99</v>
      </c>
      <c r="M1038" s="31" t="n">
        <f aca="false">AVERAGEIF($E$2:$E$1197,E1038,$G$2:$G$1197)</f>
        <v>545.358823529412</v>
      </c>
      <c r="N1038" s="19" t="str">
        <f aca="false">IF(G1038&gt;M1038*3,"نعم","لا")</f>
        <v>لا</v>
      </c>
      <c r="O1038" s="19" t="str">
        <f aca="false">IF(OR(C1038="",ISNUMBER(C1038)),"لا","نعم")</f>
        <v>لا</v>
      </c>
      <c r="P1038" s="19" t="str">
        <f aca="false">IF(COUNTIF($B$2:B1038,B1038)&gt;1,"مكرر","فريد")</f>
        <v>فريد</v>
      </c>
      <c r="Q1038" s="19" t="str">
        <f aca="false">IF(COUNTBLANK(D1038:L1038)&gt;0,"نعم","لا")</f>
        <v>لا</v>
      </c>
    </row>
    <row r="1039" customFormat="false" ht="15" hidden="false" customHeight="false" outlineLevel="0" collapsed="false">
      <c r="A1039" s="19" t="n">
        <v>1038</v>
      </c>
      <c r="B1039" s="30" t="s">
        <v>985</v>
      </c>
      <c r="C1039" s="44" t="n">
        <v>45575</v>
      </c>
      <c r="D1039" s="30" t="s">
        <v>57</v>
      </c>
      <c r="E1039" s="30" t="s">
        <v>113</v>
      </c>
      <c r="F1039" s="30" t="s">
        <v>97</v>
      </c>
      <c r="G1039" s="31" t="n">
        <v>239</v>
      </c>
      <c r="H1039" s="19" t="n">
        <v>1</v>
      </c>
      <c r="I1039" s="32" t="n">
        <v>0.05</v>
      </c>
      <c r="J1039" s="30" t="s">
        <v>55</v>
      </c>
      <c r="K1039" s="30" t="s">
        <v>47</v>
      </c>
      <c r="L1039" s="30" t="s">
        <v>99</v>
      </c>
      <c r="M1039" s="31" t="n">
        <f aca="false">AVERAGEIF($E$2:$E$1197,E1039,$G$2:$G$1197)</f>
        <v>545.358823529412</v>
      </c>
      <c r="N1039" s="19" t="str">
        <f aca="false">IF(G1039&gt;M1039*3,"نعم","لا")</f>
        <v>لا</v>
      </c>
      <c r="O1039" s="19" t="str">
        <f aca="false">IF(OR(C1039="",ISNUMBER(C1039)),"لا","نعم")</f>
        <v>لا</v>
      </c>
      <c r="P1039" s="19" t="str">
        <f aca="false">IF(COUNTIF($B$2:B1039,B1039)&gt;1,"مكرر","فريد")</f>
        <v>فريد</v>
      </c>
      <c r="Q1039" s="19" t="str">
        <f aca="false">IF(COUNTBLANK(D1039:L1039)&gt;0,"نعم","لا")</f>
        <v>لا</v>
      </c>
    </row>
    <row r="1040" customFormat="false" ht="15" hidden="false" customHeight="false" outlineLevel="0" collapsed="false">
      <c r="A1040" s="19" t="n">
        <v>1039</v>
      </c>
      <c r="B1040" s="30" t="s">
        <v>411</v>
      </c>
      <c r="C1040" s="44" t="n">
        <v>45379</v>
      </c>
      <c r="D1040" s="30" t="s">
        <v>50</v>
      </c>
      <c r="E1040" s="30" t="s">
        <v>107</v>
      </c>
      <c r="F1040" s="30" t="s">
        <v>115</v>
      </c>
      <c r="G1040" s="31" t="n">
        <v>2799</v>
      </c>
      <c r="H1040" s="19" t="n">
        <v>1</v>
      </c>
      <c r="I1040" s="32" t="n">
        <v>0.15</v>
      </c>
      <c r="J1040" s="30" t="s">
        <v>48</v>
      </c>
      <c r="K1040" s="30" t="s">
        <v>47</v>
      </c>
      <c r="L1040" s="30" t="s">
        <v>96</v>
      </c>
      <c r="M1040" s="31" t="n">
        <f aca="false">AVERAGEIF($E$2:$E$1197,E1040,$G$2:$G$1197)</f>
        <v>4981.14563106796</v>
      </c>
      <c r="N1040" s="19" t="str">
        <f aca="false">IF(G1040&gt;M1040*3,"نعم","لا")</f>
        <v>لا</v>
      </c>
      <c r="O1040" s="19" t="str">
        <f aca="false">IF(OR(C1040="",ISNUMBER(C1040)),"لا","نعم")</f>
        <v>لا</v>
      </c>
      <c r="P1040" s="19" t="str">
        <f aca="false">IF(COUNTIF($B$2:B1040,B1040)&gt;1,"مكرر","فريد")</f>
        <v>فريد</v>
      </c>
      <c r="Q1040" s="19" t="str">
        <f aca="false">IF(COUNTBLANK(D1040:L1040)&gt;0,"نعم","لا")</f>
        <v>لا</v>
      </c>
    </row>
    <row r="1041" customFormat="false" ht="15" hidden="false" customHeight="false" outlineLevel="0" collapsed="false">
      <c r="A1041" s="19" t="n">
        <v>1040</v>
      </c>
      <c r="B1041" s="30" t="s">
        <v>1489</v>
      </c>
      <c r="C1041" s="44" t="n">
        <v>45653</v>
      </c>
      <c r="D1041" s="30"/>
      <c r="E1041" s="30" t="s">
        <v>109</v>
      </c>
      <c r="F1041" s="30" t="s">
        <v>171</v>
      </c>
      <c r="G1041" s="31" t="n">
        <v>79</v>
      </c>
      <c r="H1041" s="19" t="n">
        <v>3</v>
      </c>
      <c r="I1041" s="32" t="n">
        <v>0</v>
      </c>
      <c r="J1041" s="30" t="s">
        <v>48</v>
      </c>
      <c r="K1041" s="30" t="s">
        <v>51</v>
      </c>
      <c r="L1041" s="30" t="s">
        <v>78</v>
      </c>
      <c r="M1041" s="31" t="n">
        <f aca="false">AVERAGEIF($E$2:$E$1197,E1041,$G$2:$G$1197)</f>
        <v>186.056291390729</v>
      </c>
      <c r="N1041" s="19" t="str">
        <f aca="false">IF(G1041&gt;M1041*3,"نعم","لا")</f>
        <v>لا</v>
      </c>
      <c r="O1041" s="19" t="str">
        <f aca="false">IF(OR(C1041="",ISNUMBER(C1041)),"لا","نعم")</f>
        <v>لا</v>
      </c>
      <c r="P1041" s="19" t="str">
        <f aca="false">IF(COUNTIF($B$2:B1041,B1041)&gt;1,"مكرر","فريد")</f>
        <v>فريد</v>
      </c>
      <c r="Q1041" s="19" t="str">
        <f aca="false">IF(COUNTBLANK(D1041:L1041)&gt;0,"نعم","لا")</f>
        <v>نعم</v>
      </c>
    </row>
    <row r="1042" customFormat="false" ht="15" hidden="false" customHeight="false" outlineLevel="0" collapsed="false">
      <c r="A1042" s="19" t="n">
        <v>1041</v>
      </c>
      <c r="B1042" s="30" t="s">
        <v>546</v>
      </c>
      <c r="C1042" s="44" t="n">
        <v>45429</v>
      </c>
      <c r="D1042" s="30" t="s">
        <v>54</v>
      </c>
      <c r="E1042" s="30" t="s">
        <v>105</v>
      </c>
      <c r="F1042" s="30" t="s">
        <v>90</v>
      </c>
      <c r="G1042" s="31" t="n">
        <v>3519</v>
      </c>
      <c r="H1042" s="19" t="n">
        <v>2</v>
      </c>
      <c r="I1042" s="32" t="n">
        <v>0.2</v>
      </c>
      <c r="J1042" s="30" t="s">
        <v>58</v>
      </c>
      <c r="K1042" s="30" t="s">
        <v>47</v>
      </c>
      <c r="L1042" s="30" t="s">
        <v>76</v>
      </c>
      <c r="M1042" s="31" t="n">
        <f aca="false">AVERAGEIF($E$2:$E$1197,E1042,$G$2:$G$1197)</f>
        <v>2870.26771653543</v>
      </c>
      <c r="N1042" s="19" t="str">
        <f aca="false">IF(G1042&gt;M1042*3,"نعم","لا")</f>
        <v>لا</v>
      </c>
      <c r="O1042" s="19" t="str">
        <f aca="false">IF(OR(C1042="",ISNUMBER(C1042)),"لا","نعم")</f>
        <v>لا</v>
      </c>
      <c r="P1042" s="19" t="str">
        <f aca="false">IF(COUNTIF($B$2:B1042,B1042)&gt;1,"مكرر","فريد")</f>
        <v>فريد</v>
      </c>
      <c r="Q1042" s="19" t="str">
        <f aca="false">IF(COUNTBLANK(D1042:L1042)&gt;0,"نعم","لا")</f>
        <v>لا</v>
      </c>
    </row>
    <row r="1043" customFormat="false" ht="15" hidden="false" customHeight="false" outlineLevel="0" collapsed="false">
      <c r="A1043" s="19" t="n">
        <v>1042</v>
      </c>
      <c r="B1043" s="30" t="s">
        <v>1004</v>
      </c>
      <c r="C1043" s="44" t="n">
        <v>45584</v>
      </c>
      <c r="D1043" s="30" t="s">
        <v>1337</v>
      </c>
      <c r="E1043" s="30" t="s">
        <v>109</v>
      </c>
      <c r="F1043" s="30" t="s">
        <v>192</v>
      </c>
      <c r="G1043" s="31" t="n">
        <v>269</v>
      </c>
      <c r="H1043" s="19" t="n">
        <v>4</v>
      </c>
      <c r="I1043" s="32" t="n">
        <v>0</v>
      </c>
      <c r="J1043" s="30" t="s">
        <v>52</v>
      </c>
      <c r="K1043" s="30" t="s">
        <v>51</v>
      </c>
      <c r="L1043" s="30" t="s">
        <v>86</v>
      </c>
      <c r="M1043" s="31" t="n">
        <f aca="false">AVERAGEIF($E$2:$E$1197,E1043,$G$2:$G$1197)</f>
        <v>186.056291390729</v>
      </c>
      <c r="N1043" s="19" t="str">
        <f aca="false">IF(G1043&gt;M1043*3,"نعم","لا")</f>
        <v>لا</v>
      </c>
      <c r="O1043" s="19" t="str">
        <f aca="false">IF(OR(C1043="",ISNUMBER(C1043)),"لا","نعم")</f>
        <v>لا</v>
      </c>
      <c r="P1043" s="19" t="str">
        <f aca="false">IF(COUNTIF($B$2:B1043,B1043)&gt;1,"مكرر","فريد")</f>
        <v>فريد</v>
      </c>
      <c r="Q1043" s="19" t="str">
        <f aca="false">IF(COUNTBLANK(D1043:L1043)&gt;0,"نعم","لا")</f>
        <v>لا</v>
      </c>
    </row>
    <row r="1044" customFormat="false" ht="15" hidden="false" customHeight="false" outlineLevel="0" collapsed="false">
      <c r="A1044" s="19" t="n">
        <v>1043</v>
      </c>
      <c r="B1044" s="30" t="s">
        <v>386</v>
      </c>
      <c r="C1044" s="44" t="n">
        <v>45372</v>
      </c>
      <c r="D1044" s="30" t="s">
        <v>57</v>
      </c>
      <c r="E1044" s="30" t="s">
        <v>109</v>
      </c>
      <c r="F1044" s="30" t="s">
        <v>175</v>
      </c>
      <c r="G1044" s="31" t="n">
        <v>159</v>
      </c>
      <c r="H1044" s="19" t="n">
        <v>1</v>
      </c>
      <c r="I1044" s="32" t="n">
        <v>0.1</v>
      </c>
      <c r="J1044" s="30" t="s">
        <v>52</v>
      </c>
      <c r="K1044" s="30" t="s">
        <v>47</v>
      </c>
      <c r="L1044" s="30" t="s">
        <v>94</v>
      </c>
      <c r="M1044" s="31" t="n">
        <f aca="false">AVERAGEIF($E$2:$E$1197,E1044,$G$2:$G$1197)</f>
        <v>186.056291390729</v>
      </c>
      <c r="N1044" s="19" t="str">
        <f aca="false">IF(G1044&gt;M1044*3,"نعم","لا")</f>
        <v>لا</v>
      </c>
      <c r="O1044" s="19" t="str">
        <f aca="false">IF(OR(C1044="",ISNUMBER(C1044)),"لا","نعم")</f>
        <v>لا</v>
      </c>
      <c r="P1044" s="19" t="str">
        <f aca="false">IF(COUNTIF($B$2:B1044,B1044)&gt;1,"مكرر","فريد")</f>
        <v>فريد</v>
      </c>
      <c r="Q1044" s="19" t="str">
        <f aca="false">IF(COUNTBLANK(D1044:L1044)&gt;0,"نعم","لا")</f>
        <v>لا</v>
      </c>
    </row>
    <row r="1045" customFormat="false" ht="15" hidden="false" customHeight="false" outlineLevel="0" collapsed="false">
      <c r="A1045" s="19" t="n">
        <v>1044</v>
      </c>
      <c r="B1045" s="30" t="s">
        <v>796</v>
      </c>
      <c r="C1045" s="44" t="n">
        <v>45515</v>
      </c>
      <c r="D1045" s="30" t="s">
        <v>60</v>
      </c>
      <c r="E1045" s="30" t="s">
        <v>105</v>
      </c>
      <c r="F1045" s="30" t="s">
        <v>85</v>
      </c>
      <c r="G1045" s="31" t="n">
        <v>3379</v>
      </c>
      <c r="H1045" s="19" t="n">
        <v>3</v>
      </c>
      <c r="I1045" s="32" t="n">
        <v>0.2</v>
      </c>
      <c r="J1045" s="30" t="s">
        <v>58</v>
      </c>
      <c r="K1045" s="30" t="s">
        <v>47</v>
      </c>
      <c r="L1045" s="30" t="s">
        <v>78</v>
      </c>
      <c r="M1045" s="31" t="n">
        <f aca="false">AVERAGEIF($E$2:$E$1197,E1045,$G$2:$G$1197)</f>
        <v>2870.26771653543</v>
      </c>
      <c r="N1045" s="19" t="str">
        <f aca="false">IF(G1045&gt;M1045*3,"نعم","لا")</f>
        <v>لا</v>
      </c>
      <c r="O1045" s="19" t="str">
        <f aca="false">IF(OR(C1045="",ISNUMBER(C1045)),"لا","نعم")</f>
        <v>لا</v>
      </c>
      <c r="P1045" s="19" t="str">
        <f aca="false">IF(COUNTIF($B$2:B1045,B1045)&gt;1,"مكرر","فريد")</f>
        <v>فريد</v>
      </c>
      <c r="Q1045" s="19" t="str">
        <f aca="false">IF(COUNTBLANK(D1045:L1045)&gt;0,"نعم","لا")</f>
        <v>لا</v>
      </c>
    </row>
    <row r="1046" customFormat="false" ht="15" hidden="false" customHeight="false" outlineLevel="0" collapsed="false">
      <c r="A1046" s="19" t="n">
        <v>1045</v>
      </c>
      <c r="B1046" s="30" t="s">
        <v>167</v>
      </c>
      <c r="C1046" s="44" t="n">
        <v>45292</v>
      </c>
      <c r="D1046" s="30" t="s">
        <v>60</v>
      </c>
      <c r="E1046" s="30" t="s">
        <v>113</v>
      </c>
      <c r="F1046" s="30" t="s">
        <v>121</v>
      </c>
      <c r="G1046" s="31" t="n">
        <v>679</v>
      </c>
      <c r="H1046" s="19" t="n">
        <v>1</v>
      </c>
      <c r="I1046" s="32" t="n">
        <v>0</v>
      </c>
      <c r="J1046" s="30" t="s">
        <v>55</v>
      </c>
      <c r="K1046" s="30" t="s">
        <v>47</v>
      </c>
      <c r="L1046" s="30" t="s">
        <v>81</v>
      </c>
      <c r="M1046" s="31" t="n">
        <f aca="false">AVERAGEIF($E$2:$E$1197,E1046,$G$2:$G$1197)</f>
        <v>545.358823529412</v>
      </c>
      <c r="N1046" s="19" t="str">
        <f aca="false">IF(G1046&gt;M1046*3,"نعم","لا")</f>
        <v>لا</v>
      </c>
      <c r="O1046" s="19" t="str">
        <f aca="false">IF(OR(C1046="",ISNUMBER(C1046)),"لا","نعم")</f>
        <v>لا</v>
      </c>
      <c r="P1046" s="19" t="str">
        <f aca="false">IF(COUNTIF($B$2:B1046,B1046)&gt;1,"مكرر","فريد")</f>
        <v>فريد</v>
      </c>
      <c r="Q1046" s="19" t="str">
        <f aca="false">IF(COUNTBLANK(D1046:L1046)&gt;0,"نعم","لا")</f>
        <v>لا</v>
      </c>
    </row>
    <row r="1047" customFormat="false" ht="15" hidden="false" customHeight="false" outlineLevel="0" collapsed="false">
      <c r="A1047" s="19" t="n">
        <v>1046</v>
      </c>
      <c r="B1047" s="30" t="s">
        <v>283</v>
      </c>
      <c r="C1047" s="44" t="n">
        <v>45334</v>
      </c>
      <c r="D1047" s="30" t="s">
        <v>54</v>
      </c>
      <c r="E1047" s="30" t="s">
        <v>111</v>
      </c>
      <c r="F1047" s="30" t="s">
        <v>108</v>
      </c>
      <c r="G1047" s="31" t="n">
        <v>219</v>
      </c>
      <c r="H1047" s="19" t="n">
        <v>1</v>
      </c>
      <c r="I1047" s="32" t="n">
        <v>0.2</v>
      </c>
      <c r="J1047" s="30" t="s">
        <v>48</v>
      </c>
      <c r="K1047" s="30" t="s">
        <v>47</v>
      </c>
      <c r="L1047" s="30" t="s">
        <v>92</v>
      </c>
      <c r="M1047" s="31" t="n">
        <f aca="false">AVERAGEIF($E$2:$E$1197,E1047,$G$2:$G$1197)</f>
        <v>366.306569343066</v>
      </c>
      <c r="N1047" s="19" t="str">
        <f aca="false">IF(G1047&gt;M1047*3,"نعم","لا")</f>
        <v>لا</v>
      </c>
      <c r="O1047" s="19" t="str">
        <f aca="false">IF(OR(C1047="",ISNUMBER(C1047)),"لا","نعم")</f>
        <v>لا</v>
      </c>
      <c r="P1047" s="19" t="str">
        <f aca="false">IF(COUNTIF($B$2:B1047,B1047)&gt;1,"مكرر","فريد")</f>
        <v>فريد</v>
      </c>
      <c r="Q1047" s="19" t="str">
        <f aca="false">IF(COUNTBLANK(D1047:L1047)&gt;0,"نعم","لا")</f>
        <v>لا</v>
      </c>
    </row>
    <row r="1048" customFormat="false" ht="15" hidden="false" customHeight="false" outlineLevel="0" collapsed="false">
      <c r="A1048" s="19" t="n">
        <v>1047</v>
      </c>
      <c r="B1048" s="30" t="s">
        <v>849</v>
      </c>
      <c r="C1048" s="44" t="n">
        <v>45529</v>
      </c>
      <c r="D1048" s="30" t="s">
        <v>46</v>
      </c>
      <c r="E1048" s="30" t="s">
        <v>109</v>
      </c>
      <c r="F1048" s="30" t="s">
        <v>110</v>
      </c>
      <c r="G1048" s="31" t="n">
        <v>169</v>
      </c>
      <c r="H1048" s="19" t="n">
        <v>1</v>
      </c>
      <c r="I1048" s="32" t="n">
        <v>0.1</v>
      </c>
      <c r="J1048" s="30" t="s">
        <v>48</v>
      </c>
      <c r="K1048" s="30" t="s">
        <v>47</v>
      </c>
      <c r="L1048" s="30" t="s">
        <v>84</v>
      </c>
      <c r="M1048" s="31" t="n">
        <f aca="false">AVERAGEIF($E$2:$E$1197,E1048,$G$2:$G$1197)</f>
        <v>186.056291390729</v>
      </c>
      <c r="N1048" s="19" t="str">
        <f aca="false">IF(G1048&gt;M1048*3,"نعم","لا")</f>
        <v>لا</v>
      </c>
      <c r="O1048" s="19" t="str">
        <f aca="false">IF(OR(C1048="",ISNUMBER(C1048)),"لا","نعم")</f>
        <v>لا</v>
      </c>
      <c r="P1048" s="19" t="str">
        <f aca="false">IF(COUNTIF($B$2:B1048,B1048)&gt;1,"مكرر","فريد")</f>
        <v>فريد</v>
      </c>
      <c r="Q1048" s="19" t="str">
        <f aca="false">IF(COUNTBLANK(D1048:L1048)&gt;0,"نعم","لا")</f>
        <v>لا</v>
      </c>
    </row>
    <row r="1049" customFormat="false" ht="15" hidden="false" customHeight="false" outlineLevel="0" collapsed="false">
      <c r="A1049" s="19" t="n">
        <v>1048</v>
      </c>
      <c r="B1049" s="30" t="s">
        <v>1093</v>
      </c>
      <c r="C1049" s="44" t="n">
        <v>45606</v>
      </c>
      <c r="D1049" s="30" t="s">
        <v>46</v>
      </c>
      <c r="E1049" s="30" t="s">
        <v>113</v>
      </c>
      <c r="F1049" s="30" t="s">
        <v>95</v>
      </c>
      <c r="G1049" s="31" t="n">
        <v>829</v>
      </c>
      <c r="H1049" s="19" t="n">
        <v>1</v>
      </c>
      <c r="I1049" s="32" t="n">
        <v>0.1</v>
      </c>
      <c r="J1049" s="30" t="s">
        <v>48</v>
      </c>
      <c r="K1049" s="30" t="s">
        <v>47</v>
      </c>
      <c r="L1049" s="30" t="s">
        <v>78</v>
      </c>
      <c r="M1049" s="31" t="n">
        <f aca="false">AVERAGEIF($E$2:$E$1197,E1049,$G$2:$G$1197)</f>
        <v>545.358823529412</v>
      </c>
      <c r="N1049" s="19" t="str">
        <f aca="false">IF(G1049&gt;M1049*3,"نعم","لا")</f>
        <v>لا</v>
      </c>
      <c r="O1049" s="19" t="str">
        <f aca="false">IF(OR(C1049="",ISNUMBER(C1049)),"لا","نعم")</f>
        <v>لا</v>
      </c>
      <c r="P1049" s="19" t="str">
        <f aca="false">IF(COUNTIF($B$2:B1049,B1049)&gt;1,"مكرر","فريد")</f>
        <v>فريد</v>
      </c>
      <c r="Q1049" s="19" t="str">
        <f aca="false">IF(COUNTBLANK(D1049:L1049)&gt;0,"نعم","لا")</f>
        <v>لا</v>
      </c>
    </row>
    <row r="1050" customFormat="false" ht="15" hidden="false" customHeight="false" outlineLevel="0" collapsed="false">
      <c r="A1050" s="19" t="n">
        <v>1049</v>
      </c>
      <c r="B1050" s="30" t="s">
        <v>1219</v>
      </c>
      <c r="C1050" s="44" t="n">
        <v>45636</v>
      </c>
      <c r="D1050" s="30" t="s">
        <v>46</v>
      </c>
      <c r="E1050" s="30" t="s">
        <v>107</v>
      </c>
      <c r="F1050" s="30" t="s">
        <v>184</v>
      </c>
      <c r="G1050" s="31" t="n">
        <v>2649</v>
      </c>
      <c r="H1050" s="19" t="n">
        <v>1</v>
      </c>
      <c r="I1050" s="32" t="n">
        <v>0.15</v>
      </c>
      <c r="J1050" s="30" t="s">
        <v>58</v>
      </c>
      <c r="K1050" s="30" t="s">
        <v>47</v>
      </c>
      <c r="L1050" s="30" t="s">
        <v>99</v>
      </c>
      <c r="M1050" s="31" t="n">
        <f aca="false">AVERAGEIF($E$2:$E$1197,E1050,$G$2:$G$1197)</f>
        <v>4981.14563106796</v>
      </c>
      <c r="N1050" s="19" t="str">
        <f aca="false">IF(G1050&gt;M1050*3,"نعم","لا")</f>
        <v>لا</v>
      </c>
      <c r="O1050" s="19" t="str">
        <f aca="false">IF(OR(C1050="",ISNUMBER(C1050)),"لا","نعم")</f>
        <v>لا</v>
      </c>
      <c r="P1050" s="19" t="str">
        <f aca="false">IF(COUNTIF($B$2:B1050,B1050)&gt;1,"مكرر","فريد")</f>
        <v>فريد</v>
      </c>
      <c r="Q1050" s="19" t="str">
        <f aca="false">IF(COUNTBLANK(D1050:L1050)&gt;0,"نعم","لا")</f>
        <v>لا</v>
      </c>
    </row>
    <row r="1051" customFormat="false" ht="15" hidden="false" customHeight="false" outlineLevel="0" collapsed="false">
      <c r="A1051" s="19" t="n">
        <v>1050</v>
      </c>
      <c r="B1051" s="30" t="s">
        <v>604</v>
      </c>
      <c r="C1051" s="44" t="n">
        <v>45452</v>
      </c>
      <c r="D1051" s="30" t="s">
        <v>46</v>
      </c>
      <c r="E1051" s="30" t="s">
        <v>105</v>
      </c>
      <c r="F1051" s="30" t="s">
        <v>82</v>
      </c>
      <c r="G1051" s="31" t="n">
        <v>3859</v>
      </c>
      <c r="H1051" s="19" t="n">
        <v>1</v>
      </c>
      <c r="I1051" s="32" t="n">
        <v>0</v>
      </c>
      <c r="J1051" s="30" t="s">
        <v>55</v>
      </c>
      <c r="K1051" s="30" t="s">
        <v>47</v>
      </c>
      <c r="L1051" s="30" t="s">
        <v>78</v>
      </c>
      <c r="M1051" s="31" t="n">
        <f aca="false">AVERAGEIF($E$2:$E$1197,E1051,$G$2:$G$1197)</f>
        <v>2870.26771653543</v>
      </c>
      <c r="N1051" s="19" t="str">
        <f aca="false">IF(G1051&gt;M1051*3,"نعم","لا")</f>
        <v>لا</v>
      </c>
      <c r="O1051" s="19" t="str">
        <f aca="false">IF(OR(C1051="",ISNUMBER(C1051)),"لا","نعم")</f>
        <v>لا</v>
      </c>
      <c r="P1051" s="19" t="str">
        <f aca="false">IF(COUNTIF($B$2:B1051,B1051)&gt;1,"مكرر","فريد")</f>
        <v>فريد</v>
      </c>
      <c r="Q1051" s="19" t="str">
        <f aca="false">IF(COUNTBLANK(D1051:L1051)&gt;0,"نعم","لا")</f>
        <v>لا</v>
      </c>
    </row>
    <row r="1052" customFormat="false" ht="15" hidden="false" customHeight="false" outlineLevel="0" collapsed="false">
      <c r="A1052" s="19" t="n">
        <v>1051</v>
      </c>
      <c r="B1052" s="30" t="s">
        <v>813</v>
      </c>
      <c r="C1052" s="44" t="n">
        <v>45520</v>
      </c>
      <c r="D1052" s="30" t="s">
        <v>46</v>
      </c>
      <c r="E1052" s="30" t="s">
        <v>105</v>
      </c>
      <c r="F1052" s="30" t="s">
        <v>179</v>
      </c>
      <c r="G1052" s="31" t="n">
        <v>1619</v>
      </c>
      <c r="H1052" s="19" t="n">
        <v>1</v>
      </c>
      <c r="I1052" s="32" t="n">
        <v>0.05</v>
      </c>
      <c r="J1052" s="30" t="s">
        <v>48</v>
      </c>
      <c r="K1052" s="30" t="s">
        <v>47</v>
      </c>
      <c r="L1052" s="30" t="s">
        <v>86</v>
      </c>
      <c r="M1052" s="31" t="n">
        <f aca="false">AVERAGEIF($E$2:$E$1197,E1052,$G$2:$G$1197)</f>
        <v>2870.26771653543</v>
      </c>
      <c r="N1052" s="19" t="str">
        <f aca="false">IF(G1052&gt;M1052*3,"نعم","لا")</f>
        <v>لا</v>
      </c>
      <c r="O1052" s="19" t="str">
        <f aca="false">IF(OR(C1052="",ISNUMBER(C1052)),"لا","نعم")</f>
        <v>لا</v>
      </c>
      <c r="P1052" s="19" t="str">
        <f aca="false">IF(COUNTIF($B$2:B1052,B1052)&gt;1,"مكرر","فريد")</f>
        <v>فريد</v>
      </c>
      <c r="Q1052" s="19" t="str">
        <f aca="false">IF(COUNTBLANK(D1052:L1052)&gt;0,"نعم","لا")</f>
        <v>لا</v>
      </c>
    </row>
    <row r="1053" customFormat="false" ht="15" hidden="false" customHeight="false" outlineLevel="0" collapsed="false">
      <c r="A1053" s="19" t="n">
        <v>1052</v>
      </c>
      <c r="B1053" s="30" t="s">
        <v>1236</v>
      </c>
      <c r="C1053" s="30" t="s">
        <v>1490</v>
      </c>
      <c r="D1053" s="30" t="s">
        <v>57</v>
      </c>
      <c r="E1053" s="30" t="s">
        <v>105</v>
      </c>
      <c r="F1053" s="30" t="s">
        <v>90</v>
      </c>
      <c r="G1053" s="31" t="n">
        <v>2979</v>
      </c>
      <c r="H1053" s="19" t="n">
        <v>3</v>
      </c>
      <c r="I1053" s="32" t="n">
        <v>0.15</v>
      </c>
      <c r="J1053" s="30" t="s">
        <v>52</v>
      </c>
      <c r="K1053" s="30" t="s">
        <v>47</v>
      </c>
      <c r="L1053" s="30" t="s">
        <v>92</v>
      </c>
      <c r="M1053" s="31" t="n">
        <f aca="false">AVERAGEIF($E$2:$E$1197,E1053,$G$2:$G$1197)</f>
        <v>2870.26771653543</v>
      </c>
      <c r="N1053" s="19" t="str">
        <f aca="false">IF(G1053&gt;M1053*3,"نعم","لا")</f>
        <v>لا</v>
      </c>
      <c r="O1053" s="19" t="str">
        <f aca="false">IF(OR(C1053="",ISNUMBER(C1053)),"لا","نعم")</f>
        <v>نعم</v>
      </c>
      <c r="P1053" s="19" t="str">
        <f aca="false">IF(COUNTIF($B$2:B1053,B1053)&gt;1,"مكرر","فريد")</f>
        <v>فريد</v>
      </c>
      <c r="Q1053" s="19" t="str">
        <f aca="false">IF(COUNTBLANK(D1053:L1053)&gt;0,"نعم","لا")</f>
        <v>لا</v>
      </c>
    </row>
    <row r="1054" customFormat="false" ht="15" hidden="false" customHeight="false" outlineLevel="0" collapsed="false">
      <c r="A1054" s="19" t="n">
        <v>1053</v>
      </c>
      <c r="B1054" s="30" t="s">
        <v>482</v>
      </c>
      <c r="C1054" s="44" t="n">
        <v>45406</v>
      </c>
      <c r="D1054" s="30" t="s">
        <v>60</v>
      </c>
      <c r="E1054" s="30" t="s">
        <v>107</v>
      </c>
      <c r="F1054" s="30" t="s">
        <v>115</v>
      </c>
      <c r="G1054" s="31" t="n">
        <v>2359</v>
      </c>
      <c r="H1054" s="19" t="n">
        <v>1</v>
      </c>
      <c r="I1054" s="32" t="n">
        <v>0</v>
      </c>
      <c r="J1054" s="30" t="s">
        <v>48</v>
      </c>
      <c r="K1054" s="30" t="s">
        <v>47</v>
      </c>
      <c r="L1054" s="30" t="s">
        <v>99</v>
      </c>
      <c r="M1054" s="31" t="n">
        <f aca="false">AVERAGEIF($E$2:$E$1197,E1054,$G$2:$G$1197)</f>
        <v>4981.14563106796</v>
      </c>
      <c r="N1054" s="19" t="str">
        <f aca="false">IF(G1054&gt;M1054*3,"نعم","لا")</f>
        <v>لا</v>
      </c>
      <c r="O1054" s="19" t="str">
        <f aca="false">IF(OR(C1054="",ISNUMBER(C1054)),"لا","نعم")</f>
        <v>لا</v>
      </c>
      <c r="P1054" s="19" t="str">
        <f aca="false">IF(COUNTIF($B$2:B1054,B1054)&gt;1,"مكرر","فريد")</f>
        <v>فريد</v>
      </c>
      <c r="Q1054" s="19" t="str">
        <f aca="false">IF(COUNTBLANK(D1054:L1054)&gt;0,"نعم","لا")</f>
        <v>لا</v>
      </c>
    </row>
    <row r="1055" customFormat="false" ht="15" hidden="false" customHeight="false" outlineLevel="0" collapsed="false">
      <c r="A1055" s="19" t="n">
        <v>1054</v>
      </c>
      <c r="B1055" s="30" t="s">
        <v>803</v>
      </c>
      <c r="C1055" s="30" t="s">
        <v>1491</v>
      </c>
      <c r="D1055" s="30" t="s">
        <v>60</v>
      </c>
      <c r="E1055" s="30" t="s">
        <v>105</v>
      </c>
      <c r="F1055" s="30" t="s">
        <v>90</v>
      </c>
      <c r="G1055" s="31" t="n">
        <v>3799</v>
      </c>
      <c r="H1055" s="19" t="n">
        <v>1</v>
      </c>
      <c r="I1055" s="32" t="n">
        <v>0</v>
      </c>
      <c r="J1055" s="30" t="s">
        <v>58</v>
      </c>
      <c r="K1055" s="30" t="s">
        <v>51</v>
      </c>
      <c r="L1055" s="30" t="s">
        <v>78</v>
      </c>
      <c r="M1055" s="31" t="n">
        <f aca="false">AVERAGEIF($E$2:$E$1197,E1055,$G$2:$G$1197)</f>
        <v>2870.26771653543</v>
      </c>
      <c r="N1055" s="19" t="str">
        <f aca="false">IF(G1055&gt;M1055*3,"نعم","لا")</f>
        <v>لا</v>
      </c>
      <c r="O1055" s="19" t="str">
        <f aca="false">IF(OR(C1055="",ISNUMBER(C1055)),"لا","نعم")</f>
        <v>نعم</v>
      </c>
      <c r="P1055" s="19" t="str">
        <f aca="false">IF(COUNTIF($B$2:B1055,B1055)&gt;1,"مكرر","فريد")</f>
        <v>فريد</v>
      </c>
      <c r="Q1055" s="19" t="str">
        <f aca="false">IF(COUNTBLANK(D1055:L1055)&gt;0,"نعم","لا")</f>
        <v>لا</v>
      </c>
    </row>
    <row r="1056" customFormat="false" ht="15" hidden="false" customHeight="false" outlineLevel="0" collapsed="false">
      <c r="A1056" s="19" t="n">
        <v>1055</v>
      </c>
      <c r="B1056" s="30" t="s">
        <v>861</v>
      </c>
      <c r="C1056" s="44" t="n">
        <v>45532</v>
      </c>
      <c r="D1056" s="30" t="s">
        <v>57</v>
      </c>
      <c r="E1056" s="30" t="s">
        <v>105</v>
      </c>
      <c r="F1056" s="30" t="s">
        <v>90</v>
      </c>
      <c r="G1056" s="31" t="n">
        <v>1519</v>
      </c>
      <c r="H1056" s="19" t="n">
        <v>5</v>
      </c>
      <c r="I1056" s="32" t="n">
        <v>0.15</v>
      </c>
      <c r="J1056" s="30" t="s">
        <v>55</v>
      </c>
      <c r="K1056" s="30" t="s">
        <v>51</v>
      </c>
      <c r="L1056" s="30" t="s">
        <v>96</v>
      </c>
      <c r="M1056" s="31" t="n">
        <f aca="false">AVERAGEIF($E$2:$E$1197,E1056,$G$2:$G$1197)</f>
        <v>2870.26771653543</v>
      </c>
      <c r="N1056" s="19" t="str">
        <f aca="false">IF(G1056&gt;M1056*3,"نعم","لا")</f>
        <v>لا</v>
      </c>
      <c r="O1056" s="19" t="str">
        <f aca="false">IF(OR(C1056="",ISNUMBER(C1056)),"لا","نعم")</f>
        <v>لا</v>
      </c>
      <c r="P1056" s="19" t="str">
        <f aca="false">IF(COUNTIF($B$2:B1056,B1056)&gt;1,"مكرر","فريد")</f>
        <v>فريد</v>
      </c>
      <c r="Q1056" s="19" t="str">
        <f aca="false">IF(COUNTBLANK(D1056:L1056)&gt;0,"نعم","لا")</f>
        <v>لا</v>
      </c>
    </row>
    <row r="1057" customFormat="false" ht="15" hidden="false" customHeight="false" outlineLevel="0" collapsed="false">
      <c r="A1057" s="19" t="n">
        <v>1056</v>
      </c>
      <c r="B1057" s="30" t="s">
        <v>1116</v>
      </c>
      <c r="C1057" s="44" t="n">
        <v>45611</v>
      </c>
      <c r="D1057" s="30" t="s">
        <v>50</v>
      </c>
      <c r="E1057" s="30" t="s">
        <v>113</v>
      </c>
      <c r="F1057" s="30" t="s">
        <v>121</v>
      </c>
      <c r="G1057" s="31" t="n">
        <v>139</v>
      </c>
      <c r="H1057" s="19" t="n">
        <v>1</v>
      </c>
      <c r="I1057" s="32" t="n">
        <v>0</v>
      </c>
      <c r="J1057" s="30" t="s">
        <v>58</v>
      </c>
      <c r="K1057" s="30" t="s">
        <v>47</v>
      </c>
      <c r="L1057" s="30" t="s">
        <v>86</v>
      </c>
      <c r="M1057" s="31" t="n">
        <f aca="false">AVERAGEIF($E$2:$E$1197,E1057,$G$2:$G$1197)</f>
        <v>545.358823529412</v>
      </c>
      <c r="N1057" s="19" t="str">
        <f aca="false">IF(G1057&gt;M1057*3,"نعم","لا")</f>
        <v>لا</v>
      </c>
      <c r="O1057" s="19" t="str">
        <f aca="false">IF(OR(C1057="",ISNUMBER(C1057)),"لا","نعم")</f>
        <v>لا</v>
      </c>
      <c r="P1057" s="19" t="str">
        <f aca="false">IF(COUNTIF($B$2:B1057,B1057)&gt;1,"مكرر","فريد")</f>
        <v>فريد</v>
      </c>
      <c r="Q1057" s="19" t="str">
        <f aca="false">IF(COUNTBLANK(D1057:L1057)&gt;0,"نعم","لا")</f>
        <v>لا</v>
      </c>
    </row>
    <row r="1058" customFormat="false" ht="15" hidden="false" customHeight="false" outlineLevel="0" collapsed="false">
      <c r="A1058" s="19" t="n">
        <v>1057</v>
      </c>
      <c r="B1058" s="30" t="s">
        <v>784</v>
      </c>
      <c r="C1058" s="44" t="n">
        <v>45511</v>
      </c>
      <c r="D1058" s="30" t="s">
        <v>57</v>
      </c>
      <c r="E1058" s="30" t="s">
        <v>109</v>
      </c>
      <c r="F1058" s="30" t="s">
        <v>192</v>
      </c>
      <c r="G1058" s="31" t="n">
        <v>129</v>
      </c>
      <c r="H1058" s="19" t="n">
        <v>2</v>
      </c>
      <c r="I1058" s="32" t="n">
        <v>0</v>
      </c>
      <c r="J1058" s="30" t="s">
        <v>55</v>
      </c>
      <c r="K1058" s="30" t="s">
        <v>47</v>
      </c>
      <c r="L1058" s="30" t="s">
        <v>96</v>
      </c>
      <c r="M1058" s="31" t="n">
        <f aca="false">AVERAGEIF($E$2:$E$1197,E1058,$G$2:$G$1197)</f>
        <v>186.056291390729</v>
      </c>
      <c r="N1058" s="19" t="str">
        <f aca="false">IF(G1058&gt;M1058*3,"نعم","لا")</f>
        <v>لا</v>
      </c>
      <c r="O1058" s="19" t="str">
        <f aca="false">IF(OR(C1058="",ISNUMBER(C1058)),"لا","نعم")</f>
        <v>لا</v>
      </c>
      <c r="P1058" s="19" t="str">
        <f aca="false">IF(COUNTIF($B$2:B1058,B1058)&gt;1,"مكرر","فريد")</f>
        <v>فريد</v>
      </c>
      <c r="Q1058" s="19" t="str">
        <f aca="false">IF(COUNTBLANK(D1058:L1058)&gt;0,"نعم","لا")</f>
        <v>لا</v>
      </c>
    </row>
    <row r="1059" customFormat="false" ht="15" hidden="false" customHeight="false" outlineLevel="0" collapsed="false">
      <c r="A1059" s="19" t="n">
        <v>1058</v>
      </c>
      <c r="B1059" s="30" t="s">
        <v>788</v>
      </c>
      <c r="C1059" s="30" t="s">
        <v>1492</v>
      </c>
      <c r="D1059" s="30" t="s">
        <v>50</v>
      </c>
      <c r="E1059" s="30" t="s">
        <v>105</v>
      </c>
      <c r="F1059" s="30" t="s">
        <v>82</v>
      </c>
      <c r="G1059" s="31" t="n">
        <v>1269</v>
      </c>
      <c r="H1059" s="19" t="n">
        <v>1</v>
      </c>
      <c r="I1059" s="32" t="n">
        <v>0</v>
      </c>
      <c r="J1059" s="30" t="s">
        <v>55</v>
      </c>
      <c r="K1059" s="30" t="s">
        <v>47</v>
      </c>
      <c r="L1059" s="30" t="s">
        <v>86</v>
      </c>
      <c r="M1059" s="31" t="n">
        <f aca="false">AVERAGEIF($E$2:$E$1197,E1059,$G$2:$G$1197)</f>
        <v>2870.26771653543</v>
      </c>
      <c r="N1059" s="19" t="str">
        <f aca="false">IF(G1059&gt;M1059*3,"نعم","لا")</f>
        <v>لا</v>
      </c>
      <c r="O1059" s="19" t="str">
        <f aca="false">IF(OR(C1059="",ISNUMBER(C1059)),"لا","نعم")</f>
        <v>نعم</v>
      </c>
      <c r="P1059" s="19" t="str">
        <f aca="false">IF(COUNTIF($B$2:B1059,B1059)&gt;1,"مكرر","فريد")</f>
        <v>فريد</v>
      </c>
      <c r="Q1059" s="19" t="str">
        <f aca="false">IF(COUNTBLANK(D1059:L1059)&gt;0,"نعم","لا")</f>
        <v>لا</v>
      </c>
    </row>
    <row r="1060" customFormat="false" ht="15" hidden="false" customHeight="false" outlineLevel="0" collapsed="false">
      <c r="A1060" s="19" t="n">
        <v>1059</v>
      </c>
      <c r="B1060" s="30" t="s">
        <v>1083</v>
      </c>
      <c r="C1060" s="44" t="n">
        <v>45604</v>
      </c>
      <c r="D1060" s="30" t="s">
        <v>54</v>
      </c>
      <c r="E1060" s="30" t="s">
        <v>107</v>
      </c>
      <c r="F1060" s="30" t="s">
        <v>184</v>
      </c>
      <c r="G1060" s="31" t="n">
        <v>5359</v>
      </c>
      <c r="H1060" s="19" t="n">
        <v>1</v>
      </c>
      <c r="I1060" s="32" t="n">
        <v>0</v>
      </c>
      <c r="J1060" s="30" t="s">
        <v>55</v>
      </c>
      <c r="K1060" s="30" t="s">
        <v>47</v>
      </c>
      <c r="L1060" s="30" t="s">
        <v>99</v>
      </c>
      <c r="M1060" s="31" t="n">
        <f aca="false">AVERAGEIF($E$2:$E$1197,E1060,$G$2:$G$1197)</f>
        <v>4981.14563106796</v>
      </c>
      <c r="N1060" s="19" t="str">
        <f aca="false">IF(G1060&gt;M1060*3,"نعم","لا")</f>
        <v>لا</v>
      </c>
      <c r="O1060" s="19" t="str">
        <f aca="false">IF(OR(C1060="",ISNUMBER(C1060)),"لا","نعم")</f>
        <v>لا</v>
      </c>
      <c r="P1060" s="19" t="str">
        <f aca="false">IF(COUNTIF($B$2:B1060,B1060)&gt;1,"مكرر","فريد")</f>
        <v>مكرر</v>
      </c>
      <c r="Q1060" s="19" t="str">
        <f aca="false">IF(COUNTBLANK(D1060:L1060)&gt;0,"نعم","لا")</f>
        <v>لا</v>
      </c>
    </row>
    <row r="1061" customFormat="false" ht="15" hidden="false" customHeight="false" outlineLevel="0" collapsed="false">
      <c r="A1061" s="19" t="n">
        <v>1060</v>
      </c>
      <c r="B1061" s="30" t="s">
        <v>1248</v>
      </c>
      <c r="C1061" s="44" t="n">
        <v>45644</v>
      </c>
      <c r="D1061" s="30" t="s">
        <v>46</v>
      </c>
      <c r="E1061" s="30" t="s">
        <v>107</v>
      </c>
      <c r="F1061" s="30" t="s">
        <v>184</v>
      </c>
      <c r="G1061" s="31" t="n">
        <v>2859</v>
      </c>
      <c r="H1061" s="19" t="n">
        <v>2</v>
      </c>
      <c r="I1061" s="32" t="n">
        <v>0.2</v>
      </c>
      <c r="J1061" s="30" t="s">
        <v>52</v>
      </c>
      <c r="K1061" s="30" t="s">
        <v>47</v>
      </c>
      <c r="L1061" s="30" t="s">
        <v>94</v>
      </c>
      <c r="M1061" s="31" t="n">
        <f aca="false">AVERAGEIF($E$2:$E$1197,E1061,$G$2:$G$1197)</f>
        <v>4981.14563106796</v>
      </c>
      <c r="N1061" s="19" t="str">
        <f aca="false">IF(G1061&gt;M1061*3,"نعم","لا")</f>
        <v>لا</v>
      </c>
      <c r="O1061" s="19" t="str">
        <f aca="false">IF(OR(C1061="",ISNUMBER(C1061)),"لا","نعم")</f>
        <v>لا</v>
      </c>
      <c r="P1061" s="19" t="str">
        <f aca="false">IF(COUNTIF($B$2:B1061,B1061)&gt;1,"مكرر","فريد")</f>
        <v>فريد</v>
      </c>
      <c r="Q1061" s="19" t="str">
        <f aca="false">IF(COUNTBLANK(D1061:L1061)&gt;0,"نعم","لا")</f>
        <v>لا</v>
      </c>
    </row>
    <row r="1062" customFormat="false" ht="15" hidden="false" customHeight="false" outlineLevel="0" collapsed="false">
      <c r="A1062" s="19" t="n">
        <v>1061</v>
      </c>
      <c r="B1062" s="30" t="s">
        <v>944</v>
      </c>
      <c r="C1062" s="44" t="n">
        <v>45562</v>
      </c>
      <c r="D1062" s="30" t="s">
        <v>54</v>
      </c>
      <c r="E1062" s="30" t="s">
        <v>105</v>
      </c>
      <c r="F1062" s="30" t="s">
        <v>82</v>
      </c>
      <c r="G1062" s="31" t="n">
        <v>2539</v>
      </c>
      <c r="H1062" s="19" t="n">
        <v>1</v>
      </c>
      <c r="I1062" s="32" t="n">
        <v>0</v>
      </c>
      <c r="J1062" s="30" t="s">
        <v>48</v>
      </c>
      <c r="K1062" s="30" t="s">
        <v>47</v>
      </c>
      <c r="L1062" s="30" t="s">
        <v>96</v>
      </c>
      <c r="M1062" s="31" t="n">
        <f aca="false">AVERAGEIF($E$2:$E$1197,E1062,$G$2:$G$1197)</f>
        <v>2870.26771653543</v>
      </c>
      <c r="N1062" s="19" t="str">
        <f aca="false">IF(G1062&gt;M1062*3,"نعم","لا")</f>
        <v>لا</v>
      </c>
      <c r="O1062" s="19" t="str">
        <f aca="false">IF(OR(C1062="",ISNUMBER(C1062)),"لا","نعم")</f>
        <v>لا</v>
      </c>
      <c r="P1062" s="19" t="str">
        <f aca="false">IF(COUNTIF($B$2:B1062,B1062)&gt;1,"مكرر","فريد")</f>
        <v>فريد</v>
      </c>
      <c r="Q1062" s="19" t="str">
        <f aca="false">IF(COUNTBLANK(D1062:L1062)&gt;0,"نعم","لا")</f>
        <v>لا</v>
      </c>
    </row>
    <row r="1063" customFormat="false" ht="15" hidden="false" customHeight="false" outlineLevel="0" collapsed="false">
      <c r="A1063" s="19" t="n">
        <v>1062</v>
      </c>
      <c r="B1063" s="30" t="s">
        <v>801</v>
      </c>
      <c r="C1063" s="44" t="n">
        <v>45516</v>
      </c>
      <c r="D1063" s="30" t="s">
        <v>60</v>
      </c>
      <c r="E1063" s="30" t="s">
        <v>105</v>
      </c>
      <c r="F1063" s="30" t="s">
        <v>85</v>
      </c>
      <c r="G1063" s="31" t="n">
        <v>1199</v>
      </c>
      <c r="H1063" s="19" t="n">
        <v>3</v>
      </c>
      <c r="I1063" s="32" t="n">
        <v>0.1</v>
      </c>
      <c r="J1063" s="30" t="s">
        <v>55</v>
      </c>
      <c r="K1063" s="30" t="s">
        <v>51</v>
      </c>
      <c r="L1063" s="30" t="s">
        <v>86</v>
      </c>
      <c r="M1063" s="31" t="n">
        <f aca="false">AVERAGEIF($E$2:$E$1197,E1063,$G$2:$G$1197)</f>
        <v>2870.26771653543</v>
      </c>
      <c r="N1063" s="19" t="str">
        <f aca="false">IF(G1063&gt;M1063*3,"نعم","لا")</f>
        <v>لا</v>
      </c>
      <c r="O1063" s="19" t="str">
        <f aca="false">IF(OR(C1063="",ISNUMBER(C1063)),"لا","نعم")</f>
        <v>لا</v>
      </c>
      <c r="P1063" s="19" t="str">
        <f aca="false">IF(COUNTIF($B$2:B1063,B1063)&gt;1,"مكرر","فريد")</f>
        <v>فريد</v>
      </c>
      <c r="Q1063" s="19" t="str">
        <f aca="false">IF(COUNTBLANK(D1063:L1063)&gt;0,"نعم","لا")</f>
        <v>لا</v>
      </c>
    </row>
    <row r="1064" customFormat="false" ht="15" hidden="false" customHeight="false" outlineLevel="0" collapsed="false">
      <c r="A1064" s="19" t="n">
        <v>1063</v>
      </c>
      <c r="B1064" s="30" t="s">
        <v>1153</v>
      </c>
      <c r="C1064" s="44" t="n">
        <v>45619</v>
      </c>
      <c r="D1064" s="30" t="s">
        <v>54</v>
      </c>
      <c r="E1064" s="30" t="s">
        <v>111</v>
      </c>
      <c r="F1064" s="30" t="s">
        <v>108</v>
      </c>
      <c r="G1064" s="31" t="n">
        <v>169</v>
      </c>
      <c r="H1064" s="19" t="n">
        <v>1</v>
      </c>
      <c r="I1064" s="32" t="n">
        <v>0</v>
      </c>
      <c r="J1064" s="30" t="s">
        <v>55</v>
      </c>
      <c r="K1064" s="30" t="s">
        <v>47</v>
      </c>
      <c r="L1064" s="30" t="s">
        <v>81</v>
      </c>
      <c r="M1064" s="31" t="n">
        <f aca="false">AVERAGEIF($E$2:$E$1197,E1064,$G$2:$G$1197)</f>
        <v>366.306569343066</v>
      </c>
      <c r="N1064" s="19" t="str">
        <f aca="false">IF(G1064&gt;M1064*3,"نعم","لا")</f>
        <v>لا</v>
      </c>
      <c r="O1064" s="19" t="str">
        <f aca="false">IF(OR(C1064="",ISNUMBER(C1064)),"لا","نعم")</f>
        <v>لا</v>
      </c>
      <c r="P1064" s="19" t="str">
        <f aca="false">IF(COUNTIF($B$2:B1064,B1064)&gt;1,"مكرر","فريد")</f>
        <v>فريد</v>
      </c>
      <c r="Q1064" s="19" t="str">
        <f aca="false">IF(COUNTBLANK(D1064:L1064)&gt;0,"نعم","لا")</f>
        <v>لا</v>
      </c>
    </row>
    <row r="1065" customFormat="false" ht="15" hidden="false" customHeight="false" outlineLevel="0" collapsed="false">
      <c r="A1065" s="19" t="n">
        <v>1064</v>
      </c>
      <c r="B1065" s="30" t="s">
        <v>715</v>
      </c>
      <c r="C1065" s="44" t="n">
        <v>45491</v>
      </c>
      <c r="D1065" s="30" t="s">
        <v>54</v>
      </c>
      <c r="E1065" s="30" t="s">
        <v>109</v>
      </c>
      <c r="F1065" s="30" t="s">
        <v>192</v>
      </c>
      <c r="G1065" s="31" t="n">
        <v>239</v>
      </c>
      <c r="H1065" s="19" t="n">
        <v>1</v>
      </c>
      <c r="I1065" s="32" t="n">
        <v>0.05</v>
      </c>
      <c r="J1065" s="30" t="s">
        <v>52</v>
      </c>
      <c r="K1065" s="30" t="s">
        <v>47</v>
      </c>
      <c r="L1065" s="30" t="s">
        <v>84</v>
      </c>
      <c r="M1065" s="31" t="n">
        <f aca="false">AVERAGEIF($E$2:$E$1197,E1065,$G$2:$G$1197)</f>
        <v>186.056291390729</v>
      </c>
      <c r="N1065" s="19" t="str">
        <f aca="false">IF(G1065&gt;M1065*3,"نعم","لا")</f>
        <v>لا</v>
      </c>
      <c r="O1065" s="19" t="str">
        <f aca="false">IF(OR(C1065="",ISNUMBER(C1065)),"لا","نعم")</f>
        <v>لا</v>
      </c>
      <c r="P1065" s="19" t="str">
        <f aca="false">IF(COUNTIF($B$2:B1065,B1065)&gt;1,"مكرر","فريد")</f>
        <v>فريد</v>
      </c>
      <c r="Q1065" s="19" t="str">
        <f aca="false">IF(COUNTBLANK(D1065:L1065)&gt;0,"نعم","لا")</f>
        <v>لا</v>
      </c>
    </row>
    <row r="1066" customFormat="false" ht="15" hidden="false" customHeight="false" outlineLevel="0" collapsed="false">
      <c r="A1066" s="19" t="n">
        <v>1065</v>
      </c>
      <c r="B1066" s="30" t="s">
        <v>832</v>
      </c>
      <c r="C1066" s="44" t="n">
        <v>45524</v>
      </c>
      <c r="D1066" s="30" t="s">
        <v>60</v>
      </c>
      <c r="E1066" s="30" t="s">
        <v>107</v>
      </c>
      <c r="F1066" s="30" t="s">
        <v>115</v>
      </c>
      <c r="G1066" s="31" t="n">
        <v>7049</v>
      </c>
      <c r="H1066" s="19" t="n">
        <v>1</v>
      </c>
      <c r="I1066" s="32" t="n">
        <v>0</v>
      </c>
      <c r="J1066" s="30" t="s">
        <v>48</v>
      </c>
      <c r="K1066" s="30" t="s">
        <v>47</v>
      </c>
      <c r="L1066" s="30" t="s">
        <v>84</v>
      </c>
      <c r="M1066" s="31" t="n">
        <f aca="false">AVERAGEIF($E$2:$E$1197,E1066,$G$2:$G$1197)</f>
        <v>4981.14563106796</v>
      </c>
      <c r="N1066" s="19" t="str">
        <f aca="false">IF(G1066&gt;M1066*3,"نعم","لا")</f>
        <v>لا</v>
      </c>
      <c r="O1066" s="19" t="str">
        <f aca="false">IF(OR(C1066="",ISNUMBER(C1066)),"لا","نعم")</f>
        <v>لا</v>
      </c>
      <c r="P1066" s="19" t="str">
        <f aca="false">IF(COUNTIF($B$2:B1066,B1066)&gt;1,"مكرر","فريد")</f>
        <v>فريد</v>
      </c>
      <c r="Q1066" s="19" t="str">
        <f aca="false">IF(COUNTBLANK(D1066:L1066)&gt;0,"نعم","لا")</f>
        <v>لا</v>
      </c>
    </row>
    <row r="1067" customFormat="false" ht="15" hidden="false" customHeight="false" outlineLevel="0" collapsed="false">
      <c r="A1067" s="19" t="n">
        <v>1066</v>
      </c>
      <c r="B1067" s="30" t="s">
        <v>736</v>
      </c>
      <c r="C1067" s="44" t="n">
        <v>45497</v>
      </c>
      <c r="D1067" s="30" t="s">
        <v>50</v>
      </c>
      <c r="E1067" s="30" t="s">
        <v>109</v>
      </c>
      <c r="F1067" s="30" t="s">
        <v>93</v>
      </c>
      <c r="G1067" s="31" t="n">
        <v>69</v>
      </c>
      <c r="H1067" s="19" t="n">
        <v>1</v>
      </c>
      <c r="I1067" s="32" t="n">
        <v>0.1</v>
      </c>
      <c r="J1067" s="30" t="s">
        <v>48</v>
      </c>
      <c r="K1067" s="30" t="s">
        <v>47</v>
      </c>
      <c r="L1067" s="30" t="s">
        <v>89</v>
      </c>
      <c r="M1067" s="31" t="n">
        <f aca="false">AVERAGEIF($E$2:$E$1197,E1067,$G$2:$G$1197)</f>
        <v>186.056291390729</v>
      </c>
      <c r="N1067" s="19" t="str">
        <f aca="false">IF(G1067&gt;M1067*3,"نعم","لا")</f>
        <v>لا</v>
      </c>
      <c r="O1067" s="19" t="str">
        <f aca="false">IF(OR(C1067="",ISNUMBER(C1067)),"لا","نعم")</f>
        <v>لا</v>
      </c>
      <c r="P1067" s="19" t="str">
        <f aca="false">IF(COUNTIF($B$2:B1067,B1067)&gt;1,"مكرر","فريد")</f>
        <v>فريد</v>
      </c>
      <c r="Q1067" s="19" t="str">
        <f aca="false">IF(COUNTBLANK(D1067:L1067)&gt;0,"نعم","لا")</f>
        <v>لا</v>
      </c>
    </row>
    <row r="1068" customFormat="false" ht="15" hidden="false" customHeight="false" outlineLevel="0" collapsed="false">
      <c r="A1068" s="19" t="n">
        <v>1067</v>
      </c>
      <c r="B1068" s="30" t="s">
        <v>685</v>
      </c>
      <c r="C1068" s="44" t="n">
        <v>45480</v>
      </c>
      <c r="D1068" s="30" t="s">
        <v>54</v>
      </c>
      <c r="E1068" s="30" t="s">
        <v>111</v>
      </c>
      <c r="F1068" s="30" t="s">
        <v>118</v>
      </c>
      <c r="G1068" s="31" t="n">
        <v>469</v>
      </c>
      <c r="H1068" s="19" t="n">
        <v>2</v>
      </c>
      <c r="I1068" s="32" t="n">
        <v>0.1</v>
      </c>
      <c r="J1068" s="30" t="s">
        <v>55</v>
      </c>
      <c r="K1068" s="30" t="s">
        <v>47</v>
      </c>
      <c r="L1068" s="30" t="s">
        <v>86</v>
      </c>
      <c r="M1068" s="31" t="n">
        <f aca="false">AVERAGEIF($E$2:$E$1197,E1068,$G$2:$G$1197)</f>
        <v>366.306569343066</v>
      </c>
      <c r="N1068" s="19" t="str">
        <f aca="false">IF(G1068&gt;M1068*3,"نعم","لا")</f>
        <v>لا</v>
      </c>
      <c r="O1068" s="19" t="str">
        <f aca="false">IF(OR(C1068="",ISNUMBER(C1068)),"لا","نعم")</f>
        <v>لا</v>
      </c>
      <c r="P1068" s="19" t="str">
        <f aca="false">IF(COUNTIF($B$2:B1068,B1068)&gt;1,"مكرر","فريد")</f>
        <v>فريد</v>
      </c>
      <c r="Q1068" s="19" t="str">
        <f aca="false">IF(COUNTBLANK(D1068:L1068)&gt;0,"نعم","لا")</f>
        <v>لا</v>
      </c>
    </row>
    <row r="1069" customFormat="false" ht="15" hidden="false" customHeight="false" outlineLevel="0" collapsed="false">
      <c r="A1069" s="19" t="n">
        <v>1068</v>
      </c>
      <c r="B1069" s="30" t="s">
        <v>1203</v>
      </c>
      <c r="C1069" s="44" t="n">
        <v>45632</v>
      </c>
      <c r="D1069" s="30" t="s">
        <v>54</v>
      </c>
      <c r="E1069" s="30" t="s">
        <v>109</v>
      </c>
      <c r="F1069" s="30" t="s">
        <v>175</v>
      </c>
      <c r="G1069" s="31" t="n">
        <v>159</v>
      </c>
      <c r="H1069" s="19" t="n">
        <v>1</v>
      </c>
      <c r="I1069" s="32" t="n">
        <v>0.05</v>
      </c>
      <c r="J1069" s="30" t="s">
        <v>52</v>
      </c>
      <c r="K1069" s="30" t="s">
        <v>47</v>
      </c>
      <c r="L1069" s="30" t="s">
        <v>99</v>
      </c>
      <c r="M1069" s="31" t="n">
        <f aca="false">AVERAGEIF($E$2:$E$1197,E1069,$G$2:$G$1197)</f>
        <v>186.056291390729</v>
      </c>
      <c r="N1069" s="19" t="str">
        <f aca="false">IF(G1069&gt;M1069*3,"نعم","لا")</f>
        <v>لا</v>
      </c>
      <c r="O1069" s="19" t="str">
        <f aca="false">IF(OR(C1069="",ISNUMBER(C1069)),"لا","نعم")</f>
        <v>لا</v>
      </c>
      <c r="P1069" s="19" t="str">
        <f aca="false">IF(COUNTIF($B$2:B1069,B1069)&gt;1,"مكرر","فريد")</f>
        <v>فريد</v>
      </c>
      <c r="Q1069" s="19" t="str">
        <f aca="false">IF(COUNTBLANK(D1069:L1069)&gt;0,"نعم","لا")</f>
        <v>لا</v>
      </c>
    </row>
    <row r="1070" customFormat="false" ht="15" hidden="false" customHeight="false" outlineLevel="0" collapsed="false">
      <c r="A1070" s="19" t="n">
        <v>1069</v>
      </c>
      <c r="B1070" s="30" t="s">
        <v>700</v>
      </c>
      <c r="C1070" s="30" t="s">
        <v>1493</v>
      </c>
      <c r="D1070" s="30" t="s">
        <v>46</v>
      </c>
      <c r="E1070" s="30" t="s">
        <v>109</v>
      </c>
      <c r="F1070" s="30" t="s">
        <v>192</v>
      </c>
      <c r="G1070" s="31" t="n">
        <v>119</v>
      </c>
      <c r="H1070" s="19" t="n">
        <v>2</v>
      </c>
      <c r="I1070" s="32" t="n">
        <v>0</v>
      </c>
      <c r="J1070" s="30" t="s">
        <v>48</v>
      </c>
      <c r="K1070" s="30" t="s">
        <v>47</v>
      </c>
      <c r="L1070" s="30" t="s">
        <v>86</v>
      </c>
      <c r="M1070" s="31" t="n">
        <f aca="false">AVERAGEIF($E$2:$E$1197,E1070,$G$2:$G$1197)</f>
        <v>186.056291390729</v>
      </c>
      <c r="N1070" s="19" t="str">
        <f aca="false">IF(G1070&gt;M1070*3,"نعم","لا")</f>
        <v>لا</v>
      </c>
      <c r="O1070" s="19" t="str">
        <f aca="false">IF(OR(C1070="",ISNUMBER(C1070)),"لا","نعم")</f>
        <v>نعم</v>
      </c>
      <c r="P1070" s="19" t="str">
        <f aca="false">IF(COUNTIF($B$2:B1070,B1070)&gt;1,"مكرر","فريد")</f>
        <v>فريد</v>
      </c>
      <c r="Q1070" s="19" t="str">
        <f aca="false">IF(COUNTBLANK(D1070:L1070)&gt;0,"نعم","لا")</f>
        <v>لا</v>
      </c>
    </row>
    <row r="1071" customFormat="false" ht="15" hidden="false" customHeight="false" outlineLevel="0" collapsed="false">
      <c r="A1071" s="19" t="n">
        <v>1070</v>
      </c>
      <c r="B1071" s="30" t="s">
        <v>899</v>
      </c>
      <c r="C1071" s="44" t="n">
        <v>45544</v>
      </c>
      <c r="D1071" s="30" t="s">
        <v>60</v>
      </c>
      <c r="E1071" s="30" t="s">
        <v>109</v>
      </c>
      <c r="F1071" s="30" t="s">
        <v>192</v>
      </c>
      <c r="G1071" s="31" t="n">
        <v>229</v>
      </c>
      <c r="H1071" s="19" t="n">
        <v>1</v>
      </c>
      <c r="I1071" s="32" t="n">
        <v>0.1</v>
      </c>
      <c r="J1071" s="30" t="s">
        <v>48</v>
      </c>
      <c r="K1071" s="30" t="s">
        <v>47</v>
      </c>
      <c r="L1071" s="30" t="s">
        <v>84</v>
      </c>
      <c r="M1071" s="31" t="n">
        <f aca="false">AVERAGEIF($E$2:$E$1197,E1071,$G$2:$G$1197)</f>
        <v>186.056291390729</v>
      </c>
      <c r="N1071" s="19" t="str">
        <f aca="false">IF(G1071&gt;M1071*3,"نعم","لا")</f>
        <v>لا</v>
      </c>
      <c r="O1071" s="19" t="str">
        <f aca="false">IF(OR(C1071="",ISNUMBER(C1071)),"لا","نعم")</f>
        <v>لا</v>
      </c>
      <c r="P1071" s="19" t="str">
        <f aca="false">IF(COUNTIF($B$2:B1071,B1071)&gt;1,"مكرر","فريد")</f>
        <v>فريد</v>
      </c>
      <c r="Q1071" s="19" t="str">
        <f aca="false">IF(COUNTBLANK(D1071:L1071)&gt;0,"نعم","لا")</f>
        <v>لا</v>
      </c>
    </row>
    <row r="1072" customFormat="false" ht="15" hidden="false" customHeight="false" outlineLevel="0" collapsed="false">
      <c r="A1072" s="19" t="n">
        <v>1071</v>
      </c>
      <c r="B1072" s="30" t="s">
        <v>1249</v>
      </c>
      <c r="C1072" s="44" t="n">
        <v>45644</v>
      </c>
      <c r="D1072" s="30" t="s">
        <v>46</v>
      </c>
      <c r="E1072" s="30" t="s">
        <v>105</v>
      </c>
      <c r="F1072" s="30" t="s">
        <v>85</v>
      </c>
      <c r="G1072" s="31" t="n">
        <v>829</v>
      </c>
      <c r="H1072" s="19" t="n">
        <v>2</v>
      </c>
      <c r="I1072" s="32" t="n">
        <v>0</v>
      </c>
      <c r="J1072" s="30" t="s">
        <v>58</v>
      </c>
      <c r="K1072" s="30" t="s">
        <v>47</v>
      </c>
      <c r="L1072" s="30" t="s">
        <v>86</v>
      </c>
      <c r="M1072" s="31" t="n">
        <f aca="false">AVERAGEIF($E$2:$E$1197,E1072,$G$2:$G$1197)</f>
        <v>2870.26771653543</v>
      </c>
      <c r="N1072" s="19" t="str">
        <f aca="false">IF(G1072&gt;M1072*3,"نعم","لا")</f>
        <v>لا</v>
      </c>
      <c r="O1072" s="19" t="str">
        <f aca="false">IF(OR(C1072="",ISNUMBER(C1072)),"لا","نعم")</f>
        <v>لا</v>
      </c>
      <c r="P1072" s="19" t="str">
        <f aca="false">IF(COUNTIF($B$2:B1072,B1072)&gt;1,"مكرر","فريد")</f>
        <v>فريد</v>
      </c>
      <c r="Q1072" s="19" t="str">
        <f aca="false">IF(COUNTBLANK(D1072:L1072)&gt;0,"نعم","لا")</f>
        <v>لا</v>
      </c>
    </row>
    <row r="1073" customFormat="false" ht="15" hidden="false" customHeight="false" outlineLevel="0" collapsed="false">
      <c r="A1073" s="19" t="n">
        <v>1072</v>
      </c>
      <c r="B1073" s="30" t="s">
        <v>645</v>
      </c>
      <c r="C1073" s="44" t="n">
        <v>45466</v>
      </c>
      <c r="D1073" s="30" t="s">
        <v>46</v>
      </c>
      <c r="E1073" s="30" t="s">
        <v>109</v>
      </c>
      <c r="F1073" s="30" t="s">
        <v>192</v>
      </c>
      <c r="G1073" s="31" t="n">
        <v>69</v>
      </c>
      <c r="H1073" s="19" t="n">
        <v>1</v>
      </c>
      <c r="I1073" s="32" t="n">
        <v>0</v>
      </c>
      <c r="J1073" s="30" t="s">
        <v>55</v>
      </c>
      <c r="K1073" s="30" t="s">
        <v>47</v>
      </c>
      <c r="L1073" s="30" t="s">
        <v>84</v>
      </c>
      <c r="M1073" s="31" t="n">
        <f aca="false">AVERAGEIF($E$2:$E$1197,E1073,$G$2:$G$1197)</f>
        <v>186.056291390729</v>
      </c>
      <c r="N1073" s="19" t="str">
        <f aca="false">IF(G1073&gt;M1073*3,"نعم","لا")</f>
        <v>لا</v>
      </c>
      <c r="O1073" s="19" t="str">
        <f aca="false">IF(OR(C1073="",ISNUMBER(C1073)),"لا","نعم")</f>
        <v>لا</v>
      </c>
      <c r="P1073" s="19" t="str">
        <f aca="false">IF(COUNTIF($B$2:B1073,B1073)&gt;1,"مكرر","فريد")</f>
        <v>فريد</v>
      </c>
      <c r="Q1073" s="19" t="str">
        <f aca="false">IF(COUNTBLANK(D1073:L1073)&gt;0,"نعم","لا")</f>
        <v>لا</v>
      </c>
    </row>
    <row r="1074" customFormat="false" ht="15" hidden="false" customHeight="false" outlineLevel="0" collapsed="false">
      <c r="A1074" s="19" t="n">
        <v>1073</v>
      </c>
      <c r="B1074" s="30" t="s">
        <v>269</v>
      </c>
      <c r="C1074" s="44" t="n">
        <v>45328</v>
      </c>
      <c r="D1074" s="30" t="s">
        <v>50</v>
      </c>
      <c r="E1074" s="30" t="s">
        <v>109</v>
      </c>
      <c r="F1074" s="30" t="s">
        <v>171</v>
      </c>
      <c r="G1074" s="31" t="n">
        <v>299</v>
      </c>
      <c r="H1074" s="19" t="n">
        <v>1</v>
      </c>
      <c r="I1074" s="32" t="n">
        <v>0.1</v>
      </c>
      <c r="J1074" s="30" t="s">
        <v>55</v>
      </c>
      <c r="K1074" s="30" t="s">
        <v>47</v>
      </c>
      <c r="L1074" s="30" t="s">
        <v>99</v>
      </c>
      <c r="M1074" s="31" t="n">
        <f aca="false">AVERAGEIF($E$2:$E$1197,E1074,$G$2:$G$1197)</f>
        <v>186.056291390729</v>
      </c>
      <c r="N1074" s="19" t="str">
        <f aca="false">IF(G1074&gt;M1074*3,"نعم","لا")</f>
        <v>لا</v>
      </c>
      <c r="O1074" s="19" t="str">
        <f aca="false">IF(OR(C1074="",ISNUMBER(C1074)),"لا","نعم")</f>
        <v>لا</v>
      </c>
      <c r="P1074" s="19" t="str">
        <f aca="false">IF(COUNTIF($B$2:B1074,B1074)&gt;1,"مكرر","فريد")</f>
        <v>فريد</v>
      </c>
      <c r="Q1074" s="19" t="str">
        <f aca="false">IF(COUNTBLANK(D1074:L1074)&gt;0,"نعم","لا")</f>
        <v>لا</v>
      </c>
    </row>
    <row r="1075" customFormat="false" ht="15" hidden="false" customHeight="false" outlineLevel="0" collapsed="false">
      <c r="A1075" s="19" t="n">
        <v>1074</v>
      </c>
      <c r="B1075" s="30" t="s">
        <v>1165</v>
      </c>
      <c r="C1075" s="44" t="n">
        <v>45621</v>
      </c>
      <c r="D1075" s="30" t="s">
        <v>1353</v>
      </c>
      <c r="E1075" s="30" t="s">
        <v>105</v>
      </c>
      <c r="F1075" s="30" t="s">
        <v>85</v>
      </c>
      <c r="G1075" s="31" t="n">
        <v>1209</v>
      </c>
      <c r="H1075" s="19" t="n">
        <v>1</v>
      </c>
      <c r="I1075" s="32" t="n">
        <v>0.1</v>
      </c>
      <c r="J1075" s="30" t="s">
        <v>55</v>
      </c>
      <c r="K1075" s="30" t="s">
        <v>47</v>
      </c>
      <c r="L1075" s="30" t="s">
        <v>96</v>
      </c>
      <c r="M1075" s="31" t="n">
        <f aca="false">AVERAGEIF($E$2:$E$1197,E1075,$G$2:$G$1197)</f>
        <v>2870.26771653543</v>
      </c>
      <c r="N1075" s="19" t="str">
        <f aca="false">IF(G1075&gt;M1075*3,"نعم","لا")</f>
        <v>لا</v>
      </c>
      <c r="O1075" s="19" t="str">
        <f aca="false">IF(OR(C1075="",ISNUMBER(C1075)),"لا","نعم")</f>
        <v>لا</v>
      </c>
      <c r="P1075" s="19" t="str">
        <f aca="false">IF(COUNTIF($B$2:B1075,B1075)&gt;1,"مكرر","فريد")</f>
        <v>فريد</v>
      </c>
      <c r="Q1075" s="19" t="str">
        <f aca="false">IF(COUNTBLANK(D1075:L1075)&gt;0,"نعم","لا")</f>
        <v>لا</v>
      </c>
    </row>
    <row r="1076" customFormat="false" ht="15" hidden="false" customHeight="false" outlineLevel="0" collapsed="false">
      <c r="A1076" s="19" t="n">
        <v>1075</v>
      </c>
      <c r="B1076" s="30" t="s">
        <v>720</v>
      </c>
      <c r="C1076" s="44" t="n">
        <v>45493</v>
      </c>
      <c r="D1076" s="30" t="s">
        <v>60</v>
      </c>
      <c r="E1076" s="30" t="s">
        <v>113</v>
      </c>
      <c r="F1076" s="30" t="s">
        <v>121</v>
      </c>
      <c r="G1076" s="31" t="n">
        <v>149</v>
      </c>
      <c r="H1076" s="19" t="n">
        <v>1</v>
      </c>
      <c r="I1076" s="32" t="n">
        <v>0.05</v>
      </c>
      <c r="J1076" s="30" t="s">
        <v>48</v>
      </c>
      <c r="K1076" s="30" t="s">
        <v>47</v>
      </c>
      <c r="L1076" s="30" t="s">
        <v>76</v>
      </c>
      <c r="M1076" s="31" t="n">
        <f aca="false">AVERAGEIF($E$2:$E$1197,E1076,$G$2:$G$1197)</f>
        <v>545.358823529412</v>
      </c>
      <c r="N1076" s="19" t="str">
        <f aca="false">IF(G1076&gt;M1076*3,"نعم","لا")</f>
        <v>لا</v>
      </c>
      <c r="O1076" s="19" t="str">
        <f aca="false">IF(OR(C1076="",ISNUMBER(C1076)),"لا","نعم")</f>
        <v>لا</v>
      </c>
      <c r="P1076" s="19" t="str">
        <f aca="false">IF(COUNTIF($B$2:B1076,B1076)&gt;1,"مكرر","فريد")</f>
        <v>فريد</v>
      </c>
      <c r="Q1076" s="19" t="str">
        <f aca="false">IF(COUNTBLANK(D1076:L1076)&gt;0,"نعم","لا")</f>
        <v>لا</v>
      </c>
    </row>
    <row r="1077" customFormat="false" ht="15" hidden="false" customHeight="false" outlineLevel="0" collapsed="false">
      <c r="A1077" s="19" t="n">
        <v>1076</v>
      </c>
      <c r="B1077" s="30" t="s">
        <v>890</v>
      </c>
      <c r="C1077" s="30" t="s">
        <v>1494</v>
      </c>
      <c r="D1077" s="30" t="s">
        <v>46</v>
      </c>
      <c r="E1077" s="30" t="s">
        <v>111</v>
      </c>
      <c r="F1077" s="30" t="s">
        <v>120</v>
      </c>
      <c r="G1077" s="31" t="n">
        <v>569</v>
      </c>
      <c r="H1077" s="19"/>
      <c r="I1077" s="32" t="n">
        <v>0</v>
      </c>
      <c r="J1077" s="30" t="s">
        <v>52</v>
      </c>
      <c r="K1077" s="30" t="s">
        <v>47</v>
      </c>
      <c r="L1077" s="30" t="s">
        <v>96</v>
      </c>
      <c r="M1077" s="31" t="n">
        <f aca="false">AVERAGEIF($E$2:$E$1197,E1077,$G$2:$G$1197)</f>
        <v>366.306569343066</v>
      </c>
      <c r="N1077" s="19" t="str">
        <f aca="false">IF(G1077&gt;M1077*3,"نعم","لا")</f>
        <v>لا</v>
      </c>
      <c r="O1077" s="19" t="str">
        <f aca="false">IF(OR(C1077="",ISNUMBER(C1077)),"لا","نعم")</f>
        <v>نعم</v>
      </c>
      <c r="P1077" s="19" t="str">
        <f aca="false">IF(COUNTIF($B$2:B1077,B1077)&gt;1,"مكرر","فريد")</f>
        <v>فريد</v>
      </c>
      <c r="Q1077" s="19" t="str">
        <f aca="false">IF(COUNTBLANK(D1077:L1077)&gt;0,"نعم","لا")</f>
        <v>نعم</v>
      </c>
    </row>
    <row r="1078" customFormat="false" ht="15" hidden="false" customHeight="false" outlineLevel="0" collapsed="false">
      <c r="A1078" s="19" t="n">
        <v>1077</v>
      </c>
      <c r="B1078" s="30" t="s">
        <v>1013</v>
      </c>
      <c r="C1078" s="44" t="n">
        <v>45587</v>
      </c>
      <c r="D1078" s="30" t="s">
        <v>54</v>
      </c>
      <c r="E1078" s="30" t="s">
        <v>105</v>
      </c>
      <c r="F1078" s="30" t="s">
        <v>82</v>
      </c>
      <c r="G1078" s="31" t="n">
        <v>2899</v>
      </c>
      <c r="H1078" s="19" t="n">
        <v>3</v>
      </c>
      <c r="I1078" s="32" t="n">
        <v>0.2</v>
      </c>
      <c r="J1078" s="30" t="s">
        <v>52</v>
      </c>
      <c r="K1078" s="30"/>
      <c r="L1078" s="30" t="s">
        <v>84</v>
      </c>
      <c r="M1078" s="31" t="n">
        <f aca="false">AVERAGEIF($E$2:$E$1197,E1078,$G$2:$G$1197)</f>
        <v>2870.26771653543</v>
      </c>
      <c r="N1078" s="19" t="str">
        <f aca="false">IF(G1078&gt;M1078*3,"نعم","لا")</f>
        <v>لا</v>
      </c>
      <c r="O1078" s="19" t="str">
        <f aca="false">IF(OR(C1078="",ISNUMBER(C1078)),"لا","نعم")</f>
        <v>لا</v>
      </c>
      <c r="P1078" s="19" t="str">
        <f aca="false">IF(COUNTIF($B$2:B1078,B1078)&gt;1,"مكرر","فريد")</f>
        <v>فريد</v>
      </c>
      <c r="Q1078" s="19" t="str">
        <f aca="false">IF(COUNTBLANK(D1078:L1078)&gt;0,"نعم","لا")</f>
        <v>نعم</v>
      </c>
    </row>
    <row r="1079" customFormat="false" ht="15" hidden="false" customHeight="false" outlineLevel="0" collapsed="false">
      <c r="A1079" s="19" t="n">
        <v>1078</v>
      </c>
      <c r="B1079" s="30" t="s">
        <v>1038</v>
      </c>
      <c r="C1079" s="44" t="n">
        <v>45594</v>
      </c>
      <c r="D1079" s="30" t="s">
        <v>46</v>
      </c>
      <c r="E1079" s="30" t="s">
        <v>105</v>
      </c>
      <c r="F1079" s="30" t="s">
        <v>90</v>
      </c>
      <c r="G1079" s="31" t="n">
        <v>3429</v>
      </c>
      <c r="H1079" s="19" t="n">
        <v>1</v>
      </c>
      <c r="I1079" s="32" t="n">
        <v>0</v>
      </c>
      <c r="J1079" s="30" t="s">
        <v>52</v>
      </c>
      <c r="K1079" s="30" t="s">
        <v>47</v>
      </c>
      <c r="L1079" s="30" t="s">
        <v>76</v>
      </c>
      <c r="M1079" s="31" t="n">
        <f aca="false">AVERAGEIF($E$2:$E$1197,E1079,$G$2:$G$1197)</f>
        <v>2870.26771653543</v>
      </c>
      <c r="N1079" s="19" t="str">
        <f aca="false">IF(G1079&gt;M1079*3,"نعم","لا")</f>
        <v>لا</v>
      </c>
      <c r="O1079" s="19" t="str">
        <f aca="false">IF(OR(C1079="",ISNUMBER(C1079)),"لا","نعم")</f>
        <v>لا</v>
      </c>
      <c r="P1079" s="19" t="str">
        <f aca="false">IF(COUNTIF($B$2:B1079,B1079)&gt;1,"مكرر","فريد")</f>
        <v>فريد</v>
      </c>
      <c r="Q1079" s="19" t="str">
        <f aca="false">IF(COUNTBLANK(D1079:L1079)&gt;0,"نعم","لا")</f>
        <v>لا</v>
      </c>
    </row>
    <row r="1080" customFormat="false" ht="15" hidden="false" customHeight="false" outlineLevel="0" collapsed="false">
      <c r="A1080" s="19" t="n">
        <v>1079</v>
      </c>
      <c r="B1080" s="30" t="s">
        <v>1184</v>
      </c>
      <c r="C1080" s="44" t="n">
        <v>45626</v>
      </c>
      <c r="D1080" s="30" t="s">
        <v>50</v>
      </c>
      <c r="E1080" s="30" t="s">
        <v>109</v>
      </c>
      <c r="F1080" s="30" t="s">
        <v>192</v>
      </c>
      <c r="G1080" s="31" t="n">
        <v>79</v>
      </c>
      <c r="H1080" s="19" t="n">
        <v>1</v>
      </c>
      <c r="I1080" s="32" t="n">
        <v>0</v>
      </c>
      <c r="J1080" s="30" t="s">
        <v>48</v>
      </c>
      <c r="K1080" s="30" t="s">
        <v>47</v>
      </c>
      <c r="L1080" s="30" t="s">
        <v>84</v>
      </c>
      <c r="M1080" s="31" t="n">
        <f aca="false">AVERAGEIF($E$2:$E$1197,E1080,$G$2:$G$1197)</f>
        <v>186.056291390729</v>
      </c>
      <c r="N1080" s="19" t="str">
        <f aca="false">IF(G1080&gt;M1080*3,"نعم","لا")</f>
        <v>لا</v>
      </c>
      <c r="O1080" s="19" t="str">
        <f aca="false">IF(OR(C1080="",ISNUMBER(C1080)),"لا","نعم")</f>
        <v>لا</v>
      </c>
      <c r="P1080" s="19" t="str">
        <f aca="false">IF(COUNTIF($B$2:B1080,B1080)&gt;1,"مكرر","فريد")</f>
        <v>فريد</v>
      </c>
      <c r="Q1080" s="19" t="str">
        <f aca="false">IF(COUNTBLANK(D1080:L1080)&gt;0,"نعم","لا")</f>
        <v>لا</v>
      </c>
    </row>
    <row r="1081" customFormat="false" ht="15" hidden="false" customHeight="false" outlineLevel="0" collapsed="false">
      <c r="A1081" s="19" t="n">
        <v>1080</v>
      </c>
      <c r="B1081" s="30" t="s">
        <v>377</v>
      </c>
      <c r="C1081" s="44" t="n">
        <v>45368</v>
      </c>
      <c r="D1081" s="30" t="s">
        <v>50</v>
      </c>
      <c r="E1081" s="30" t="s">
        <v>107</v>
      </c>
      <c r="F1081" s="30" t="s">
        <v>114</v>
      </c>
      <c r="G1081" s="31" t="n">
        <v>4469</v>
      </c>
      <c r="H1081" s="19" t="n">
        <v>1</v>
      </c>
      <c r="I1081" s="32"/>
      <c r="J1081" s="30" t="s">
        <v>48</v>
      </c>
      <c r="K1081" s="30" t="s">
        <v>47</v>
      </c>
      <c r="L1081" s="30" t="s">
        <v>78</v>
      </c>
      <c r="M1081" s="31" t="n">
        <f aca="false">AVERAGEIF($E$2:$E$1197,E1081,$G$2:$G$1197)</f>
        <v>4981.14563106796</v>
      </c>
      <c r="N1081" s="19" t="str">
        <f aca="false">IF(G1081&gt;M1081*3,"نعم","لا")</f>
        <v>لا</v>
      </c>
      <c r="O1081" s="19" t="str">
        <f aca="false">IF(OR(C1081="",ISNUMBER(C1081)),"لا","نعم")</f>
        <v>لا</v>
      </c>
      <c r="P1081" s="19" t="str">
        <f aca="false">IF(COUNTIF($B$2:B1081,B1081)&gt;1,"مكرر","فريد")</f>
        <v>فريد</v>
      </c>
      <c r="Q1081" s="19" t="str">
        <f aca="false">IF(COUNTBLANK(D1081:L1081)&gt;0,"نعم","لا")</f>
        <v>نعم</v>
      </c>
    </row>
    <row r="1082" customFormat="false" ht="15" hidden="false" customHeight="false" outlineLevel="0" collapsed="false">
      <c r="A1082" s="19" t="n">
        <v>1081</v>
      </c>
      <c r="B1082" s="30" t="s">
        <v>553</v>
      </c>
      <c r="C1082" s="44" t="n">
        <v>45432</v>
      </c>
      <c r="D1082" s="30" t="s">
        <v>60</v>
      </c>
      <c r="E1082" s="30" t="s">
        <v>105</v>
      </c>
      <c r="F1082" s="30" t="s">
        <v>85</v>
      </c>
      <c r="G1082" s="31" t="n">
        <v>3259</v>
      </c>
      <c r="H1082" s="19" t="n">
        <v>4</v>
      </c>
      <c r="I1082" s="32" t="n">
        <v>0.15</v>
      </c>
      <c r="J1082" s="30" t="s">
        <v>48</v>
      </c>
      <c r="K1082" s="30" t="s">
        <v>51</v>
      </c>
      <c r="L1082" s="30" t="s">
        <v>99</v>
      </c>
      <c r="M1082" s="31" t="n">
        <f aca="false">AVERAGEIF($E$2:$E$1197,E1082,$G$2:$G$1197)</f>
        <v>2870.26771653543</v>
      </c>
      <c r="N1082" s="19" t="str">
        <f aca="false">IF(G1082&gt;M1082*3,"نعم","لا")</f>
        <v>لا</v>
      </c>
      <c r="O1082" s="19" t="str">
        <f aca="false">IF(OR(C1082="",ISNUMBER(C1082)),"لا","نعم")</f>
        <v>لا</v>
      </c>
      <c r="P1082" s="19" t="str">
        <f aca="false">IF(COUNTIF($B$2:B1082,B1082)&gt;1,"مكرر","فريد")</f>
        <v>فريد</v>
      </c>
      <c r="Q1082" s="19" t="str">
        <f aca="false">IF(COUNTBLANK(D1082:L1082)&gt;0,"نعم","لا")</f>
        <v>لا</v>
      </c>
    </row>
    <row r="1083" customFormat="false" ht="15" hidden="false" customHeight="false" outlineLevel="0" collapsed="false">
      <c r="A1083" s="19" t="n">
        <v>1082</v>
      </c>
      <c r="B1083" s="30" t="s">
        <v>943</v>
      </c>
      <c r="C1083" s="44" t="n">
        <v>45562</v>
      </c>
      <c r="D1083" s="30" t="s">
        <v>54</v>
      </c>
      <c r="E1083" s="30" t="s">
        <v>111</v>
      </c>
      <c r="F1083" s="30" t="s">
        <v>122</v>
      </c>
      <c r="G1083" s="31" t="n">
        <v>129</v>
      </c>
      <c r="H1083" s="19" t="n">
        <v>1</v>
      </c>
      <c r="I1083" s="32" t="n">
        <v>0</v>
      </c>
      <c r="J1083" s="30" t="s">
        <v>48</v>
      </c>
      <c r="K1083" s="30" t="s">
        <v>47</v>
      </c>
      <c r="L1083" s="30" t="s">
        <v>96</v>
      </c>
      <c r="M1083" s="31" t="n">
        <f aca="false">AVERAGEIF($E$2:$E$1197,E1083,$G$2:$G$1197)</f>
        <v>366.306569343066</v>
      </c>
      <c r="N1083" s="19" t="str">
        <f aca="false">IF(G1083&gt;M1083*3,"نعم","لا")</f>
        <v>لا</v>
      </c>
      <c r="O1083" s="19" t="str">
        <f aca="false">IF(OR(C1083="",ISNUMBER(C1083)),"لا","نعم")</f>
        <v>لا</v>
      </c>
      <c r="P1083" s="19" t="str">
        <f aca="false">IF(COUNTIF($B$2:B1083,B1083)&gt;1,"مكرر","فريد")</f>
        <v>فريد</v>
      </c>
      <c r="Q1083" s="19" t="str">
        <f aca="false">IF(COUNTBLANK(D1083:L1083)&gt;0,"نعم","لا")</f>
        <v>لا</v>
      </c>
    </row>
    <row r="1084" customFormat="false" ht="15" hidden="false" customHeight="false" outlineLevel="0" collapsed="false">
      <c r="A1084" s="19" t="n">
        <v>1083</v>
      </c>
      <c r="B1084" s="30" t="s">
        <v>1018</v>
      </c>
      <c r="C1084" s="44" t="n">
        <v>45588</v>
      </c>
      <c r="D1084" s="30" t="s">
        <v>54</v>
      </c>
      <c r="E1084" s="30" t="s">
        <v>105</v>
      </c>
      <c r="F1084" s="30" t="s">
        <v>90</v>
      </c>
      <c r="G1084" s="31" t="n">
        <v>799</v>
      </c>
      <c r="H1084" s="19" t="n">
        <v>3</v>
      </c>
      <c r="I1084" s="32" t="n">
        <v>0.1</v>
      </c>
      <c r="J1084" s="30" t="s">
        <v>52</v>
      </c>
      <c r="K1084" s="30" t="s">
        <v>47</v>
      </c>
      <c r="L1084" s="30" t="s">
        <v>76</v>
      </c>
      <c r="M1084" s="31" t="n">
        <f aca="false">AVERAGEIF($E$2:$E$1197,E1084,$G$2:$G$1197)</f>
        <v>2870.26771653543</v>
      </c>
      <c r="N1084" s="19" t="str">
        <f aca="false">IF(G1084&gt;M1084*3,"نعم","لا")</f>
        <v>لا</v>
      </c>
      <c r="O1084" s="19" t="str">
        <f aca="false">IF(OR(C1084="",ISNUMBER(C1084)),"لا","نعم")</f>
        <v>لا</v>
      </c>
      <c r="P1084" s="19" t="str">
        <f aca="false">IF(COUNTIF($B$2:B1084,B1084)&gt;1,"مكرر","فريد")</f>
        <v>فريد</v>
      </c>
      <c r="Q1084" s="19" t="str">
        <f aca="false">IF(COUNTBLANK(D1084:L1084)&gt;0,"نعم","لا")</f>
        <v>لا</v>
      </c>
    </row>
    <row r="1085" customFormat="false" ht="15" hidden="false" customHeight="false" outlineLevel="0" collapsed="false">
      <c r="A1085" s="19" t="n">
        <v>1084</v>
      </c>
      <c r="B1085" s="30" t="s">
        <v>560</v>
      </c>
      <c r="C1085" s="44" t="n">
        <v>45434</v>
      </c>
      <c r="D1085" s="30" t="s">
        <v>50</v>
      </c>
      <c r="E1085" s="30" t="s">
        <v>105</v>
      </c>
      <c r="F1085" s="30" t="s">
        <v>179</v>
      </c>
      <c r="G1085" s="31" t="n">
        <v>3719</v>
      </c>
      <c r="H1085" s="19" t="n">
        <v>1</v>
      </c>
      <c r="I1085" s="32" t="n">
        <v>0.1</v>
      </c>
      <c r="J1085" s="30" t="s">
        <v>52</v>
      </c>
      <c r="K1085" s="30" t="s">
        <v>47</v>
      </c>
      <c r="L1085" s="30" t="s">
        <v>89</v>
      </c>
      <c r="M1085" s="31" t="n">
        <f aca="false">AVERAGEIF($E$2:$E$1197,E1085,$G$2:$G$1197)</f>
        <v>2870.26771653543</v>
      </c>
      <c r="N1085" s="19" t="str">
        <f aca="false">IF(G1085&gt;M1085*3,"نعم","لا")</f>
        <v>لا</v>
      </c>
      <c r="O1085" s="19" t="str">
        <f aca="false">IF(OR(C1085="",ISNUMBER(C1085)),"لا","نعم")</f>
        <v>لا</v>
      </c>
      <c r="P1085" s="19" t="str">
        <f aca="false">IF(COUNTIF($B$2:B1085,B1085)&gt;1,"مكرر","فريد")</f>
        <v>فريد</v>
      </c>
      <c r="Q1085" s="19" t="str">
        <f aca="false">IF(COUNTBLANK(D1085:L1085)&gt;0,"نعم","لا")</f>
        <v>لا</v>
      </c>
    </row>
    <row r="1086" customFormat="false" ht="15" hidden="false" customHeight="false" outlineLevel="0" collapsed="false">
      <c r="A1086" s="19" t="n">
        <v>1085</v>
      </c>
      <c r="B1086" s="30" t="s">
        <v>915</v>
      </c>
      <c r="C1086" s="44" t="n">
        <v>45553</v>
      </c>
      <c r="D1086" s="30" t="s">
        <v>54</v>
      </c>
      <c r="E1086" s="30" t="s">
        <v>109</v>
      </c>
      <c r="F1086" s="30" t="s">
        <v>93</v>
      </c>
      <c r="G1086" s="31" t="n">
        <v>129</v>
      </c>
      <c r="H1086" s="19" t="n">
        <v>1</v>
      </c>
      <c r="I1086" s="32" t="n">
        <v>0.15</v>
      </c>
      <c r="J1086" s="30" t="s">
        <v>58</v>
      </c>
      <c r="K1086" s="30" t="s">
        <v>47</v>
      </c>
      <c r="L1086" s="30" t="s">
        <v>86</v>
      </c>
      <c r="M1086" s="31" t="n">
        <f aca="false">AVERAGEIF($E$2:$E$1197,E1086,$G$2:$G$1197)</f>
        <v>186.056291390729</v>
      </c>
      <c r="N1086" s="19" t="str">
        <f aca="false">IF(G1086&gt;M1086*3,"نعم","لا")</f>
        <v>لا</v>
      </c>
      <c r="O1086" s="19" t="str">
        <f aca="false">IF(OR(C1086="",ISNUMBER(C1086)),"لا","نعم")</f>
        <v>لا</v>
      </c>
      <c r="P1086" s="19" t="str">
        <f aca="false">IF(COUNTIF($B$2:B1086,B1086)&gt;1,"مكرر","فريد")</f>
        <v>مكرر</v>
      </c>
      <c r="Q1086" s="19" t="str">
        <f aca="false">IF(COUNTBLANK(D1086:L1086)&gt;0,"نعم","لا")</f>
        <v>لا</v>
      </c>
    </row>
    <row r="1087" customFormat="false" ht="15" hidden="false" customHeight="false" outlineLevel="0" collapsed="false">
      <c r="A1087" s="19" t="n">
        <v>1086</v>
      </c>
      <c r="B1087" s="30" t="s">
        <v>407</v>
      </c>
      <c r="C1087" s="44" t="n">
        <v>45378</v>
      </c>
      <c r="D1087" s="30" t="s">
        <v>46</v>
      </c>
      <c r="E1087" s="30" t="s">
        <v>109</v>
      </c>
      <c r="F1087" s="30" t="s">
        <v>93</v>
      </c>
      <c r="G1087" s="31" t="n">
        <v>229</v>
      </c>
      <c r="H1087" s="19" t="n">
        <v>2</v>
      </c>
      <c r="I1087" s="32" t="n">
        <v>1.5</v>
      </c>
      <c r="J1087" s="30" t="s">
        <v>52</v>
      </c>
      <c r="K1087" s="30" t="s">
        <v>47</v>
      </c>
      <c r="L1087" s="30" t="s">
        <v>86</v>
      </c>
      <c r="M1087" s="31" t="n">
        <f aca="false">AVERAGEIF($E$2:$E$1197,E1087,$G$2:$G$1197)</f>
        <v>186.056291390729</v>
      </c>
      <c r="N1087" s="19" t="str">
        <f aca="false">IF(G1087&gt;M1087*3,"نعم","لا")</f>
        <v>لا</v>
      </c>
      <c r="O1087" s="19" t="str">
        <f aca="false">IF(OR(C1087="",ISNUMBER(C1087)),"لا","نعم")</f>
        <v>لا</v>
      </c>
      <c r="P1087" s="19" t="str">
        <f aca="false">IF(COUNTIF($B$2:B1087,B1087)&gt;1,"مكرر","فريد")</f>
        <v>مكرر</v>
      </c>
      <c r="Q1087" s="19" t="str">
        <f aca="false">IF(COUNTBLANK(D1087:L1087)&gt;0,"نعم","لا")</f>
        <v>لا</v>
      </c>
    </row>
    <row r="1088" customFormat="false" ht="15" hidden="false" customHeight="false" outlineLevel="0" collapsed="false">
      <c r="A1088" s="19" t="n">
        <v>1087</v>
      </c>
      <c r="B1088" s="30" t="s">
        <v>1173</v>
      </c>
      <c r="C1088" s="44" t="n">
        <v>45623</v>
      </c>
      <c r="D1088" s="30" t="s">
        <v>54</v>
      </c>
      <c r="E1088" s="30" t="s">
        <v>105</v>
      </c>
      <c r="F1088" s="30" t="s">
        <v>85</v>
      </c>
      <c r="G1088" s="31" t="n">
        <v>889</v>
      </c>
      <c r="H1088" s="19" t="n">
        <v>1</v>
      </c>
      <c r="I1088" s="32" t="n">
        <v>0.15</v>
      </c>
      <c r="J1088" s="30" t="s">
        <v>52</v>
      </c>
      <c r="K1088" s="30" t="s">
        <v>51</v>
      </c>
      <c r="L1088" s="30" t="s">
        <v>81</v>
      </c>
      <c r="M1088" s="31" t="n">
        <f aca="false">AVERAGEIF($E$2:$E$1197,E1088,$G$2:$G$1197)</f>
        <v>2870.26771653543</v>
      </c>
      <c r="N1088" s="19" t="str">
        <f aca="false">IF(G1088&gt;M1088*3,"نعم","لا")</f>
        <v>لا</v>
      </c>
      <c r="O1088" s="19" t="str">
        <f aca="false">IF(OR(C1088="",ISNUMBER(C1088)),"لا","نعم")</f>
        <v>لا</v>
      </c>
      <c r="P1088" s="19" t="str">
        <f aca="false">IF(COUNTIF($B$2:B1088,B1088)&gt;1,"مكرر","فريد")</f>
        <v>فريد</v>
      </c>
      <c r="Q1088" s="19" t="str">
        <f aca="false">IF(COUNTBLANK(D1088:L1088)&gt;0,"نعم","لا")</f>
        <v>لا</v>
      </c>
    </row>
    <row r="1089" customFormat="false" ht="15" hidden="false" customHeight="false" outlineLevel="0" collapsed="false">
      <c r="A1089" s="19" t="n">
        <v>1088</v>
      </c>
      <c r="B1089" s="30" t="s">
        <v>798</v>
      </c>
      <c r="C1089" s="44" t="n">
        <v>45515</v>
      </c>
      <c r="D1089" s="30" t="s">
        <v>57</v>
      </c>
      <c r="E1089" s="30" t="s">
        <v>109</v>
      </c>
      <c r="F1089" s="30" t="s">
        <v>192</v>
      </c>
      <c r="G1089" s="31" t="n">
        <v>259</v>
      </c>
      <c r="H1089" s="19" t="n">
        <v>1</v>
      </c>
      <c r="I1089" s="32" t="n">
        <v>0</v>
      </c>
      <c r="J1089" s="30" t="s">
        <v>1348</v>
      </c>
      <c r="K1089" s="30" t="s">
        <v>47</v>
      </c>
      <c r="L1089" s="30" t="s">
        <v>76</v>
      </c>
      <c r="M1089" s="31" t="n">
        <f aca="false">AVERAGEIF($E$2:$E$1197,E1089,$G$2:$G$1197)</f>
        <v>186.056291390729</v>
      </c>
      <c r="N1089" s="19" t="str">
        <f aca="false">IF(G1089&gt;M1089*3,"نعم","لا")</f>
        <v>لا</v>
      </c>
      <c r="O1089" s="19" t="str">
        <f aca="false">IF(OR(C1089="",ISNUMBER(C1089)),"لا","نعم")</f>
        <v>لا</v>
      </c>
      <c r="P1089" s="19" t="str">
        <f aca="false">IF(COUNTIF($B$2:B1089,B1089)&gt;1,"مكرر","فريد")</f>
        <v>فريد</v>
      </c>
      <c r="Q1089" s="19" t="str">
        <f aca="false">IF(COUNTBLANK(D1089:L1089)&gt;0,"نعم","لا")</f>
        <v>لا</v>
      </c>
    </row>
    <row r="1090" customFormat="false" ht="15" hidden="false" customHeight="false" outlineLevel="0" collapsed="false">
      <c r="A1090" s="19" t="n">
        <v>1089</v>
      </c>
      <c r="B1090" s="30" t="s">
        <v>768</v>
      </c>
      <c r="C1090" s="44" t="n">
        <v>45509</v>
      </c>
      <c r="D1090" s="30" t="s">
        <v>54</v>
      </c>
      <c r="E1090" s="30" t="s">
        <v>109</v>
      </c>
      <c r="F1090" s="30" t="s">
        <v>192</v>
      </c>
      <c r="G1090" s="31" t="n">
        <v>109</v>
      </c>
      <c r="H1090" s="19" t="n">
        <v>2</v>
      </c>
      <c r="I1090" s="32" t="n">
        <v>0</v>
      </c>
      <c r="J1090" s="30" t="s">
        <v>55</v>
      </c>
      <c r="K1090" s="30" t="s">
        <v>47</v>
      </c>
      <c r="L1090" s="30" t="s">
        <v>78</v>
      </c>
      <c r="M1090" s="31" t="n">
        <f aca="false">AVERAGEIF($E$2:$E$1197,E1090,$G$2:$G$1197)</f>
        <v>186.056291390729</v>
      </c>
      <c r="N1090" s="19" t="str">
        <f aca="false">IF(G1090&gt;M1090*3,"نعم","لا")</f>
        <v>لا</v>
      </c>
      <c r="O1090" s="19" t="str">
        <f aca="false">IF(OR(C1090="",ISNUMBER(C1090)),"لا","نعم")</f>
        <v>لا</v>
      </c>
      <c r="P1090" s="19" t="str">
        <f aca="false">IF(COUNTIF($B$2:B1090,B1090)&gt;1,"مكرر","فريد")</f>
        <v>فريد</v>
      </c>
      <c r="Q1090" s="19" t="str">
        <f aca="false">IF(COUNTBLANK(D1090:L1090)&gt;0,"نعم","لا")</f>
        <v>لا</v>
      </c>
    </row>
    <row r="1091" customFormat="false" ht="15" hidden="false" customHeight="false" outlineLevel="0" collapsed="false">
      <c r="A1091" s="19" t="n">
        <v>1090</v>
      </c>
      <c r="B1091" s="30" t="s">
        <v>1106</v>
      </c>
      <c r="C1091" s="44" t="n">
        <v>45608</v>
      </c>
      <c r="D1091" s="30" t="s">
        <v>57</v>
      </c>
      <c r="E1091" s="30" t="s">
        <v>107</v>
      </c>
      <c r="F1091" s="30" t="s">
        <v>272</v>
      </c>
      <c r="G1091" s="31" t="n">
        <v>3949</v>
      </c>
      <c r="H1091" s="19" t="n">
        <v>1</v>
      </c>
      <c r="I1091" s="32" t="n">
        <v>0</v>
      </c>
      <c r="J1091" s="30" t="s">
        <v>48</v>
      </c>
      <c r="K1091" s="30" t="s">
        <v>47</v>
      </c>
      <c r="L1091" s="30" t="s">
        <v>84</v>
      </c>
      <c r="M1091" s="31" t="n">
        <f aca="false">AVERAGEIF($E$2:$E$1197,E1091,$G$2:$G$1197)</f>
        <v>4981.14563106796</v>
      </c>
      <c r="N1091" s="19" t="str">
        <f aca="false">IF(G1091&gt;M1091*3,"نعم","لا")</f>
        <v>لا</v>
      </c>
      <c r="O1091" s="19" t="str">
        <f aca="false">IF(OR(C1091="",ISNUMBER(C1091)),"لا","نعم")</f>
        <v>لا</v>
      </c>
      <c r="P1091" s="19" t="str">
        <f aca="false">IF(COUNTIF($B$2:B1091,B1091)&gt;1,"مكرر","فريد")</f>
        <v>فريد</v>
      </c>
      <c r="Q1091" s="19" t="str">
        <f aca="false">IF(COUNTBLANK(D1091:L1091)&gt;0,"نعم","لا")</f>
        <v>لا</v>
      </c>
    </row>
    <row r="1092" customFormat="false" ht="15" hidden="false" customHeight="false" outlineLevel="0" collapsed="false">
      <c r="A1092" s="19" t="n">
        <v>1091</v>
      </c>
      <c r="B1092" s="30" t="s">
        <v>877</v>
      </c>
      <c r="C1092" s="44" t="n">
        <v>45536</v>
      </c>
      <c r="D1092" s="30" t="s">
        <v>50</v>
      </c>
      <c r="E1092" s="30" t="s">
        <v>105</v>
      </c>
      <c r="F1092" s="30" t="s">
        <v>179</v>
      </c>
      <c r="G1092" s="31" t="n">
        <v>3889</v>
      </c>
      <c r="H1092" s="19" t="n">
        <v>1</v>
      </c>
      <c r="I1092" s="32" t="n">
        <v>0</v>
      </c>
      <c r="J1092" s="30" t="s">
        <v>52</v>
      </c>
      <c r="K1092" s="30" t="s">
        <v>47</v>
      </c>
      <c r="L1092" s="30" t="s">
        <v>89</v>
      </c>
      <c r="M1092" s="31" t="n">
        <f aca="false">AVERAGEIF($E$2:$E$1197,E1092,$G$2:$G$1197)</f>
        <v>2870.26771653543</v>
      </c>
      <c r="N1092" s="19" t="str">
        <f aca="false">IF(G1092&gt;M1092*3,"نعم","لا")</f>
        <v>لا</v>
      </c>
      <c r="O1092" s="19" t="str">
        <f aca="false">IF(OR(C1092="",ISNUMBER(C1092)),"لا","نعم")</f>
        <v>لا</v>
      </c>
      <c r="P1092" s="19" t="str">
        <f aca="false">IF(COUNTIF($B$2:B1092,B1092)&gt;1,"مكرر","فريد")</f>
        <v>فريد</v>
      </c>
      <c r="Q1092" s="19" t="str">
        <f aca="false">IF(COUNTBLANK(D1092:L1092)&gt;0,"نعم","لا")</f>
        <v>لا</v>
      </c>
    </row>
    <row r="1093" customFormat="false" ht="15" hidden="false" customHeight="false" outlineLevel="0" collapsed="false">
      <c r="A1093" s="19" t="n">
        <v>1092</v>
      </c>
      <c r="B1093" s="30" t="s">
        <v>835</v>
      </c>
      <c r="C1093" s="44" t="n">
        <v>45525</v>
      </c>
      <c r="D1093" s="30" t="s">
        <v>46</v>
      </c>
      <c r="E1093" s="30" t="s">
        <v>109</v>
      </c>
      <c r="F1093" s="30" t="s">
        <v>192</v>
      </c>
      <c r="G1093" s="31" t="n">
        <v>79</v>
      </c>
      <c r="H1093" s="19" t="n">
        <v>1</v>
      </c>
      <c r="I1093" s="32" t="n">
        <v>0</v>
      </c>
      <c r="J1093" s="30" t="s">
        <v>1352</v>
      </c>
      <c r="K1093" s="30"/>
      <c r="L1093" s="30" t="s">
        <v>86</v>
      </c>
      <c r="M1093" s="31" t="n">
        <f aca="false">AVERAGEIF($E$2:$E$1197,E1093,$G$2:$G$1197)</f>
        <v>186.056291390729</v>
      </c>
      <c r="N1093" s="19" t="str">
        <f aca="false">IF(G1093&gt;M1093*3,"نعم","لا")</f>
        <v>لا</v>
      </c>
      <c r="O1093" s="19" t="str">
        <f aca="false">IF(OR(C1093="",ISNUMBER(C1093)),"لا","نعم")</f>
        <v>لا</v>
      </c>
      <c r="P1093" s="19" t="str">
        <f aca="false">IF(COUNTIF($B$2:B1093,B1093)&gt;1,"مكرر","فريد")</f>
        <v>فريد</v>
      </c>
      <c r="Q1093" s="19" t="str">
        <f aca="false">IF(COUNTBLANK(D1093:L1093)&gt;0,"نعم","لا")</f>
        <v>نعم</v>
      </c>
    </row>
    <row r="1094" customFormat="false" ht="15" hidden="false" customHeight="false" outlineLevel="0" collapsed="false">
      <c r="A1094" s="19" t="n">
        <v>1093</v>
      </c>
      <c r="B1094" s="30" t="s">
        <v>263</v>
      </c>
      <c r="C1094" s="44" t="n">
        <v>45328</v>
      </c>
      <c r="D1094" s="30" t="s">
        <v>60</v>
      </c>
      <c r="E1094" s="30" t="s">
        <v>109</v>
      </c>
      <c r="F1094" s="30" t="s">
        <v>192</v>
      </c>
      <c r="G1094" s="31" t="n">
        <v>239</v>
      </c>
      <c r="H1094" s="19" t="n">
        <v>2</v>
      </c>
      <c r="I1094" s="32"/>
      <c r="J1094" s="30" t="s">
        <v>48</v>
      </c>
      <c r="K1094" s="30" t="s">
        <v>51</v>
      </c>
      <c r="L1094" s="30" t="s">
        <v>84</v>
      </c>
      <c r="M1094" s="31" t="n">
        <f aca="false">AVERAGEIF($E$2:$E$1197,E1094,$G$2:$G$1197)</f>
        <v>186.056291390729</v>
      </c>
      <c r="N1094" s="19" t="str">
        <f aca="false">IF(G1094&gt;M1094*3,"نعم","لا")</f>
        <v>لا</v>
      </c>
      <c r="O1094" s="19" t="str">
        <f aca="false">IF(OR(C1094="",ISNUMBER(C1094)),"لا","نعم")</f>
        <v>لا</v>
      </c>
      <c r="P1094" s="19" t="str">
        <f aca="false">IF(COUNTIF($B$2:B1094,B1094)&gt;1,"مكرر","فريد")</f>
        <v>فريد</v>
      </c>
      <c r="Q1094" s="19" t="str">
        <f aca="false">IF(COUNTBLANK(D1094:L1094)&gt;0,"نعم","لا")</f>
        <v>نعم</v>
      </c>
    </row>
    <row r="1095" customFormat="false" ht="15" hidden="false" customHeight="false" outlineLevel="0" collapsed="false">
      <c r="A1095" s="19" t="n">
        <v>1094</v>
      </c>
      <c r="B1095" s="30" t="s">
        <v>954</v>
      </c>
      <c r="C1095" s="44" t="n">
        <v>45566</v>
      </c>
      <c r="D1095" s="30" t="s">
        <v>46</v>
      </c>
      <c r="E1095" s="30" t="s">
        <v>105</v>
      </c>
      <c r="F1095" s="30" t="s">
        <v>79</v>
      </c>
      <c r="G1095" s="31" t="n">
        <v>3249</v>
      </c>
      <c r="H1095" s="19" t="n">
        <v>1</v>
      </c>
      <c r="I1095" s="32" t="n">
        <v>0.1</v>
      </c>
      <c r="J1095" s="30" t="s">
        <v>55</v>
      </c>
      <c r="K1095" s="30" t="s">
        <v>47</v>
      </c>
      <c r="L1095" s="30" t="s">
        <v>78</v>
      </c>
      <c r="M1095" s="31" t="n">
        <f aca="false">AVERAGEIF($E$2:$E$1197,E1095,$G$2:$G$1197)</f>
        <v>2870.26771653543</v>
      </c>
      <c r="N1095" s="19" t="str">
        <f aca="false">IF(G1095&gt;M1095*3,"نعم","لا")</f>
        <v>لا</v>
      </c>
      <c r="O1095" s="19" t="str">
        <f aca="false">IF(OR(C1095="",ISNUMBER(C1095)),"لا","نعم")</f>
        <v>لا</v>
      </c>
      <c r="P1095" s="19" t="str">
        <f aca="false">IF(COUNTIF($B$2:B1095,B1095)&gt;1,"مكرر","فريد")</f>
        <v>فريد</v>
      </c>
      <c r="Q1095" s="19" t="str">
        <f aca="false">IF(COUNTBLANK(D1095:L1095)&gt;0,"نعم","لا")</f>
        <v>لا</v>
      </c>
    </row>
    <row r="1096" customFormat="false" ht="15" hidden="false" customHeight="false" outlineLevel="0" collapsed="false">
      <c r="A1096" s="19" t="n">
        <v>1095</v>
      </c>
      <c r="B1096" s="30" t="s">
        <v>568</v>
      </c>
      <c r="C1096" s="44" t="n">
        <v>45437</v>
      </c>
      <c r="D1096" s="30" t="s">
        <v>57</v>
      </c>
      <c r="E1096" s="30" t="s">
        <v>111</v>
      </c>
      <c r="F1096" s="30" t="s">
        <v>108</v>
      </c>
      <c r="G1096" s="31" t="n">
        <v>3290</v>
      </c>
      <c r="H1096" s="19" t="n">
        <v>1</v>
      </c>
      <c r="I1096" s="32" t="n">
        <v>0.1</v>
      </c>
      <c r="J1096" s="30" t="s">
        <v>48</v>
      </c>
      <c r="K1096" s="30" t="s">
        <v>47</v>
      </c>
      <c r="L1096" s="30" t="s">
        <v>84</v>
      </c>
      <c r="M1096" s="31" t="n">
        <f aca="false">AVERAGEIF($E$2:$E$1197,E1096,$G$2:$G$1197)</f>
        <v>366.306569343066</v>
      </c>
      <c r="N1096" s="19" t="str">
        <f aca="false">IF(G1096&gt;M1096*3,"نعم","لا")</f>
        <v>نعم</v>
      </c>
      <c r="O1096" s="19" t="str">
        <f aca="false">IF(OR(C1096="",ISNUMBER(C1096)),"لا","نعم")</f>
        <v>لا</v>
      </c>
      <c r="P1096" s="19" t="str">
        <f aca="false">IF(COUNTIF($B$2:B1096,B1096)&gt;1,"مكرر","فريد")</f>
        <v>فريد</v>
      </c>
      <c r="Q1096" s="19" t="str">
        <f aca="false">IF(COUNTBLANK(D1096:L1096)&gt;0,"نعم","لا")</f>
        <v>لا</v>
      </c>
    </row>
    <row r="1097" customFormat="false" ht="15" hidden="false" customHeight="false" outlineLevel="0" collapsed="false">
      <c r="A1097" s="19" t="n">
        <v>1096</v>
      </c>
      <c r="B1097" s="30" t="s">
        <v>667</v>
      </c>
      <c r="C1097" s="44" t="n">
        <v>45473</v>
      </c>
      <c r="D1097" s="30" t="s">
        <v>1337</v>
      </c>
      <c r="E1097" s="30" t="s">
        <v>113</v>
      </c>
      <c r="F1097" s="30" t="s">
        <v>97</v>
      </c>
      <c r="G1097" s="31" t="n">
        <v>479</v>
      </c>
      <c r="H1097" s="19" t="n">
        <v>4</v>
      </c>
      <c r="I1097" s="32" t="n">
        <v>0.05</v>
      </c>
      <c r="J1097" s="30" t="s">
        <v>52</v>
      </c>
      <c r="K1097" s="30" t="s">
        <v>51</v>
      </c>
      <c r="L1097" s="30" t="s">
        <v>84</v>
      </c>
      <c r="M1097" s="31" t="n">
        <f aca="false">AVERAGEIF($E$2:$E$1197,E1097,$G$2:$G$1197)</f>
        <v>545.358823529412</v>
      </c>
      <c r="N1097" s="19" t="str">
        <f aca="false">IF(G1097&gt;M1097*3,"نعم","لا")</f>
        <v>لا</v>
      </c>
      <c r="O1097" s="19" t="str">
        <f aca="false">IF(OR(C1097="",ISNUMBER(C1097)),"لا","نعم")</f>
        <v>لا</v>
      </c>
      <c r="P1097" s="19" t="str">
        <f aca="false">IF(COUNTIF($B$2:B1097,B1097)&gt;1,"مكرر","فريد")</f>
        <v>فريد</v>
      </c>
      <c r="Q1097" s="19" t="str">
        <f aca="false">IF(COUNTBLANK(D1097:L1097)&gt;0,"نعم","لا")</f>
        <v>لا</v>
      </c>
    </row>
    <row r="1098" customFormat="false" ht="15" hidden="false" customHeight="false" outlineLevel="0" collapsed="false">
      <c r="A1098" s="19" t="n">
        <v>1097</v>
      </c>
      <c r="B1098" s="30" t="s">
        <v>1218</v>
      </c>
      <c r="C1098" s="44" t="n">
        <v>45636</v>
      </c>
      <c r="D1098" s="30" t="s">
        <v>46</v>
      </c>
      <c r="E1098" s="30" t="s">
        <v>111</v>
      </c>
      <c r="F1098" s="30" t="s">
        <v>122</v>
      </c>
      <c r="G1098" s="31" t="n">
        <v>469</v>
      </c>
      <c r="H1098" s="19" t="n">
        <v>1</v>
      </c>
      <c r="I1098" s="32" t="n">
        <v>0</v>
      </c>
      <c r="J1098" s="30" t="s">
        <v>48</v>
      </c>
      <c r="K1098" s="30" t="s">
        <v>47</v>
      </c>
      <c r="L1098" s="30" t="s">
        <v>81</v>
      </c>
      <c r="M1098" s="31" t="n">
        <f aca="false">AVERAGEIF($E$2:$E$1197,E1098,$G$2:$G$1197)</f>
        <v>366.306569343066</v>
      </c>
      <c r="N1098" s="19" t="str">
        <f aca="false">IF(G1098&gt;M1098*3,"نعم","لا")</f>
        <v>لا</v>
      </c>
      <c r="O1098" s="19" t="str">
        <f aca="false">IF(OR(C1098="",ISNUMBER(C1098)),"لا","نعم")</f>
        <v>لا</v>
      </c>
      <c r="P1098" s="19" t="str">
        <f aca="false">IF(COUNTIF($B$2:B1098,B1098)&gt;1,"مكرر","فريد")</f>
        <v>فريد</v>
      </c>
      <c r="Q1098" s="19" t="str">
        <f aca="false">IF(COUNTBLANK(D1098:L1098)&gt;0,"نعم","لا")</f>
        <v>لا</v>
      </c>
    </row>
    <row r="1099" customFormat="false" ht="15" hidden="false" customHeight="false" outlineLevel="0" collapsed="false">
      <c r="A1099" s="19" t="n">
        <v>1098</v>
      </c>
      <c r="B1099" s="30" t="s">
        <v>1201</v>
      </c>
      <c r="C1099" s="44" t="n">
        <v>45632</v>
      </c>
      <c r="D1099" s="30" t="s">
        <v>46</v>
      </c>
      <c r="E1099" s="30" t="s">
        <v>109</v>
      </c>
      <c r="F1099" s="30" t="s">
        <v>93</v>
      </c>
      <c r="G1099" s="31" t="n">
        <v>99</v>
      </c>
      <c r="H1099" s="19" t="n">
        <v>1</v>
      </c>
      <c r="I1099" s="32" t="n">
        <v>0</v>
      </c>
      <c r="J1099" s="30" t="s">
        <v>55</v>
      </c>
      <c r="K1099" s="30" t="s">
        <v>47</v>
      </c>
      <c r="L1099" s="30" t="s">
        <v>94</v>
      </c>
      <c r="M1099" s="31" t="n">
        <f aca="false">AVERAGEIF($E$2:$E$1197,E1099,$G$2:$G$1197)</f>
        <v>186.056291390729</v>
      </c>
      <c r="N1099" s="19" t="str">
        <f aca="false">IF(G1099&gt;M1099*3,"نعم","لا")</f>
        <v>لا</v>
      </c>
      <c r="O1099" s="19" t="str">
        <f aca="false">IF(OR(C1099="",ISNUMBER(C1099)),"لا","نعم")</f>
        <v>لا</v>
      </c>
      <c r="P1099" s="19" t="str">
        <f aca="false">IF(COUNTIF($B$2:B1099,B1099)&gt;1,"مكرر","فريد")</f>
        <v>فريد</v>
      </c>
      <c r="Q1099" s="19" t="str">
        <f aca="false">IF(COUNTBLANK(D1099:L1099)&gt;0,"نعم","لا")</f>
        <v>لا</v>
      </c>
    </row>
    <row r="1100" customFormat="false" ht="15" hidden="false" customHeight="false" outlineLevel="0" collapsed="false">
      <c r="A1100" s="19" t="n">
        <v>1099</v>
      </c>
      <c r="B1100" s="30" t="s">
        <v>1071</v>
      </c>
      <c r="C1100" s="44" t="n">
        <v>45602</v>
      </c>
      <c r="D1100" s="30" t="s">
        <v>50</v>
      </c>
      <c r="E1100" s="30" t="s">
        <v>109</v>
      </c>
      <c r="F1100" s="30" t="s">
        <v>110</v>
      </c>
      <c r="G1100" s="31" t="n">
        <v>239</v>
      </c>
      <c r="H1100" s="19" t="n">
        <v>1</v>
      </c>
      <c r="I1100" s="32" t="n">
        <v>0.15</v>
      </c>
      <c r="J1100" s="30" t="s">
        <v>55</v>
      </c>
      <c r="K1100" s="30" t="s">
        <v>47</v>
      </c>
      <c r="L1100" s="30" t="s">
        <v>96</v>
      </c>
      <c r="M1100" s="31" t="n">
        <f aca="false">AVERAGEIF($E$2:$E$1197,E1100,$G$2:$G$1197)</f>
        <v>186.056291390729</v>
      </c>
      <c r="N1100" s="19" t="str">
        <f aca="false">IF(G1100&gt;M1100*3,"نعم","لا")</f>
        <v>لا</v>
      </c>
      <c r="O1100" s="19" t="str">
        <f aca="false">IF(OR(C1100="",ISNUMBER(C1100)),"لا","نعم")</f>
        <v>لا</v>
      </c>
      <c r="P1100" s="19" t="str">
        <f aca="false">IF(COUNTIF($B$2:B1100,B1100)&gt;1,"مكرر","فريد")</f>
        <v>فريد</v>
      </c>
      <c r="Q1100" s="19" t="str">
        <f aca="false">IF(COUNTBLANK(D1100:L1100)&gt;0,"نعم","لا")</f>
        <v>لا</v>
      </c>
    </row>
    <row r="1101" customFormat="false" ht="15" hidden="false" customHeight="false" outlineLevel="0" collapsed="false">
      <c r="A1101" s="19" t="n">
        <v>1100</v>
      </c>
      <c r="B1101" s="30" t="s">
        <v>926</v>
      </c>
      <c r="C1101" s="44" t="n">
        <v>45557</v>
      </c>
      <c r="D1101" s="30" t="s">
        <v>46</v>
      </c>
      <c r="E1101" s="30" t="s">
        <v>105</v>
      </c>
      <c r="F1101" s="30" t="s">
        <v>85</v>
      </c>
      <c r="G1101" s="31" t="n">
        <v>3349</v>
      </c>
      <c r="H1101" s="19" t="n">
        <v>1</v>
      </c>
      <c r="I1101" s="32"/>
      <c r="J1101" s="30" t="s">
        <v>48</v>
      </c>
      <c r="K1101" s="30" t="s">
        <v>47</v>
      </c>
      <c r="L1101" s="30" t="s">
        <v>89</v>
      </c>
      <c r="M1101" s="31" t="n">
        <f aca="false">AVERAGEIF($E$2:$E$1197,E1101,$G$2:$G$1197)</f>
        <v>2870.26771653543</v>
      </c>
      <c r="N1101" s="19" t="str">
        <f aca="false">IF(G1101&gt;M1101*3,"نعم","لا")</f>
        <v>لا</v>
      </c>
      <c r="O1101" s="19" t="str">
        <f aca="false">IF(OR(C1101="",ISNUMBER(C1101)),"لا","نعم")</f>
        <v>لا</v>
      </c>
      <c r="P1101" s="19" t="str">
        <f aca="false">IF(COUNTIF($B$2:B1101,B1101)&gt;1,"مكرر","فريد")</f>
        <v>فريد</v>
      </c>
      <c r="Q1101" s="19" t="str">
        <f aca="false">IF(COUNTBLANK(D1101:L1101)&gt;0,"نعم","لا")</f>
        <v>نعم</v>
      </c>
    </row>
    <row r="1102" customFormat="false" ht="15" hidden="false" customHeight="false" outlineLevel="0" collapsed="false">
      <c r="A1102" s="19" t="n">
        <v>1101</v>
      </c>
      <c r="B1102" s="30" t="s">
        <v>367</v>
      </c>
      <c r="C1102" s="44" t="n">
        <v>45365</v>
      </c>
      <c r="D1102" s="30" t="s">
        <v>50</v>
      </c>
      <c r="E1102" s="30" t="s">
        <v>109</v>
      </c>
      <c r="F1102" s="30" t="s">
        <v>171</v>
      </c>
      <c r="G1102" s="31" t="n">
        <v>189</v>
      </c>
      <c r="H1102" s="19" t="n">
        <v>1</v>
      </c>
      <c r="I1102" s="32" t="n">
        <v>0.05</v>
      </c>
      <c r="J1102" s="30" t="s">
        <v>48</v>
      </c>
      <c r="K1102" s="30" t="s">
        <v>47</v>
      </c>
      <c r="L1102" s="30" t="s">
        <v>89</v>
      </c>
      <c r="M1102" s="31" t="n">
        <f aca="false">AVERAGEIF($E$2:$E$1197,E1102,$G$2:$G$1197)</f>
        <v>186.056291390729</v>
      </c>
      <c r="N1102" s="19" t="str">
        <f aca="false">IF(G1102&gt;M1102*3,"نعم","لا")</f>
        <v>لا</v>
      </c>
      <c r="O1102" s="19" t="str">
        <f aca="false">IF(OR(C1102="",ISNUMBER(C1102)),"لا","نعم")</f>
        <v>لا</v>
      </c>
      <c r="P1102" s="19" t="str">
        <f aca="false">IF(COUNTIF($B$2:B1102,B1102)&gt;1,"مكرر","فريد")</f>
        <v>فريد</v>
      </c>
      <c r="Q1102" s="19" t="str">
        <f aca="false">IF(COUNTBLANK(D1102:L1102)&gt;0,"نعم","لا")</f>
        <v>لا</v>
      </c>
    </row>
    <row r="1103" customFormat="false" ht="15" hidden="false" customHeight="false" outlineLevel="0" collapsed="false">
      <c r="A1103" s="19" t="n">
        <v>1102</v>
      </c>
      <c r="B1103" s="30" t="s">
        <v>304</v>
      </c>
      <c r="C1103" s="44" t="n">
        <v>45342</v>
      </c>
      <c r="D1103" s="30" t="s">
        <v>46</v>
      </c>
      <c r="E1103" s="30" t="s">
        <v>105</v>
      </c>
      <c r="F1103" s="30" t="s">
        <v>179</v>
      </c>
      <c r="G1103" s="31" t="n">
        <v>3959</v>
      </c>
      <c r="H1103" s="19" t="n">
        <v>1</v>
      </c>
      <c r="I1103" s="32" t="n">
        <v>0</v>
      </c>
      <c r="J1103" s="30" t="s">
        <v>52</v>
      </c>
      <c r="K1103" s="30" t="s">
        <v>47</v>
      </c>
      <c r="L1103" s="30" t="s">
        <v>78</v>
      </c>
      <c r="M1103" s="31" t="n">
        <f aca="false">AVERAGEIF($E$2:$E$1197,E1103,$G$2:$G$1197)</f>
        <v>2870.26771653543</v>
      </c>
      <c r="N1103" s="19" t="str">
        <f aca="false">IF(G1103&gt;M1103*3,"نعم","لا")</f>
        <v>لا</v>
      </c>
      <c r="O1103" s="19" t="str">
        <f aca="false">IF(OR(C1103="",ISNUMBER(C1103)),"لا","نعم")</f>
        <v>لا</v>
      </c>
      <c r="P1103" s="19" t="str">
        <f aca="false">IF(COUNTIF($B$2:B1103,B1103)&gt;1,"مكرر","فريد")</f>
        <v>فريد</v>
      </c>
      <c r="Q1103" s="19" t="str">
        <f aca="false">IF(COUNTBLANK(D1103:L1103)&gt;0,"نعم","لا")</f>
        <v>لا</v>
      </c>
    </row>
    <row r="1104" customFormat="false" ht="15" hidden="false" customHeight="false" outlineLevel="0" collapsed="false">
      <c r="A1104" s="19" t="n">
        <v>1103</v>
      </c>
      <c r="B1104" s="30" t="s">
        <v>1198</v>
      </c>
      <c r="C1104" s="44" t="n">
        <v>45631</v>
      </c>
      <c r="D1104" s="30" t="s">
        <v>46</v>
      </c>
      <c r="E1104" s="30" t="s">
        <v>105</v>
      </c>
      <c r="F1104" s="30" t="s">
        <v>82</v>
      </c>
      <c r="G1104" s="31" t="n">
        <v>1119</v>
      </c>
      <c r="H1104" s="19" t="n">
        <v>2</v>
      </c>
      <c r="I1104" s="32" t="n">
        <v>0</v>
      </c>
      <c r="J1104" s="30" t="s">
        <v>52</v>
      </c>
      <c r="K1104" s="30" t="s">
        <v>51</v>
      </c>
      <c r="L1104" s="30" t="s">
        <v>96</v>
      </c>
      <c r="M1104" s="31" t="n">
        <f aca="false">AVERAGEIF($E$2:$E$1197,E1104,$G$2:$G$1197)</f>
        <v>2870.26771653543</v>
      </c>
      <c r="N1104" s="19" t="str">
        <f aca="false">IF(G1104&gt;M1104*3,"نعم","لا")</f>
        <v>لا</v>
      </c>
      <c r="O1104" s="19" t="str">
        <f aca="false">IF(OR(C1104="",ISNUMBER(C1104)),"لا","نعم")</f>
        <v>لا</v>
      </c>
      <c r="P1104" s="19" t="str">
        <f aca="false">IF(COUNTIF($B$2:B1104,B1104)&gt;1,"مكرر","فريد")</f>
        <v>فريد</v>
      </c>
      <c r="Q1104" s="19" t="str">
        <f aca="false">IF(COUNTBLANK(D1104:L1104)&gt;0,"نعم","لا")</f>
        <v>لا</v>
      </c>
    </row>
    <row r="1105" customFormat="false" ht="15" hidden="false" customHeight="false" outlineLevel="0" collapsed="false">
      <c r="A1105" s="19" t="n">
        <v>1104</v>
      </c>
      <c r="B1105" s="30" t="s">
        <v>211</v>
      </c>
      <c r="C1105" s="44" t="n">
        <v>45306</v>
      </c>
      <c r="D1105" s="30" t="s">
        <v>57</v>
      </c>
      <c r="E1105" s="30" t="s">
        <v>105</v>
      </c>
      <c r="F1105" s="30" t="s">
        <v>179</v>
      </c>
      <c r="G1105" s="31" t="n">
        <v>2859</v>
      </c>
      <c r="H1105" s="19" t="n">
        <v>1</v>
      </c>
      <c r="I1105" s="32" t="n">
        <v>0</v>
      </c>
      <c r="J1105" s="30" t="s">
        <v>55</v>
      </c>
      <c r="K1105" s="30" t="s">
        <v>47</v>
      </c>
      <c r="L1105" s="30" t="s">
        <v>76</v>
      </c>
      <c r="M1105" s="31" t="n">
        <f aca="false">AVERAGEIF($E$2:$E$1197,E1105,$G$2:$G$1197)</f>
        <v>2870.26771653543</v>
      </c>
      <c r="N1105" s="19" t="str">
        <f aca="false">IF(G1105&gt;M1105*3,"نعم","لا")</f>
        <v>لا</v>
      </c>
      <c r="O1105" s="19" t="str">
        <f aca="false">IF(OR(C1105="",ISNUMBER(C1105)),"لا","نعم")</f>
        <v>لا</v>
      </c>
      <c r="P1105" s="19" t="str">
        <f aca="false">IF(COUNTIF($B$2:B1105,B1105)&gt;1,"مكرر","فريد")</f>
        <v>فريد</v>
      </c>
      <c r="Q1105" s="19" t="str">
        <f aca="false">IF(COUNTBLANK(D1105:L1105)&gt;0,"نعم","لا")</f>
        <v>لا</v>
      </c>
    </row>
    <row r="1106" customFormat="false" ht="15" hidden="false" customHeight="false" outlineLevel="0" collapsed="false">
      <c r="A1106" s="19" t="n">
        <v>1105</v>
      </c>
      <c r="B1106" s="30" t="s">
        <v>1158</v>
      </c>
      <c r="C1106" s="44" t="n">
        <v>45620</v>
      </c>
      <c r="D1106" s="30" t="s">
        <v>50</v>
      </c>
      <c r="E1106" s="30" t="s">
        <v>105</v>
      </c>
      <c r="F1106" s="30" t="s">
        <v>82</v>
      </c>
      <c r="G1106" s="31" t="n">
        <v>3929</v>
      </c>
      <c r="H1106" s="19" t="n">
        <v>6</v>
      </c>
      <c r="I1106" s="32" t="n">
        <v>0</v>
      </c>
      <c r="J1106" s="30" t="s">
        <v>58</v>
      </c>
      <c r="K1106" s="30" t="s">
        <v>51</v>
      </c>
      <c r="L1106" s="30" t="s">
        <v>84</v>
      </c>
      <c r="M1106" s="31" t="n">
        <f aca="false">AVERAGEIF($E$2:$E$1197,E1106,$G$2:$G$1197)</f>
        <v>2870.26771653543</v>
      </c>
      <c r="N1106" s="19" t="str">
        <f aca="false">IF(G1106&gt;M1106*3,"نعم","لا")</f>
        <v>لا</v>
      </c>
      <c r="O1106" s="19" t="str">
        <f aca="false">IF(OR(C1106="",ISNUMBER(C1106)),"لا","نعم")</f>
        <v>لا</v>
      </c>
      <c r="P1106" s="19" t="str">
        <f aca="false">IF(COUNTIF($B$2:B1106,B1106)&gt;1,"مكرر","فريد")</f>
        <v>مكرر</v>
      </c>
      <c r="Q1106" s="19" t="str">
        <f aca="false">IF(COUNTBLANK(D1106:L1106)&gt;0,"نعم","لا")</f>
        <v>لا</v>
      </c>
    </row>
    <row r="1107" customFormat="false" ht="15" hidden="false" customHeight="false" outlineLevel="0" collapsed="false">
      <c r="A1107" s="19" t="n">
        <v>1106</v>
      </c>
      <c r="B1107" s="30" t="s">
        <v>399</v>
      </c>
      <c r="C1107" s="44" t="n">
        <v>45376</v>
      </c>
      <c r="D1107" s="30" t="s">
        <v>54</v>
      </c>
      <c r="E1107" s="30" t="s">
        <v>105</v>
      </c>
      <c r="F1107" s="30" t="s">
        <v>79</v>
      </c>
      <c r="G1107" s="31" t="n">
        <v>1009</v>
      </c>
      <c r="H1107" s="19" t="n">
        <v>2</v>
      </c>
      <c r="I1107" s="32" t="n">
        <v>0.05</v>
      </c>
      <c r="J1107" s="30" t="s">
        <v>52</v>
      </c>
      <c r="K1107" s="30" t="s">
        <v>47</v>
      </c>
      <c r="L1107" s="30" t="s">
        <v>78</v>
      </c>
      <c r="M1107" s="31" t="n">
        <f aca="false">AVERAGEIF($E$2:$E$1197,E1107,$G$2:$G$1197)</f>
        <v>2870.26771653543</v>
      </c>
      <c r="N1107" s="19" t="str">
        <f aca="false">IF(G1107&gt;M1107*3,"نعم","لا")</f>
        <v>لا</v>
      </c>
      <c r="O1107" s="19" t="str">
        <f aca="false">IF(OR(C1107="",ISNUMBER(C1107)),"لا","نعم")</f>
        <v>لا</v>
      </c>
      <c r="P1107" s="19" t="str">
        <f aca="false">IF(COUNTIF($B$2:B1107,B1107)&gt;1,"مكرر","فريد")</f>
        <v>فريد</v>
      </c>
      <c r="Q1107" s="19" t="str">
        <f aca="false">IF(COUNTBLANK(D1107:L1107)&gt;0,"نعم","لا")</f>
        <v>لا</v>
      </c>
    </row>
    <row r="1108" customFormat="false" ht="15" hidden="false" customHeight="false" outlineLevel="0" collapsed="false">
      <c r="A1108" s="19" t="n">
        <v>1107</v>
      </c>
      <c r="B1108" s="30" t="s">
        <v>538</v>
      </c>
      <c r="C1108" s="30" t="s">
        <v>1495</v>
      </c>
      <c r="D1108" s="30" t="s">
        <v>46</v>
      </c>
      <c r="E1108" s="30" t="s">
        <v>105</v>
      </c>
      <c r="F1108" s="30" t="s">
        <v>90</v>
      </c>
      <c r="G1108" s="31" t="n">
        <v>4459</v>
      </c>
      <c r="H1108" s="19" t="n">
        <v>2</v>
      </c>
      <c r="I1108" s="32"/>
      <c r="J1108" s="30" t="s">
        <v>52</v>
      </c>
      <c r="K1108" s="30" t="s">
        <v>47</v>
      </c>
      <c r="L1108" s="30" t="s">
        <v>92</v>
      </c>
      <c r="M1108" s="31" t="n">
        <f aca="false">AVERAGEIF($E$2:$E$1197,E1108,$G$2:$G$1197)</f>
        <v>2870.26771653543</v>
      </c>
      <c r="N1108" s="19" t="str">
        <f aca="false">IF(G1108&gt;M1108*3,"نعم","لا")</f>
        <v>لا</v>
      </c>
      <c r="O1108" s="19" t="str">
        <f aca="false">IF(OR(C1108="",ISNUMBER(C1108)),"لا","نعم")</f>
        <v>نعم</v>
      </c>
      <c r="P1108" s="19" t="str">
        <f aca="false">IF(COUNTIF($B$2:B1108,B1108)&gt;1,"مكرر","فريد")</f>
        <v>فريد</v>
      </c>
      <c r="Q1108" s="19" t="str">
        <f aca="false">IF(COUNTBLANK(D1108:L1108)&gt;0,"نعم","لا")</f>
        <v>نعم</v>
      </c>
    </row>
    <row r="1109" customFormat="false" ht="15" hidden="false" customHeight="false" outlineLevel="0" collapsed="false">
      <c r="A1109" s="19" t="n">
        <v>1108</v>
      </c>
      <c r="B1109" s="30" t="s">
        <v>454</v>
      </c>
      <c r="C1109" s="44" t="n">
        <v>45390</v>
      </c>
      <c r="D1109" s="30" t="s">
        <v>60</v>
      </c>
      <c r="E1109" s="30" t="s">
        <v>107</v>
      </c>
      <c r="F1109" s="30" t="s">
        <v>114</v>
      </c>
      <c r="G1109" s="31" t="n">
        <v>7229</v>
      </c>
      <c r="H1109" s="19" t="n">
        <v>1</v>
      </c>
      <c r="I1109" s="32" t="n">
        <v>0.05</v>
      </c>
      <c r="J1109" s="30" t="s">
        <v>48</v>
      </c>
      <c r="K1109" s="30" t="s">
        <v>47</v>
      </c>
      <c r="L1109" s="30" t="s">
        <v>99</v>
      </c>
      <c r="M1109" s="31" t="n">
        <f aca="false">AVERAGEIF($E$2:$E$1197,E1109,$G$2:$G$1197)</f>
        <v>4981.14563106796</v>
      </c>
      <c r="N1109" s="19" t="str">
        <f aca="false">IF(G1109&gt;M1109*3,"نعم","لا")</f>
        <v>لا</v>
      </c>
      <c r="O1109" s="19" t="str">
        <f aca="false">IF(OR(C1109="",ISNUMBER(C1109)),"لا","نعم")</f>
        <v>لا</v>
      </c>
      <c r="P1109" s="19" t="str">
        <f aca="false">IF(COUNTIF($B$2:B1109,B1109)&gt;1,"مكرر","فريد")</f>
        <v>فريد</v>
      </c>
      <c r="Q1109" s="19" t="str">
        <f aca="false">IF(COUNTBLANK(D1109:L1109)&gt;0,"نعم","لا")</f>
        <v>لا</v>
      </c>
    </row>
    <row r="1110" customFormat="false" ht="15" hidden="false" customHeight="false" outlineLevel="0" collapsed="false">
      <c r="A1110" s="19" t="n">
        <v>1109</v>
      </c>
      <c r="B1110" s="30" t="s">
        <v>579</v>
      </c>
      <c r="C1110" s="44" t="n">
        <v>45444</v>
      </c>
      <c r="D1110" s="30" t="s">
        <v>60</v>
      </c>
      <c r="E1110" s="30" t="s">
        <v>109</v>
      </c>
      <c r="F1110" s="30" t="s">
        <v>175</v>
      </c>
      <c r="G1110" s="31" t="n">
        <v>119</v>
      </c>
      <c r="H1110" s="19" t="n">
        <v>1</v>
      </c>
      <c r="I1110" s="32"/>
      <c r="J1110" s="30" t="s">
        <v>48</v>
      </c>
      <c r="K1110" s="30" t="s">
        <v>47</v>
      </c>
      <c r="L1110" s="30" t="s">
        <v>89</v>
      </c>
      <c r="M1110" s="31" t="n">
        <f aca="false">AVERAGEIF($E$2:$E$1197,E1110,$G$2:$G$1197)</f>
        <v>186.056291390729</v>
      </c>
      <c r="N1110" s="19" t="str">
        <f aca="false">IF(G1110&gt;M1110*3,"نعم","لا")</f>
        <v>لا</v>
      </c>
      <c r="O1110" s="19" t="str">
        <f aca="false">IF(OR(C1110="",ISNUMBER(C1110)),"لا","نعم")</f>
        <v>لا</v>
      </c>
      <c r="P1110" s="19" t="str">
        <f aca="false">IF(COUNTIF($B$2:B1110,B1110)&gt;1,"مكرر","فريد")</f>
        <v>فريد</v>
      </c>
      <c r="Q1110" s="19" t="str">
        <f aca="false">IF(COUNTBLANK(D1110:L1110)&gt;0,"نعم","لا")</f>
        <v>نعم</v>
      </c>
    </row>
    <row r="1111" customFormat="false" ht="15" hidden="false" customHeight="false" outlineLevel="0" collapsed="false">
      <c r="A1111" s="19" t="n">
        <v>1110</v>
      </c>
      <c r="B1111" s="30" t="s">
        <v>552</v>
      </c>
      <c r="C1111" s="44" t="n">
        <v>45432</v>
      </c>
      <c r="D1111" s="30" t="s">
        <v>46</v>
      </c>
      <c r="E1111" s="30" t="s">
        <v>105</v>
      </c>
      <c r="F1111" s="30" t="s">
        <v>82</v>
      </c>
      <c r="G1111" s="31" t="n">
        <v>3359</v>
      </c>
      <c r="H1111" s="19" t="n">
        <v>1</v>
      </c>
      <c r="I1111" s="32" t="n">
        <v>0.05</v>
      </c>
      <c r="J1111" s="30" t="s">
        <v>48</v>
      </c>
      <c r="K1111" s="30" t="s">
        <v>47</v>
      </c>
      <c r="L1111" s="30" t="s">
        <v>96</v>
      </c>
      <c r="M1111" s="31" t="n">
        <f aca="false">AVERAGEIF($E$2:$E$1197,E1111,$G$2:$G$1197)</f>
        <v>2870.26771653543</v>
      </c>
      <c r="N1111" s="19" t="str">
        <f aca="false">IF(G1111&gt;M1111*3,"نعم","لا")</f>
        <v>لا</v>
      </c>
      <c r="O1111" s="19" t="str">
        <f aca="false">IF(OR(C1111="",ISNUMBER(C1111)),"لا","نعم")</f>
        <v>لا</v>
      </c>
      <c r="P1111" s="19" t="str">
        <f aca="false">IF(COUNTIF($B$2:B1111,B1111)&gt;1,"مكرر","فريد")</f>
        <v>فريد</v>
      </c>
      <c r="Q1111" s="19" t="str">
        <f aca="false">IF(COUNTBLANK(D1111:L1111)&gt;0,"نعم","لا")</f>
        <v>لا</v>
      </c>
    </row>
    <row r="1112" customFormat="false" ht="15" hidden="false" customHeight="false" outlineLevel="0" collapsed="false">
      <c r="A1112" s="19" t="n">
        <v>1111</v>
      </c>
      <c r="B1112" s="30" t="s">
        <v>748</v>
      </c>
      <c r="C1112" s="44" t="n">
        <v>45501</v>
      </c>
      <c r="D1112" s="30" t="s">
        <v>54</v>
      </c>
      <c r="E1112" s="30" t="s">
        <v>113</v>
      </c>
      <c r="F1112" s="30" t="s">
        <v>97</v>
      </c>
      <c r="G1112" s="31" t="n">
        <v>129</v>
      </c>
      <c r="H1112" s="19" t="n">
        <v>1</v>
      </c>
      <c r="I1112" s="32" t="n">
        <v>0.15</v>
      </c>
      <c r="J1112" s="30" t="s">
        <v>55</v>
      </c>
      <c r="K1112" s="30" t="s">
        <v>47</v>
      </c>
      <c r="L1112" s="30" t="s">
        <v>78</v>
      </c>
      <c r="M1112" s="31" t="n">
        <f aca="false">AVERAGEIF($E$2:$E$1197,E1112,$G$2:$G$1197)</f>
        <v>545.358823529412</v>
      </c>
      <c r="N1112" s="19" t="str">
        <f aca="false">IF(G1112&gt;M1112*3,"نعم","لا")</f>
        <v>لا</v>
      </c>
      <c r="O1112" s="19" t="str">
        <f aca="false">IF(OR(C1112="",ISNUMBER(C1112)),"لا","نعم")</f>
        <v>لا</v>
      </c>
      <c r="P1112" s="19" t="str">
        <f aca="false">IF(COUNTIF($B$2:B1112,B1112)&gt;1,"مكرر","فريد")</f>
        <v>فريد</v>
      </c>
      <c r="Q1112" s="19" t="str">
        <f aca="false">IF(COUNTBLANK(D1112:L1112)&gt;0,"نعم","لا")</f>
        <v>لا</v>
      </c>
    </row>
    <row r="1113" customFormat="false" ht="15" hidden="false" customHeight="false" outlineLevel="0" collapsed="false">
      <c r="A1113" s="19" t="n">
        <v>1112</v>
      </c>
      <c r="B1113" s="30" t="s">
        <v>1228</v>
      </c>
      <c r="C1113" s="44" t="n">
        <v>45638</v>
      </c>
      <c r="D1113" s="30" t="s">
        <v>60</v>
      </c>
      <c r="E1113" s="30" t="s">
        <v>105</v>
      </c>
      <c r="F1113" s="30" t="s">
        <v>82</v>
      </c>
      <c r="G1113" s="31" t="n">
        <v>939</v>
      </c>
      <c r="H1113" s="19" t="n">
        <v>2</v>
      </c>
      <c r="I1113" s="32" t="n">
        <v>0.2</v>
      </c>
      <c r="J1113" s="30" t="s">
        <v>55</v>
      </c>
      <c r="K1113" s="30" t="s">
        <v>47</v>
      </c>
      <c r="L1113" s="30" t="s">
        <v>96</v>
      </c>
      <c r="M1113" s="31" t="n">
        <f aca="false">AVERAGEIF($E$2:$E$1197,E1113,$G$2:$G$1197)</f>
        <v>2870.26771653543</v>
      </c>
      <c r="N1113" s="19" t="str">
        <f aca="false">IF(G1113&gt;M1113*3,"نعم","لا")</f>
        <v>لا</v>
      </c>
      <c r="O1113" s="19" t="str">
        <f aca="false">IF(OR(C1113="",ISNUMBER(C1113)),"لا","نعم")</f>
        <v>لا</v>
      </c>
      <c r="P1113" s="19" t="str">
        <f aca="false">IF(COUNTIF($B$2:B1113,B1113)&gt;1,"مكرر","فريد")</f>
        <v>فريد</v>
      </c>
      <c r="Q1113" s="19" t="str">
        <f aca="false">IF(COUNTBLANK(D1113:L1113)&gt;0,"نعم","لا")</f>
        <v>لا</v>
      </c>
    </row>
    <row r="1114" customFormat="false" ht="15" hidden="false" customHeight="false" outlineLevel="0" collapsed="false">
      <c r="A1114" s="19" t="n">
        <v>1113</v>
      </c>
      <c r="B1114" s="30" t="s">
        <v>799</v>
      </c>
      <c r="C1114" s="44" t="n">
        <v>45516</v>
      </c>
      <c r="D1114" s="30" t="s">
        <v>60</v>
      </c>
      <c r="E1114" s="30" t="s">
        <v>105</v>
      </c>
      <c r="F1114" s="30" t="s">
        <v>90</v>
      </c>
      <c r="G1114" s="31" t="n">
        <v>2769</v>
      </c>
      <c r="H1114" s="19" t="n">
        <v>3</v>
      </c>
      <c r="I1114" s="32" t="n">
        <v>0</v>
      </c>
      <c r="J1114" s="30" t="s">
        <v>48</v>
      </c>
      <c r="K1114" s="30" t="s">
        <v>51</v>
      </c>
      <c r="L1114" s="30" t="s">
        <v>94</v>
      </c>
      <c r="M1114" s="31" t="n">
        <f aca="false">AVERAGEIF($E$2:$E$1197,E1114,$G$2:$G$1197)</f>
        <v>2870.26771653543</v>
      </c>
      <c r="N1114" s="19" t="str">
        <f aca="false">IF(G1114&gt;M1114*3,"نعم","لا")</f>
        <v>لا</v>
      </c>
      <c r="O1114" s="19" t="str">
        <f aca="false">IF(OR(C1114="",ISNUMBER(C1114)),"لا","نعم")</f>
        <v>لا</v>
      </c>
      <c r="P1114" s="19" t="str">
        <f aca="false">IF(COUNTIF($B$2:B1114,B1114)&gt;1,"مكرر","فريد")</f>
        <v>فريد</v>
      </c>
      <c r="Q1114" s="19" t="str">
        <f aca="false">IF(COUNTBLANK(D1114:L1114)&gt;0,"نعم","لا")</f>
        <v>لا</v>
      </c>
    </row>
    <row r="1115" customFormat="false" ht="15" hidden="false" customHeight="false" outlineLevel="0" collapsed="false">
      <c r="A1115" s="19" t="n">
        <v>1114</v>
      </c>
      <c r="B1115" s="30" t="s">
        <v>682</v>
      </c>
      <c r="C1115" s="44" t="n">
        <v>45478</v>
      </c>
      <c r="D1115" s="30" t="s">
        <v>46</v>
      </c>
      <c r="E1115" s="30" t="s">
        <v>109</v>
      </c>
      <c r="F1115" s="30" t="s">
        <v>171</v>
      </c>
      <c r="G1115" s="31" t="n">
        <v>339</v>
      </c>
      <c r="H1115" s="19" t="n">
        <v>1</v>
      </c>
      <c r="I1115" s="32" t="n">
        <v>0</v>
      </c>
      <c r="J1115" s="30" t="s">
        <v>52</v>
      </c>
      <c r="K1115" s="30" t="s">
        <v>47</v>
      </c>
      <c r="L1115" s="30" t="s">
        <v>86</v>
      </c>
      <c r="M1115" s="31" t="n">
        <f aca="false">AVERAGEIF($E$2:$E$1197,E1115,$G$2:$G$1197)</f>
        <v>186.056291390729</v>
      </c>
      <c r="N1115" s="19" t="str">
        <f aca="false">IF(G1115&gt;M1115*3,"نعم","لا")</f>
        <v>لا</v>
      </c>
      <c r="O1115" s="19" t="str">
        <f aca="false">IF(OR(C1115="",ISNUMBER(C1115)),"لا","نعم")</f>
        <v>لا</v>
      </c>
      <c r="P1115" s="19" t="str">
        <f aca="false">IF(COUNTIF($B$2:B1115,B1115)&gt;1,"مكرر","فريد")</f>
        <v>فريد</v>
      </c>
      <c r="Q1115" s="19" t="str">
        <f aca="false">IF(COUNTBLANK(D1115:L1115)&gt;0,"نعم","لا")</f>
        <v>لا</v>
      </c>
    </row>
    <row r="1116" customFormat="false" ht="15" hidden="false" customHeight="false" outlineLevel="0" collapsed="false">
      <c r="A1116" s="19" t="n">
        <v>1115</v>
      </c>
      <c r="B1116" s="30" t="s">
        <v>235</v>
      </c>
      <c r="C1116" s="44" t="n">
        <v>45315</v>
      </c>
      <c r="D1116" s="30" t="s">
        <v>57</v>
      </c>
      <c r="E1116" s="30" t="s">
        <v>107</v>
      </c>
      <c r="F1116" s="30" t="s">
        <v>114</v>
      </c>
      <c r="G1116" s="31" t="n">
        <v>1799</v>
      </c>
      <c r="H1116" s="19" t="n">
        <v>1</v>
      </c>
      <c r="I1116" s="32" t="n">
        <v>0</v>
      </c>
      <c r="J1116" s="30" t="s">
        <v>55</v>
      </c>
      <c r="K1116" s="30" t="s">
        <v>47</v>
      </c>
      <c r="L1116" s="30" t="s">
        <v>86</v>
      </c>
      <c r="M1116" s="31" t="n">
        <f aca="false">AVERAGEIF($E$2:$E$1197,E1116,$G$2:$G$1197)</f>
        <v>4981.14563106796</v>
      </c>
      <c r="N1116" s="19" t="str">
        <f aca="false">IF(G1116&gt;M1116*3,"نعم","لا")</f>
        <v>لا</v>
      </c>
      <c r="O1116" s="19" t="str">
        <f aca="false">IF(OR(C1116="",ISNUMBER(C1116)),"لا","نعم")</f>
        <v>لا</v>
      </c>
      <c r="P1116" s="19" t="str">
        <f aca="false">IF(COUNTIF($B$2:B1116,B1116)&gt;1,"مكرر","فريد")</f>
        <v>فريد</v>
      </c>
      <c r="Q1116" s="19" t="str">
        <f aca="false">IF(COUNTBLANK(D1116:L1116)&gt;0,"نعم","لا")</f>
        <v>لا</v>
      </c>
    </row>
    <row r="1117" customFormat="false" ht="15" hidden="false" customHeight="false" outlineLevel="0" collapsed="false">
      <c r="A1117" s="19" t="n">
        <v>1116</v>
      </c>
      <c r="B1117" s="30" t="s">
        <v>189</v>
      </c>
      <c r="C1117" s="44" t="n">
        <v>45298</v>
      </c>
      <c r="D1117" s="30" t="s">
        <v>1372</v>
      </c>
      <c r="E1117" s="30" t="s">
        <v>113</v>
      </c>
      <c r="F1117" s="30" t="s">
        <v>121</v>
      </c>
      <c r="G1117" s="31" t="n">
        <v>619</v>
      </c>
      <c r="H1117" s="19" t="n">
        <v>1</v>
      </c>
      <c r="I1117" s="32" t="n">
        <v>0.05</v>
      </c>
      <c r="J1117" s="30" t="s">
        <v>52</v>
      </c>
      <c r="K1117" s="30" t="s">
        <v>51</v>
      </c>
      <c r="L1117" s="30" t="s">
        <v>78</v>
      </c>
      <c r="M1117" s="31" t="n">
        <f aca="false">AVERAGEIF($E$2:$E$1197,E1117,$G$2:$G$1197)</f>
        <v>545.358823529412</v>
      </c>
      <c r="N1117" s="19" t="str">
        <f aca="false">IF(G1117&gt;M1117*3,"نعم","لا")</f>
        <v>لا</v>
      </c>
      <c r="O1117" s="19" t="str">
        <f aca="false">IF(OR(C1117="",ISNUMBER(C1117)),"لا","نعم")</f>
        <v>لا</v>
      </c>
      <c r="P1117" s="19" t="str">
        <f aca="false">IF(COUNTIF($B$2:B1117,B1117)&gt;1,"مكرر","فريد")</f>
        <v>فريد</v>
      </c>
      <c r="Q1117" s="19" t="str">
        <f aca="false">IF(COUNTBLANK(D1117:L1117)&gt;0,"نعم","لا")</f>
        <v>لا</v>
      </c>
    </row>
    <row r="1118" customFormat="false" ht="15" hidden="false" customHeight="false" outlineLevel="0" collapsed="false">
      <c r="A1118" s="19" t="n">
        <v>1117</v>
      </c>
      <c r="B1118" s="30" t="s">
        <v>1206</v>
      </c>
      <c r="C1118" s="44" t="n">
        <v>45633</v>
      </c>
      <c r="D1118" s="30" t="s">
        <v>60</v>
      </c>
      <c r="E1118" s="30" t="s">
        <v>105</v>
      </c>
      <c r="F1118" s="30" t="s">
        <v>179</v>
      </c>
      <c r="G1118" s="31" t="n">
        <v>3609</v>
      </c>
      <c r="H1118" s="19" t="n">
        <v>1</v>
      </c>
      <c r="I1118" s="32" t="n">
        <v>0.1</v>
      </c>
      <c r="J1118" s="30" t="s">
        <v>58</v>
      </c>
      <c r="K1118" s="30" t="s">
        <v>47</v>
      </c>
      <c r="L1118" s="30" t="s">
        <v>81</v>
      </c>
      <c r="M1118" s="31" t="n">
        <f aca="false">AVERAGEIF($E$2:$E$1197,E1118,$G$2:$G$1197)</f>
        <v>2870.26771653543</v>
      </c>
      <c r="N1118" s="19" t="str">
        <f aca="false">IF(G1118&gt;M1118*3,"نعم","لا")</f>
        <v>لا</v>
      </c>
      <c r="O1118" s="19" t="str">
        <f aca="false">IF(OR(C1118="",ISNUMBER(C1118)),"لا","نعم")</f>
        <v>لا</v>
      </c>
      <c r="P1118" s="19" t="str">
        <f aca="false">IF(COUNTIF($B$2:B1118,B1118)&gt;1,"مكرر","فريد")</f>
        <v>فريد</v>
      </c>
      <c r="Q1118" s="19" t="str">
        <f aca="false">IF(COUNTBLANK(D1118:L1118)&gt;0,"نعم","لا")</f>
        <v>لا</v>
      </c>
    </row>
    <row r="1119" customFormat="false" ht="15" hidden="false" customHeight="false" outlineLevel="0" collapsed="false">
      <c r="A1119" s="19" t="n">
        <v>1118</v>
      </c>
      <c r="B1119" s="30" t="s">
        <v>652</v>
      </c>
      <c r="C1119" s="44" t="n">
        <v>45469</v>
      </c>
      <c r="D1119" s="30" t="s">
        <v>50</v>
      </c>
      <c r="E1119" s="30" t="s">
        <v>113</v>
      </c>
      <c r="F1119" s="30" t="s">
        <v>95</v>
      </c>
      <c r="G1119" s="31" t="n">
        <v>649</v>
      </c>
      <c r="H1119" s="19" t="n">
        <v>1</v>
      </c>
      <c r="I1119" s="32" t="n">
        <v>0.15</v>
      </c>
      <c r="J1119" s="30" t="s">
        <v>1360</v>
      </c>
      <c r="K1119" s="30" t="s">
        <v>47</v>
      </c>
      <c r="L1119" s="30" t="s">
        <v>84</v>
      </c>
      <c r="M1119" s="31" t="n">
        <f aca="false">AVERAGEIF($E$2:$E$1197,E1119,$G$2:$G$1197)</f>
        <v>545.358823529412</v>
      </c>
      <c r="N1119" s="19" t="str">
        <f aca="false">IF(G1119&gt;M1119*3,"نعم","لا")</f>
        <v>لا</v>
      </c>
      <c r="O1119" s="19" t="str">
        <f aca="false">IF(OR(C1119="",ISNUMBER(C1119)),"لا","نعم")</f>
        <v>لا</v>
      </c>
      <c r="P1119" s="19" t="str">
        <f aca="false">IF(COUNTIF($B$2:B1119,B1119)&gt;1,"مكرر","فريد")</f>
        <v>فريد</v>
      </c>
      <c r="Q1119" s="19" t="str">
        <f aca="false">IF(COUNTBLANK(D1119:L1119)&gt;0,"نعم","لا")</f>
        <v>لا</v>
      </c>
    </row>
    <row r="1120" customFormat="false" ht="15" hidden="false" customHeight="false" outlineLevel="0" collapsed="false">
      <c r="A1120" s="19" t="n">
        <v>1119</v>
      </c>
      <c r="B1120" s="30" t="s">
        <v>539</v>
      </c>
      <c r="C1120" s="44" t="n">
        <v>45427</v>
      </c>
      <c r="D1120" s="30" t="s">
        <v>57</v>
      </c>
      <c r="E1120" s="30" t="s">
        <v>105</v>
      </c>
      <c r="F1120" s="30" t="s">
        <v>82</v>
      </c>
      <c r="G1120" s="31" t="n">
        <v>2029</v>
      </c>
      <c r="H1120" s="19" t="n">
        <v>1</v>
      </c>
      <c r="I1120" s="32" t="n">
        <v>0.15</v>
      </c>
      <c r="J1120" s="30" t="s">
        <v>48</v>
      </c>
      <c r="K1120" s="30" t="s">
        <v>47</v>
      </c>
      <c r="L1120" s="30" t="s">
        <v>94</v>
      </c>
      <c r="M1120" s="31" t="n">
        <f aca="false">AVERAGEIF($E$2:$E$1197,E1120,$G$2:$G$1197)</f>
        <v>2870.26771653543</v>
      </c>
      <c r="N1120" s="19" t="str">
        <f aca="false">IF(G1120&gt;M1120*3,"نعم","لا")</f>
        <v>لا</v>
      </c>
      <c r="O1120" s="19" t="str">
        <f aca="false">IF(OR(C1120="",ISNUMBER(C1120)),"لا","نعم")</f>
        <v>لا</v>
      </c>
      <c r="P1120" s="19" t="str">
        <f aca="false">IF(COUNTIF($B$2:B1120,B1120)&gt;1,"مكرر","فريد")</f>
        <v>فريد</v>
      </c>
      <c r="Q1120" s="19" t="str">
        <f aca="false">IF(COUNTBLANK(D1120:L1120)&gt;0,"نعم","لا")</f>
        <v>لا</v>
      </c>
    </row>
    <row r="1121" customFormat="false" ht="15" hidden="false" customHeight="false" outlineLevel="0" collapsed="false">
      <c r="A1121" s="19" t="n">
        <v>1120</v>
      </c>
      <c r="B1121" s="30" t="s">
        <v>353</v>
      </c>
      <c r="C1121" s="44" t="n">
        <v>45362</v>
      </c>
      <c r="D1121" s="30" t="s">
        <v>46</v>
      </c>
      <c r="E1121" s="30" t="s">
        <v>109</v>
      </c>
      <c r="F1121" s="30" t="s">
        <v>171</v>
      </c>
      <c r="G1121" s="31" t="n">
        <v>259</v>
      </c>
      <c r="H1121" s="19" t="n">
        <v>3</v>
      </c>
      <c r="I1121" s="32" t="n">
        <v>0</v>
      </c>
      <c r="J1121" s="30" t="s">
        <v>52</v>
      </c>
      <c r="K1121" s="30" t="s">
        <v>47</v>
      </c>
      <c r="L1121" s="30" t="s">
        <v>89</v>
      </c>
      <c r="M1121" s="31" t="n">
        <f aca="false">AVERAGEIF($E$2:$E$1197,E1121,$G$2:$G$1197)</f>
        <v>186.056291390729</v>
      </c>
      <c r="N1121" s="19" t="str">
        <f aca="false">IF(G1121&gt;M1121*3,"نعم","لا")</f>
        <v>لا</v>
      </c>
      <c r="O1121" s="19" t="str">
        <f aca="false">IF(OR(C1121="",ISNUMBER(C1121)),"لا","نعم")</f>
        <v>لا</v>
      </c>
      <c r="P1121" s="19" t="str">
        <f aca="false">IF(COUNTIF($B$2:B1121,B1121)&gt;1,"مكرر","فريد")</f>
        <v>فريد</v>
      </c>
      <c r="Q1121" s="19" t="str">
        <f aca="false">IF(COUNTBLANK(D1121:L1121)&gt;0,"نعم","لا")</f>
        <v>لا</v>
      </c>
    </row>
    <row r="1122" customFormat="false" ht="15" hidden="false" customHeight="false" outlineLevel="0" collapsed="false">
      <c r="A1122" s="19" t="n">
        <v>1121</v>
      </c>
      <c r="B1122" s="30" t="s">
        <v>913</v>
      </c>
      <c r="C1122" s="44" t="n">
        <v>45552</v>
      </c>
      <c r="D1122" s="30" t="s">
        <v>57</v>
      </c>
      <c r="E1122" s="30" t="s">
        <v>107</v>
      </c>
      <c r="F1122" s="30" t="s">
        <v>115</v>
      </c>
      <c r="G1122" s="31" t="n">
        <v>5649</v>
      </c>
      <c r="H1122" s="19" t="n">
        <v>1</v>
      </c>
      <c r="I1122" s="32" t="n">
        <v>0.05</v>
      </c>
      <c r="J1122" s="30" t="s">
        <v>52</v>
      </c>
      <c r="K1122" s="30" t="s">
        <v>47</v>
      </c>
      <c r="L1122" s="30" t="s">
        <v>99</v>
      </c>
      <c r="M1122" s="31" t="n">
        <f aca="false">AVERAGEIF($E$2:$E$1197,E1122,$G$2:$G$1197)</f>
        <v>4981.14563106796</v>
      </c>
      <c r="N1122" s="19" t="str">
        <f aca="false">IF(G1122&gt;M1122*3,"نعم","لا")</f>
        <v>لا</v>
      </c>
      <c r="O1122" s="19" t="str">
        <f aca="false">IF(OR(C1122="",ISNUMBER(C1122)),"لا","نعم")</f>
        <v>لا</v>
      </c>
      <c r="P1122" s="19" t="str">
        <f aca="false">IF(COUNTIF($B$2:B1122,B1122)&gt;1,"مكرر","فريد")</f>
        <v>فريد</v>
      </c>
      <c r="Q1122" s="19" t="str">
        <f aca="false">IF(COUNTBLANK(D1122:L1122)&gt;0,"نعم","لا")</f>
        <v>لا</v>
      </c>
    </row>
    <row r="1123" customFormat="false" ht="15" hidden="false" customHeight="false" outlineLevel="0" collapsed="false">
      <c r="A1123" s="19" t="n">
        <v>1122</v>
      </c>
      <c r="B1123" s="30" t="s">
        <v>385</v>
      </c>
      <c r="C1123" s="44" t="n">
        <v>45371</v>
      </c>
      <c r="D1123" s="30" t="s">
        <v>54</v>
      </c>
      <c r="E1123" s="30" t="s">
        <v>111</v>
      </c>
      <c r="F1123" s="30" t="s">
        <v>118</v>
      </c>
      <c r="G1123" s="31" t="n">
        <v>369</v>
      </c>
      <c r="H1123" s="19"/>
      <c r="I1123" s="32" t="n">
        <v>0</v>
      </c>
      <c r="J1123" s="30" t="s">
        <v>48</v>
      </c>
      <c r="K1123" s="30" t="s">
        <v>47</v>
      </c>
      <c r="L1123" s="30" t="s">
        <v>89</v>
      </c>
      <c r="M1123" s="31" t="n">
        <f aca="false">AVERAGEIF($E$2:$E$1197,E1123,$G$2:$G$1197)</f>
        <v>366.306569343066</v>
      </c>
      <c r="N1123" s="19" t="str">
        <f aca="false">IF(G1123&gt;M1123*3,"نعم","لا")</f>
        <v>لا</v>
      </c>
      <c r="O1123" s="19" t="str">
        <f aca="false">IF(OR(C1123="",ISNUMBER(C1123)),"لا","نعم")</f>
        <v>لا</v>
      </c>
      <c r="P1123" s="19" t="str">
        <f aca="false">IF(COUNTIF($B$2:B1123,B1123)&gt;1,"مكرر","فريد")</f>
        <v>فريد</v>
      </c>
      <c r="Q1123" s="19" t="str">
        <f aca="false">IF(COUNTBLANK(D1123:L1123)&gt;0,"نعم","لا")</f>
        <v>نعم</v>
      </c>
    </row>
    <row r="1124" customFormat="false" ht="15" hidden="false" customHeight="false" outlineLevel="0" collapsed="false">
      <c r="A1124" s="19" t="n">
        <v>1123</v>
      </c>
      <c r="B1124" s="30" t="s">
        <v>939</v>
      </c>
      <c r="C1124" s="44" t="n">
        <v>45561</v>
      </c>
      <c r="D1124" s="30" t="s">
        <v>1458</v>
      </c>
      <c r="E1124" s="30" t="s">
        <v>109</v>
      </c>
      <c r="F1124" s="30" t="s">
        <v>110</v>
      </c>
      <c r="G1124" s="31" t="n">
        <v>239</v>
      </c>
      <c r="H1124" s="19" t="n">
        <v>2</v>
      </c>
      <c r="I1124" s="32" t="n">
        <v>0</v>
      </c>
      <c r="J1124" s="30" t="s">
        <v>52</v>
      </c>
      <c r="K1124" s="30" t="s">
        <v>47</v>
      </c>
      <c r="L1124" s="30" t="s">
        <v>86</v>
      </c>
      <c r="M1124" s="31" t="n">
        <f aca="false">AVERAGEIF($E$2:$E$1197,E1124,$G$2:$G$1197)</f>
        <v>186.056291390729</v>
      </c>
      <c r="N1124" s="19" t="str">
        <f aca="false">IF(G1124&gt;M1124*3,"نعم","لا")</f>
        <v>لا</v>
      </c>
      <c r="O1124" s="19" t="str">
        <f aca="false">IF(OR(C1124="",ISNUMBER(C1124)),"لا","نعم")</f>
        <v>لا</v>
      </c>
      <c r="P1124" s="19" t="str">
        <f aca="false">IF(COUNTIF($B$2:B1124,B1124)&gt;1,"مكرر","فريد")</f>
        <v>فريد</v>
      </c>
      <c r="Q1124" s="19" t="str">
        <f aca="false">IF(COUNTBLANK(D1124:L1124)&gt;0,"نعم","لا")</f>
        <v>لا</v>
      </c>
    </row>
    <row r="1125" customFormat="false" ht="15" hidden="false" customHeight="false" outlineLevel="0" collapsed="false">
      <c r="A1125" s="19" t="n">
        <v>1124</v>
      </c>
      <c r="B1125" s="30" t="s">
        <v>1221</v>
      </c>
      <c r="C1125" s="44" t="n">
        <v>45637</v>
      </c>
      <c r="D1125" s="30" t="s">
        <v>60</v>
      </c>
      <c r="E1125" s="30" t="s">
        <v>111</v>
      </c>
      <c r="F1125" s="30" t="s">
        <v>122</v>
      </c>
      <c r="G1125" s="31" t="n">
        <v>539</v>
      </c>
      <c r="H1125" s="19"/>
      <c r="I1125" s="32" t="n">
        <v>0</v>
      </c>
      <c r="J1125" s="30" t="s">
        <v>48</v>
      </c>
      <c r="K1125" s="30" t="s">
        <v>47</v>
      </c>
      <c r="L1125" s="30" t="s">
        <v>99</v>
      </c>
      <c r="M1125" s="31" t="n">
        <f aca="false">AVERAGEIF($E$2:$E$1197,E1125,$G$2:$G$1197)</f>
        <v>366.306569343066</v>
      </c>
      <c r="N1125" s="19" t="str">
        <f aca="false">IF(G1125&gt;M1125*3,"نعم","لا")</f>
        <v>لا</v>
      </c>
      <c r="O1125" s="19" t="str">
        <f aca="false">IF(OR(C1125="",ISNUMBER(C1125)),"لا","نعم")</f>
        <v>لا</v>
      </c>
      <c r="P1125" s="19" t="str">
        <f aca="false">IF(COUNTIF($B$2:B1125,B1125)&gt;1,"مكرر","فريد")</f>
        <v>فريد</v>
      </c>
      <c r="Q1125" s="19" t="str">
        <f aca="false">IF(COUNTBLANK(D1125:L1125)&gt;0,"نعم","لا")</f>
        <v>نعم</v>
      </c>
    </row>
    <row r="1126" customFormat="false" ht="15" hidden="false" customHeight="false" outlineLevel="0" collapsed="false">
      <c r="A1126" s="19" t="n">
        <v>1125</v>
      </c>
      <c r="B1126" s="30" t="s">
        <v>1028</v>
      </c>
      <c r="C1126" s="44" t="n">
        <v>45590</v>
      </c>
      <c r="D1126" s="30" t="s">
        <v>50</v>
      </c>
      <c r="E1126" s="30" t="s">
        <v>113</v>
      </c>
      <c r="F1126" s="30" t="s">
        <v>121</v>
      </c>
      <c r="G1126" s="31" t="n">
        <v>749</v>
      </c>
      <c r="H1126" s="19" t="n">
        <v>1</v>
      </c>
      <c r="I1126" s="32" t="n">
        <v>0</v>
      </c>
      <c r="J1126" s="30" t="s">
        <v>48</v>
      </c>
      <c r="K1126" s="30" t="s">
        <v>51</v>
      </c>
      <c r="L1126" s="30" t="s">
        <v>94</v>
      </c>
      <c r="M1126" s="31" t="n">
        <f aca="false">AVERAGEIF($E$2:$E$1197,E1126,$G$2:$G$1197)</f>
        <v>545.358823529412</v>
      </c>
      <c r="N1126" s="19" t="str">
        <f aca="false">IF(G1126&gt;M1126*3,"نعم","لا")</f>
        <v>لا</v>
      </c>
      <c r="O1126" s="19" t="str">
        <f aca="false">IF(OR(C1126="",ISNUMBER(C1126)),"لا","نعم")</f>
        <v>لا</v>
      </c>
      <c r="P1126" s="19" t="str">
        <f aca="false">IF(COUNTIF($B$2:B1126,B1126)&gt;1,"مكرر","فريد")</f>
        <v>فريد</v>
      </c>
      <c r="Q1126" s="19" t="str">
        <f aca="false">IF(COUNTBLANK(D1126:L1126)&gt;0,"نعم","لا")</f>
        <v>لا</v>
      </c>
    </row>
    <row r="1127" customFormat="false" ht="15" hidden="false" customHeight="false" outlineLevel="0" collapsed="false">
      <c r="A1127" s="19" t="n">
        <v>1126</v>
      </c>
      <c r="B1127" s="30" t="s">
        <v>501</v>
      </c>
      <c r="C1127" s="44" t="n">
        <v>45416</v>
      </c>
      <c r="D1127" s="30" t="s">
        <v>57</v>
      </c>
      <c r="E1127" s="30" t="s">
        <v>113</v>
      </c>
      <c r="F1127" s="30" t="s">
        <v>95</v>
      </c>
      <c r="G1127" s="31" t="n">
        <v>619</v>
      </c>
      <c r="H1127" s="19" t="n">
        <v>1</v>
      </c>
      <c r="I1127" s="32" t="n">
        <v>0.1</v>
      </c>
      <c r="J1127" s="30" t="s">
        <v>48</v>
      </c>
      <c r="K1127" s="30" t="s">
        <v>47</v>
      </c>
      <c r="L1127" s="30" t="s">
        <v>84</v>
      </c>
      <c r="M1127" s="31" t="n">
        <f aca="false">AVERAGEIF($E$2:$E$1197,E1127,$G$2:$G$1197)</f>
        <v>545.358823529412</v>
      </c>
      <c r="N1127" s="19" t="str">
        <f aca="false">IF(G1127&gt;M1127*3,"نعم","لا")</f>
        <v>لا</v>
      </c>
      <c r="O1127" s="19" t="str">
        <f aca="false">IF(OR(C1127="",ISNUMBER(C1127)),"لا","نعم")</f>
        <v>لا</v>
      </c>
      <c r="P1127" s="19" t="str">
        <f aca="false">IF(COUNTIF($B$2:B1127,B1127)&gt;1,"مكرر","فريد")</f>
        <v>فريد</v>
      </c>
      <c r="Q1127" s="19" t="str">
        <f aca="false">IF(COUNTBLANK(D1127:L1127)&gt;0,"نعم","لا")</f>
        <v>لا</v>
      </c>
    </row>
    <row r="1128" customFormat="false" ht="15" hidden="false" customHeight="false" outlineLevel="0" collapsed="false">
      <c r="A1128" s="19" t="n">
        <v>1127</v>
      </c>
      <c r="B1128" s="30" t="s">
        <v>871</v>
      </c>
      <c r="C1128" s="44" t="n">
        <v>45535</v>
      </c>
      <c r="D1128" s="30" t="s">
        <v>50</v>
      </c>
      <c r="E1128" s="30" t="s">
        <v>105</v>
      </c>
      <c r="F1128" s="30" t="s">
        <v>85</v>
      </c>
      <c r="G1128" s="31" t="n">
        <v>1659</v>
      </c>
      <c r="H1128" s="19" t="n">
        <v>1</v>
      </c>
      <c r="I1128" s="32" t="n">
        <v>0</v>
      </c>
      <c r="J1128" s="30" t="s">
        <v>52</v>
      </c>
      <c r="K1128" s="30" t="s">
        <v>47</v>
      </c>
      <c r="L1128" s="30" t="s">
        <v>94</v>
      </c>
      <c r="M1128" s="31" t="n">
        <f aca="false">AVERAGEIF($E$2:$E$1197,E1128,$G$2:$G$1197)</f>
        <v>2870.26771653543</v>
      </c>
      <c r="N1128" s="19" t="str">
        <f aca="false">IF(G1128&gt;M1128*3,"نعم","لا")</f>
        <v>لا</v>
      </c>
      <c r="O1128" s="19" t="str">
        <f aca="false">IF(OR(C1128="",ISNUMBER(C1128)),"لا","نعم")</f>
        <v>لا</v>
      </c>
      <c r="P1128" s="19" t="str">
        <f aca="false">IF(COUNTIF($B$2:B1128,B1128)&gt;1,"مكرر","فريد")</f>
        <v>فريد</v>
      </c>
      <c r="Q1128" s="19" t="str">
        <f aca="false">IF(COUNTBLANK(D1128:L1128)&gt;0,"نعم","لا")</f>
        <v>لا</v>
      </c>
    </row>
    <row r="1129" customFormat="false" ht="15" hidden="false" customHeight="false" outlineLevel="0" collapsed="false">
      <c r="A1129" s="19" t="n">
        <v>1128</v>
      </c>
      <c r="B1129" s="30" t="s">
        <v>462</v>
      </c>
      <c r="C1129" s="44" t="n">
        <v>45395</v>
      </c>
      <c r="D1129" s="30" t="s">
        <v>54</v>
      </c>
      <c r="E1129" s="30" t="s">
        <v>113</v>
      </c>
      <c r="F1129" s="30" t="s">
        <v>95</v>
      </c>
      <c r="G1129" s="31" t="n">
        <v>269</v>
      </c>
      <c r="H1129" s="19" t="n">
        <v>1</v>
      </c>
      <c r="I1129" s="32" t="n">
        <v>0.05</v>
      </c>
      <c r="J1129" s="30" t="s">
        <v>1360</v>
      </c>
      <c r="K1129" s="30" t="s">
        <v>47</v>
      </c>
      <c r="L1129" s="30" t="s">
        <v>81</v>
      </c>
      <c r="M1129" s="31" t="n">
        <f aca="false">AVERAGEIF($E$2:$E$1197,E1129,$G$2:$G$1197)</f>
        <v>545.358823529412</v>
      </c>
      <c r="N1129" s="19" t="str">
        <f aca="false">IF(G1129&gt;M1129*3,"نعم","لا")</f>
        <v>لا</v>
      </c>
      <c r="O1129" s="19" t="str">
        <f aca="false">IF(OR(C1129="",ISNUMBER(C1129)),"لا","نعم")</f>
        <v>لا</v>
      </c>
      <c r="P1129" s="19" t="str">
        <f aca="false">IF(COUNTIF($B$2:B1129,B1129)&gt;1,"مكرر","فريد")</f>
        <v>فريد</v>
      </c>
      <c r="Q1129" s="19" t="str">
        <f aca="false">IF(COUNTBLANK(D1129:L1129)&gt;0,"نعم","لا")</f>
        <v>لا</v>
      </c>
    </row>
    <row r="1130" customFormat="false" ht="15" hidden="false" customHeight="false" outlineLevel="0" collapsed="false">
      <c r="A1130" s="19" t="n">
        <v>1129</v>
      </c>
      <c r="B1130" s="30" t="s">
        <v>1161</v>
      </c>
      <c r="C1130" s="30" t="s">
        <v>1496</v>
      </c>
      <c r="D1130" s="30" t="s">
        <v>1338</v>
      </c>
      <c r="E1130" s="30" t="s">
        <v>105</v>
      </c>
      <c r="F1130" s="30" t="s">
        <v>85</v>
      </c>
      <c r="G1130" s="31" t="n">
        <v>1909</v>
      </c>
      <c r="H1130" s="19" t="n">
        <v>1</v>
      </c>
      <c r="I1130" s="32" t="n">
        <v>0.05</v>
      </c>
      <c r="J1130" s="30" t="s">
        <v>55</v>
      </c>
      <c r="K1130" s="30" t="s">
        <v>47</v>
      </c>
      <c r="L1130" s="30" t="s">
        <v>76</v>
      </c>
      <c r="M1130" s="31" t="n">
        <f aca="false">AVERAGEIF($E$2:$E$1197,E1130,$G$2:$G$1197)</f>
        <v>2870.26771653543</v>
      </c>
      <c r="N1130" s="19" t="str">
        <f aca="false">IF(G1130&gt;M1130*3,"نعم","لا")</f>
        <v>لا</v>
      </c>
      <c r="O1130" s="19" t="str">
        <f aca="false">IF(OR(C1130="",ISNUMBER(C1130)),"لا","نعم")</f>
        <v>نعم</v>
      </c>
      <c r="P1130" s="19" t="str">
        <f aca="false">IF(COUNTIF($B$2:B1130,B1130)&gt;1,"مكرر","فريد")</f>
        <v>فريد</v>
      </c>
      <c r="Q1130" s="19" t="str">
        <f aca="false">IF(COUNTBLANK(D1130:L1130)&gt;0,"نعم","لا")</f>
        <v>لا</v>
      </c>
    </row>
    <row r="1131" customFormat="false" ht="15" hidden="false" customHeight="false" outlineLevel="0" collapsed="false">
      <c r="A1131" s="19" t="n">
        <v>1130</v>
      </c>
      <c r="B1131" s="30" t="s">
        <v>615</v>
      </c>
      <c r="C1131" s="44" t="n">
        <v>45456</v>
      </c>
      <c r="D1131" s="30" t="s">
        <v>46</v>
      </c>
      <c r="E1131" s="30" t="s">
        <v>109</v>
      </c>
      <c r="F1131" s="30" t="s">
        <v>171</v>
      </c>
      <c r="G1131" s="31" t="n">
        <v>89</v>
      </c>
      <c r="H1131" s="19" t="n">
        <v>1</v>
      </c>
      <c r="I1131" s="32" t="n">
        <v>0.05</v>
      </c>
      <c r="J1131" s="30" t="s">
        <v>55</v>
      </c>
      <c r="K1131" s="30" t="s">
        <v>47</v>
      </c>
      <c r="L1131" s="30" t="s">
        <v>86</v>
      </c>
      <c r="M1131" s="31" t="n">
        <f aca="false">AVERAGEIF($E$2:$E$1197,E1131,$G$2:$G$1197)</f>
        <v>186.056291390729</v>
      </c>
      <c r="N1131" s="19" t="str">
        <f aca="false">IF(G1131&gt;M1131*3,"نعم","لا")</f>
        <v>لا</v>
      </c>
      <c r="O1131" s="19" t="str">
        <f aca="false">IF(OR(C1131="",ISNUMBER(C1131)),"لا","نعم")</f>
        <v>لا</v>
      </c>
      <c r="P1131" s="19" t="str">
        <f aca="false">IF(COUNTIF($B$2:B1131,B1131)&gt;1,"مكرر","فريد")</f>
        <v>فريد</v>
      </c>
      <c r="Q1131" s="19" t="str">
        <f aca="false">IF(COUNTBLANK(D1131:L1131)&gt;0,"نعم","لا")</f>
        <v>لا</v>
      </c>
    </row>
    <row r="1132" customFormat="false" ht="15" hidden="false" customHeight="false" outlineLevel="0" collapsed="false">
      <c r="A1132" s="19" t="n">
        <v>1131</v>
      </c>
      <c r="B1132" s="30" t="s">
        <v>965</v>
      </c>
      <c r="C1132" s="44" t="n">
        <v>45569</v>
      </c>
      <c r="D1132" s="30" t="s">
        <v>57</v>
      </c>
      <c r="E1132" s="30" t="s">
        <v>107</v>
      </c>
      <c r="F1132" s="30" t="s">
        <v>115</v>
      </c>
      <c r="G1132" s="31" t="n">
        <v>2779</v>
      </c>
      <c r="H1132" s="19" t="n">
        <v>1</v>
      </c>
      <c r="I1132" s="32" t="n">
        <v>0</v>
      </c>
      <c r="J1132" s="30" t="s">
        <v>52</v>
      </c>
      <c r="K1132" s="30" t="s">
        <v>47</v>
      </c>
      <c r="L1132" s="30" t="s">
        <v>84</v>
      </c>
      <c r="M1132" s="31" t="n">
        <f aca="false">AVERAGEIF($E$2:$E$1197,E1132,$G$2:$G$1197)</f>
        <v>4981.14563106796</v>
      </c>
      <c r="N1132" s="19" t="str">
        <f aca="false">IF(G1132&gt;M1132*3,"نعم","لا")</f>
        <v>لا</v>
      </c>
      <c r="O1132" s="19" t="str">
        <f aca="false">IF(OR(C1132="",ISNUMBER(C1132)),"لا","نعم")</f>
        <v>لا</v>
      </c>
      <c r="P1132" s="19" t="str">
        <f aca="false">IF(COUNTIF($B$2:B1132,B1132)&gt;1,"مكرر","فريد")</f>
        <v>فريد</v>
      </c>
      <c r="Q1132" s="19" t="str">
        <f aca="false">IF(COUNTBLANK(D1132:L1132)&gt;0,"نعم","لا")</f>
        <v>لا</v>
      </c>
    </row>
    <row r="1133" customFormat="false" ht="15" hidden="false" customHeight="false" outlineLevel="0" collapsed="false">
      <c r="A1133" s="19" t="n">
        <v>1132</v>
      </c>
      <c r="B1133" s="30" t="s">
        <v>435</v>
      </c>
      <c r="C1133" s="44" t="n">
        <v>45386</v>
      </c>
      <c r="D1133" s="30" t="s">
        <v>50</v>
      </c>
      <c r="E1133" s="30" t="s">
        <v>105</v>
      </c>
      <c r="F1133" s="30" t="s">
        <v>85</v>
      </c>
      <c r="G1133" s="31" t="n">
        <v>2219</v>
      </c>
      <c r="H1133" s="19" t="n">
        <v>1</v>
      </c>
      <c r="I1133" s="32" t="n">
        <v>0.2</v>
      </c>
      <c r="J1133" s="30" t="s">
        <v>52</v>
      </c>
      <c r="K1133" s="30" t="s">
        <v>47</v>
      </c>
      <c r="L1133" s="30" t="s">
        <v>89</v>
      </c>
      <c r="M1133" s="31" t="n">
        <f aca="false">AVERAGEIF($E$2:$E$1197,E1133,$G$2:$G$1197)</f>
        <v>2870.26771653543</v>
      </c>
      <c r="N1133" s="19" t="str">
        <f aca="false">IF(G1133&gt;M1133*3,"نعم","لا")</f>
        <v>لا</v>
      </c>
      <c r="O1133" s="19" t="str">
        <f aca="false">IF(OR(C1133="",ISNUMBER(C1133)),"لا","نعم")</f>
        <v>لا</v>
      </c>
      <c r="P1133" s="19" t="str">
        <f aca="false">IF(COUNTIF($B$2:B1133,B1133)&gt;1,"مكرر","فريد")</f>
        <v>فريد</v>
      </c>
      <c r="Q1133" s="19" t="str">
        <f aca="false">IF(COUNTBLANK(D1133:L1133)&gt;0,"نعم","لا")</f>
        <v>لا</v>
      </c>
    </row>
    <row r="1134" customFormat="false" ht="15" hidden="false" customHeight="false" outlineLevel="0" collapsed="false">
      <c r="A1134" s="19" t="n">
        <v>1133</v>
      </c>
      <c r="B1134" s="30" t="s">
        <v>1137</v>
      </c>
      <c r="C1134" s="44" t="n">
        <v>45615</v>
      </c>
      <c r="D1134" s="30" t="s">
        <v>1337</v>
      </c>
      <c r="E1134" s="30" t="s">
        <v>107</v>
      </c>
      <c r="F1134" s="30" t="s">
        <v>114</v>
      </c>
      <c r="G1134" s="31" t="n">
        <v>5609</v>
      </c>
      <c r="H1134" s="19" t="n">
        <v>1</v>
      </c>
      <c r="I1134" s="32" t="n">
        <v>0.15</v>
      </c>
      <c r="J1134" s="30" t="s">
        <v>48</v>
      </c>
      <c r="K1134" s="30" t="s">
        <v>47</v>
      </c>
      <c r="L1134" s="30" t="s">
        <v>86</v>
      </c>
      <c r="M1134" s="31" t="n">
        <f aca="false">AVERAGEIF($E$2:$E$1197,E1134,$G$2:$G$1197)</f>
        <v>4981.14563106796</v>
      </c>
      <c r="N1134" s="19" t="str">
        <f aca="false">IF(G1134&gt;M1134*3,"نعم","لا")</f>
        <v>لا</v>
      </c>
      <c r="O1134" s="19" t="str">
        <f aca="false">IF(OR(C1134="",ISNUMBER(C1134)),"لا","نعم")</f>
        <v>لا</v>
      </c>
      <c r="P1134" s="19" t="str">
        <f aca="false">IF(COUNTIF($B$2:B1134,B1134)&gt;1,"مكرر","فريد")</f>
        <v>فريد</v>
      </c>
      <c r="Q1134" s="19" t="str">
        <f aca="false">IF(COUNTBLANK(D1134:L1134)&gt;0,"نعم","لا")</f>
        <v>لا</v>
      </c>
    </row>
    <row r="1135" customFormat="false" ht="15" hidden="false" customHeight="false" outlineLevel="0" collapsed="false">
      <c r="A1135" s="19" t="n">
        <v>1134</v>
      </c>
      <c r="B1135" s="30" t="s">
        <v>370</v>
      </c>
      <c r="C1135" s="44" t="n">
        <v>45366</v>
      </c>
      <c r="D1135" s="30" t="s">
        <v>46</v>
      </c>
      <c r="E1135" s="30" t="s">
        <v>113</v>
      </c>
      <c r="F1135" s="30" t="s">
        <v>100</v>
      </c>
      <c r="G1135" s="31" t="n">
        <v>209</v>
      </c>
      <c r="H1135" s="19" t="n">
        <v>3</v>
      </c>
      <c r="I1135" s="32" t="n">
        <v>0</v>
      </c>
      <c r="J1135" s="30" t="s">
        <v>55</v>
      </c>
      <c r="K1135" s="30" t="s">
        <v>51</v>
      </c>
      <c r="L1135" s="30" t="s">
        <v>99</v>
      </c>
      <c r="M1135" s="31" t="n">
        <f aca="false">AVERAGEIF($E$2:$E$1197,E1135,$G$2:$G$1197)</f>
        <v>545.358823529412</v>
      </c>
      <c r="N1135" s="19" t="str">
        <f aca="false">IF(G1135&gt;M1135*3,"نعم","لا")</f>
        <v>لا</v>
      </c>
      <c r="O1135" s="19" t="str">
        <f aca="false">IF(OR(C1135="",ISNUMBER(C1135)),"لا","نعم")</f>
        <v>لا</v>
      </c>
      <c r="P1135" s="19" t="str">
        <f aca="false">IF(COUNTIF($B$2:B1135,B1135)&gt;1,"مكرر","فريد")</f>
        <v>فريد</v>
      </c>
      <c r="Q1135" s="19" t="str">
        <f aca="false">IF(COUNTBLANK(D1135:L1135)&gt;0,"نعم","لا")</f>
        <v>لا</v>
      </c>
    </row>
    <row r="1136" customFormat="false" ht="15" hidden="false" customHeight="false" outlineLevel="0" collapsed="false">
      <c r="A1136" s="19" t="n">
        <v>1135</v>
      </c>
      <c r="B1136" s="30" t="s">
        <v>330</v>
      </c>
      <c r="C1136" s="44" t="n">
        <v>45355</v>
      </c>
      <c r="D1136" s="30" t="s">
        <v>46</v>
      </c>
      <c r="E1136" s="30" t="s">
        <v>105</v>
      </c>
      <c r="F1136" s="30" t="s">
        <v>85</v>
      </c>
      <c r="G1136" s="31" t="n">
        <v>4169</v>
      </c>
      <c r="H1136" s="19" t="n">
        <v>1</v>
      </c>
      <c r="I1136" s="32" t="n">
        <v>0</v>
      </c>
      <c r="J1136" s="30" t="s">
        <v>48</v>
      </c>
      <c r="K1136" s="30" t="s">
        <v>47</v>
      </c>
      <c r="L1136" s="30" t="s">
        <v>81</v>
      </c>
      <c r="M1136" s="31" t="n">
        <f aca="false">AVERAGEIF($E$2:$E$1197,E1136,$G$2:$G$1197)</f>
        <v>2870.26771653543</v>
      </c>
      <c r="N1136" s="19" t="str">
        <f aca="false">IF(G1136&gt;M1136*3,"نعم","لا")</f>
        <v>لا</v>
      </c>
      <c r="O1136" s="19" t="str">
        <f aca="false">IF(OR(C1136="",ISNUMBER(C1136)),"لا","نعم")</f>
        <v>لا</v>
      </c>
      <c r="P1136" s="19" t="str">
        <f aca="false">IF(COUNTIF($B$2:B1136,B1136)&gt;1,"مكرر","فريد")</f>
        <v>فريد</v>
      </c>
      <c r="Q1136" s="19" t="str">
        <f aca="false">IF(COUNTBLANK(D1136:L1136)&gt;0,"نعم","لا")</f>
        <v>لا</v>
      </c>
    </row>
    <row r="1137" customFormat="false" ht="15" hidden="false" customHeight="false" outlineLevel="0" collapsed="false">
      <c r="A1137" s="19" t="n">
        <v>1136</v>
      </c>
      <c r="B1137" s="30" t="s">
        <v>878</v>
      </c>
      <c r="C1137" s="44" t="n">
        <v>45537</v>
      </c>
      <c r="D1137" s="30" t="s">
        <v>57</v>
      </c>
      <c r="E1137" s="30" t="s">
        <v>107</v>
      </c>
      <c r="F1137" s="30" t="s">
        <v>114</v>
      </c>
      <c r="G1137" s="31" t="n">
        <v>3859</v>
      </c>
      <c r="H1137" s="19" t="n">
        <v>2</v>
      </c>
      <c r="I1137" s="32" t="n">
        <v>0.1</v>
      </c>
      <c r="J1137" s="30" t="s">
        <v>48</v>
      </c>
      <c r="K1137" s="30" t="s">
        <v>47</v>
      </c>
      <c r="L1137" s="30" t="s">
        <v>78</v>
      </c>
      <c r="M1137" s="31" t="n">
        <f aca="false">AVERAGEIF($E$2:$E$1197,E1137,$G$2:$G$1197)</f>
        <v>4981.14563106796</v>
      </c>
      <c r="N1137" s="19" t="str">
        <f aca="false">IF(G1137&gt;M1137*3,"نعم","لا")</f>
        <v>لا</v>
      </c>
      <c r="O1137" s="19" t="str">
        <f aca="false">IF(OR(C1137="",ISNUMBER(C1137)),"لا","نعم")</f>
        <v>لا</v>
      </c>
      <c r="P1137" s="19" t="str">
        <f aca="false">IF(COUNTIF($B$2:B1137,B1137)&gt;1,"مكرر","فريد")</f>
        <v>فريد</v>
      </c>
      <c r="Q1137" s="19" t="str">
        <f aca="false">IF(COUNTBLANK(D1137:L1137)&gt;0,"نعم","لا")</f>
        <v>لا</v>
      </c>
    </row>
    <row r="1138" customFormat="false" ht="15" hidden="false" customHeight="false" outlineLevel="0" collapsed="false">
      <c r="A1138" s="19" t="n">
        <v>1137</v>
      </c>
      <c r="B1138" s="30" t="s">
        <v>563</v>
      </c>
      <c r="C1138" s="44" t="n">
        <v>45435</v>
      </c>
      <c r="D1138" s="30" t="s">
        <v>54</v>
      </c>
      <c r="E1138" s="30" t="s">
        <v>105</v>
      </c>
      <c r="F1138" s="30" t="s">
        <v>82</v>
      </c>
      <c r="G1138" s="31" t="n">
        <v>1579</v>
      </c>
      <c r="H1138" s="19"/>
      <c r="I1138" s="32" t="n">
        <v>0</v>
      </c>
      <c r="J1138" s="30" t="s">
        <v>55</v>
      </c>
      <c r="K1138" s="30" t="s">
        <v>51</v>
      </c>
      <c r="L1138" s="30" t="s">
        <v>84</v>
      </c>
      <c r="M1138" s="31" t="n">
        <f aca="false">AVERAGEIF($E$2:$E$1197,E1138,$G$2:$G$1197)</f>
        <v>2870.26771653543</v>
      </c>
      <c r="N1138" s="19" t="str">
        <f aca="false">IF(G1138&gt;M1138*3,"نعم","لا")</f>
        <v>لا</v>
      </c>
      <c r="O1138" s="19" t="str">
        <f aca="false">IF(OR(C1138="",ISNUMBER(C1138)),"لا","نعم")</f>
        <v>لا</v>
      </c>
      <c r="P1138" s="19" t="str">
        <f aca="false">IF(COUNTIF($B$2:B1138,B1138)&gt;1,"مكرر","فريد")</f>
        <v>فريد</v>
      </c>
      <c r="Q1138" s="19" t="str">
        <f aca="false">IF(COUNTBLANK(D1138:L1138)&gt;0,"نعم","لا")</f>
        <v>نعم</v>
      </c>
    </row>
    <row r="1139" customFormat="false" ht="15" hidden="false" customHeight="false" outlineLevel="0" collapsed="false">
      <c r="A1139" s="19" t="n">
        <v>1138</v>
      </c>
      <c r="B1139" s="30" t="s">
        <v>853</v>
      </c>
      <c r="C1139" s="44" t="n">
        <v>45530</v>
      </c>
      <c r="D1139" s="30" t="s">
        <v>50</v>
      </c>
      <c r="E1139" s="30" t="s">
        <v>107</v>
      </c>
      <c r="F1139" s="30" t="s">
        <v>272</v>
      </c>
      <c r="G1139" s="31" t="n">
        <v>7019</v>
      </c>
      <c r="H1139" s="19" t="n">
        <v>1</v>
      </c>
      <c r="I1139" s="32" t="n">
        <v>0</v>
      </c>
      <c r="J1139" s="30" t="s">
        <v>52</v>
      </c>
      <c r="K1139" s="30" t="s">
        <v>47</v>
      </c>
      <c r="L1139" s="30" t="s">
        <v>99</v>
      </c>
      <c r="M1139" s="31" t="n">
        <f aca="false">AVERAGEIF($E$2:$E$1197,E1139,$G$2:$G$1197)</f>
        <v>4981.14563106796</v>
      </c>
      <c r="N1139" s="19" t="str">
        <f aca="false">IF(G1139&gt;M1139*3,"نعم","لا")</f>
        <v>لا</v>
      </c>
      <c r="O1139" s="19" t="str">
        <f aca="false">IF(OR(C1139="",ISNUMBER(C1139)),"لا","نعم")</f>
        <v>لا</v>
      </c>
      <c r="P1139" s="19" t="str">
        <f aca="false">IF(COUNTIF($B$2:B1139,B1139)&gt;1,"مكرر","فريد")</f>
        <v>فريد</v>
      </c>
      <c r="Q1139" s="19" t="str">
        <f aca="false">IF(COUNTBLANK(D1139:L1139)&gt;0,"نعم","لا")</f>
        <v>لا</v>
      </c>
    </row>
    <row r="1140" customFormat="false" ht="15" hidden="false" customHeight="false" outlineLevel="0" collapsed="false">
      <c r="A1140" s="19" t="n">
        <v>1139</v>
      </c>
      <c r="B1140" s="30" t="s">
        <v>1273</v>
      </c>
      <c r="C1140" s="44" t="n">
        <v>45651</v>
      </c>
      <c r="D1140" s="30" t="s">
        <v>46</v>
      </c>
      <c r="E1140" s="30" t="s">
        <v>105</v>
      </c>
      <c r="F1140" s="30" t="s">
        <v>79</v>
      </c>
      <c r="G1140" s="31" t="n">
        <v>2999</v>
      </c>
      <c r="H1140" s="19" t="n">
        <v>1</v>
      </c>
      <c r="I1140" s="32" t="n">
        <v>0.05</v>
      </c>
      <c r="J1140" s="30" t="s">
        <v>52</v>
      </c>
      <c r="K1140" s="30" t="s">
        <v>47</v>
      </c>
      <c r="L1140" s="30" t="s">
        <v>86</v>
      </c>
      <c r="M1140" s="31" t="n">
        <f aca="false">AVERAGEIF($E$2:$E$1197,E1140,$G$2:$G$1197)</f>
        <v>2870.26771653543</v>
      </c>
      <c r="N1140" s="19" t="str">
        <f aca="false">IF(G1140&gt;M1140*3,"نعم","لا")</f>
        <v>لا</v>
      </c>
      <c r="O1140" s="19" t="str">
        <f aca="false">IF(OR(C1140="",ISNUMBER(C1140)),"لا","نعم")</f>
        <v>لا</v>
      </c>
      <c r="P1140" s="19" t="str">
        <f aca="false">IF(COUNTIF($B$2:B1140,B1140)&gt;1,"مكرر","فريد")</f>
        <v>فريد</v>
      </c>
      <c r="Q1140" s="19" t="str">
        <f aca="false">IF(COUNTBLANK(D1140:L1140)&gt;0,"نعم","لا")</f>
        <v>لا</v>
      </c>
    </row>
    <row r="1141" customFormat="false" ht="15" hidden="false" customHeight="false" outlineLevel="0" collapsed="false">
      <c r="A1141" s="19" t="n">
        <v>1140</v>
      </c>
      <c r="B1141" s="30" t="s">
        <v>724</v>
      </c>
      <c r="C1141" s="44" t="n">
        <v>45495</v>
      </c>
      <c r="D1141" s="30" t="s">
        <v>50</v>
      </c>
      <c r="E1141" s="30" t="s">
        <v>107</v>
      </c>
      <c r="F1141" s="30" t="s">
        <v>272</v>
      </c>
      <c r="G1141" s="31" t="n">
        <v>6579</v>
      </c>
      <c r="H1141" s="19" t="n">
        <v>1</v>
      </c>
      <c r="I1141" s="32" t="n">
        <v>0</v>
      </c>
      <c r="J1141" s="30" t="s">
        <v>48</v>
      </c>
      <c r="K1141" s="30" t="s">
        <v>47</v>
      </c>
      <c r="L1141" s="30" t="s">
        <v>96</v>
      </c>
      <c r="M1141" s="31" t="n">
        <f aca="false">AVERAGEIF($E$2:$E$1197,E1141,$G$2:$G$1197)</f>
        <v>4981.14563106796</v>
      </c>
      <c r="N1141" s="19" t="str">
        <f aca="false">IF(G1141&gt;M1141*3,"نعم","لا")</f>
        <v>لا</v>
      </c>
      <c r="O1141" s="19" t="str">
        <f aca="false">IF(OR(C1141="",ISNUMBER(C1141)),"لا","نعم")</f>
        <v>لا</v>
      </c>
      <c r="P1141" s="19" t="str">
        <f aca="false">IF(COUNTIF($B$2:B1141,B1141)&gt;1,"مكرر","فريد")</f>
        <v>فريد</v>
      </c>
      <c r="Q1141" s="19" t="str">
        <f aca="false">IF(COUNTBLANK(D1141:L1141)&gt;0,"نعم","لا")</f>
        <v>لا</v>
      </c>
    </row>
    <row r="1142" customFormat="false" ht="15" hidden="false" customHeight="false" outlineLevel="0" collapsed="false">
      <c r="A1142" s="19" t="n">
        <v>1141</v>
      </c>
      <c r="B1142" s="30" t="s">
        <v>1170</v>
      </c>
      <c r="C1142" s="44" t="n">
        <v>45622</v>
      </c>
      <c r="D1142" s="30" t="s">
        <v>50</v>
      </c>
      <c r="E1142" s="30" t="s">
        <v>105</v>
      </c>
      <c r="F1142" s="30" t="s">
        <v>85</v>
      </c>
      <c r="G1142" s="31" t="n">
        <v>4019</v>
      </c>
      <c r="H1142" s="19" t="n">
        <v>1</v>
      </c>
      <c r="I1142" s="32"/>
      <c r="J1142" s="30" t="s">
        <v>1343</v>
      </c>
      <c r="K1142" s="30" t="s">
        <v>47</v>
      </c>
      <c r="L1142" s="30" t="s">
        <v>89</v>
      </c>
      <c r="M1142" s="31" t="n">
        <f aca="false">AVERAGEIF($E$2:$E$1197,E1142,$G$2:$G$1197)</f>
        <v>2870.26771653543</v>
      </c>
      <c r="N1142" s="19" t="str">
        <f aca="false">IF(G1142&gt;M1142*3,"نعم","لا")</f>
        <v>لا</v>
      </c>
      <c r="O1142" s="19" t="str">
        <f aca="false">IF(OR(C1142="",ISNUMBER(C1142)),"لا","نعم")</f>
        <v>لا</v>
      </c>
      <c r="P1142" s="19" t="str">
        <f aca="false">IF(COUNTIF($B$2:B1142,B1142)&gt;1,"مكرر","فريد")</f>
        <v>فريد</v>
      </c>
      <c r="Q1142" s="19" t="str">
        <f aca="false">IF(COUNTBLANK(D1142:L1142)&gt;0,"نعم","لا")</f>
        <v>نعم</v>
      </c>
    </row>
    <row r="1143" customFormat="false" ht="15" hidden="false" customHeight="false" outlineLevel="0" collapsed="false">
      <c r="A1143" s="19" t="n">
        <v>1142</v>
      </c>
      <c r="B1143" s="30" t="s">
        <v>1167</v>
      </c>
      <c r="C1143" s="44" t="n">
        <v>45622</v>
      </c>
      <c r="D1143" s="30" t="s">
        <v>60</v>
      </c>
      <c r="E1143" s="30" t="s">
        <v>109</v>
      </c>
      <c r="F1143" s="30" t="s">
        <v>110</v>
      </c>
      <c r="G1143" s="31" t="n">
        <v>99</v>
      </c>
      <c r="H1143" s="19" t="n">
        <v>8</v>
      </c>
      <c r="I1143" s="32" t="n">
        <v>0</v>
      </c>
      <c r="J1143" s="30" t="s">
        <v>55</v>
      </c>
      <c r="K1143" s="30" t="s">
        <v>51</v>
      </c>
      <c r="L1143" s="30" t="s">
        <v>94</v>
      </c>
      <c r="M1143" s="31" t="n">
        <f aca="false">AVERAGEIF($E$2:$E$1197,E1143,$G$2:$G$1197)</f>
        <v>186.056291390729</v>
      </c>
      <c r="N1143" s="19" t="str">
        <f aca="false">IF(G1143&gt;M1143*3,"نعم","لا")</f>
        <v>لا</v>
      </c>
      <c r="O1143" s="19" t="str">
        <f aca="false">IF(OR(C1143="",ISNUMBER(C1143)),"لا","نعم")</f>
        <v>لا</v>
      </c>
      <c r="P1143" s="19" t="str">
        <f aca="false">IF(COUNTIF($B$2:B1143,B1143)&gt;1,"مكرر","فريد")</f>
        <v>فريد</v>
      </c>
      <c r="Q1143" s="19" t="str">
        <f aca="false">IF(COUNTBLANK(D1143:L1143)&gt;0,"نعم","لا")</f>
        <v>لا</v>
      </c>
    </row>
    <row r="1144" customFormat="false" ht="15" hidden="false" customHeight="false" outlineLevel="0" collapsed="false">
      <c r="A1144" s="19" t="n">
        <v>1143</v>
      </c>
      <c r="B1144" s="30" t="s">
        <v>1247</v>
      </c>
      <c r="C1144" s="30" t="s">
        <v>1497</v>
      </c>
      <c r="D1144" s="30" t="s">
        <v>50</v>
      </c>
      <c r="E1144" s="30" t="s">
        <v>107</v>
      </c>
      <c r="F1144" s="30" t="s">
        <v>114</v>
      </c>
      <c r="G1144" s="31" t="n">
        <v>2149</v>
      </c>
      <c r="H1144" s="19" t="n">
        <v>1</v>
      </c>
      <c r="I1144" s="32" t="n">
        <v>0</v>
      </c>
      <c r="J1144" s="30" t="s">
        <v>48</v>
      </c>
      <c r="K1144" s="30" t="s">
        <v>47</v>
      </c>
      <c r="L1144" s="30" t="s">
        <v>92</v>
      </c>
      <c r="M1144" s="31" t="n">
        <f aca="false">AVERAGEIF($E$2:$E$1197,E1144,$G$2:$G$1197)</f>
        <v>4981.14563106796</v>
      </c>
      <c r="N1144" s="19" t="str">
        <f aca="false">IF(G1144&gt;M1144*3,"نعم","لا")</f>
        <v>لا</v>
      </c>
      <c r="O1144" s="19" t="str">
        <f aca="false">IF(OR(C1144="",ISNUMBER(C1144)),"لا","نعم")</f>
        <v>نعم</v>
      </c>
      <c r="P1144" s="19" t="str">
        <f aca="false">IF(COUNTIF($B$2:B1144,B1144)&gt;1,"مكرر","فريد")</f>
        <v>فريد</v>
      </c>
      <c r="Q1144" s="19" t="str">
        <f aca="false">IF(COUNTBLANK(D1144:L1144)&gt;0,"نعم","لا")</f>
        <v>لا</v>
      </c>
    </row>
    <row r="1145" customFormat="false" ht="15" hidden="false" customHeight="false" outlineLevel="0" collapsed="false">
      <c r="A1145" s="19" t="n">
        <v>1144</v>
      </c>
      <c r="B1145" s="30" t="s">
        <v>373</v>
      </c>
      <c r="C1145" s="44" t="n">
        <v>45367</v>
      </c>
      <c r="D1145" s="30" t="s">
        <v>60</v>
      </c>
      <c r="E1145" s="30" t="s">
        <v>111</v>
      </c>
      <c r="F1145" s="30" t="s">
        <v>120</v>
      </c>
      <c r="G1145" s="31" t="n">
        <v>199</v>
      </c>
      <c r="H1145" s="19" t="n">
        <v>2</v>
      </c>
      <c r="I1145" s="32" t="n">
        <v>0.05</v>
      </c>
      <c r="J1145" s="30" t="s">
        <v>55</v>
      </c>
      <c r="K1145" s="30" t="s">
        <v>47</v>
      </c>
      <c r="L1145" s="30" t="s">
        <v>99</v>
      </c>
      <c r="M1145" s="31" t="n">
        <f aca="false">AVERAGEIF($E$2:$E$1197,E1145,$G$2:$G$1197)</f>
        <v>366.306569343066</v>
      </c>
      <c r="N1145" s="19" t="str">
        <f aca="false">IF(G1145&gt;M1145*3,"نعم","لا")</f>
        <v>لا</v>
      </c>
      <c r="O1145" s="19" t="str">
        <f aca="false">IF(OR(C1145="",ISNUMBER(C1145)),"لا","نعم")</f>
        <v>لا</v>
      </c>
      <c r="P1145" s="19" t="str">
        <f aca="false">IF(COUNTIF($B$2:B1145,B1145)&gt;1,"مكرر","فريد")</f>
        <v>فريد</v>
      </c>
      <c r="Q1145" s="19" t="str">
        <f aca="false">IF(COUNTBLANK(D1145:L1145)&gt;0,"نعم","لا")</f>
        <v>لا</v>
      </c>
    </row>
    <row r="1146" customFormat="false" ht="15" hidden="false" customHeight="false" outlineLevel="0" collapsed="false">
      <c r="A1146" s="19" t="n">
        <v>1145</v>
      </c>
      <c r="B1146" s="30" t="s">
        <v>206</v>
      </c>
      <c r="C1146" s="44" t="n">
        <v>45304</v>
      </c>
      <c r="D1146" s="30" t="s">
        <v>57</v>
      </c>
      <c r="E1146" s="30" t="s">
        <v>111</v>
      </c>
      <c r="F1146" s="30" t="s">
        <v>122</v>
      </c>
      <c r="G1146" s="31" t="n">
        <v>219</v>
      </c>
      <c r="H1146" s="19" t="n">
        <v>1</v>
      </c>
      <c r="I1146" s="32" t="n">
        <v>0</v>
      </c>
      <c r="J1146" s="30" t="s">
        <v>48</v>
      </c>
      <c r="K1146" s="30" t="s">
        <v>47</v>
      </c>
      <c r="L1146" s="30" t="s">
        <v>84</v>
      </c>
      <c r="M1146" s="31" t="n">
        <f aca="false">AVERAGEIF($E$2:$E$1197,E1146,$G$2:$G$1197)</f>
        <v>366.306569343066</v>
      </c>
      <c r="N1146" s="19" t="str">
        <f aca="false">IF(G1146&gt;M1146*3,"نعم","لا")</f>
        <v>لا</v>
      </c>
      <c r="O1146" s="19" t="str">
        <f aca="false">IF(OR(C1146="",ISNUMBER(C1146)),"لا","نعم")</f>
        <v>لا</v>
      </c>
      <c r="P1146" s="19" t="str">
        <f aca="false">IF(COUNTIF($B$2:B1146,B1146)&gt;1,"مكرر","فريد")</f>
        <v>فريد</v>
      </c>
      <c r="Q1146" s="19" t="str">
        <f aca="false">IF(COUNTBLANK(D1146:L1146)&gt;0,"نعم","لا")</f>
        <v>لا</v>
      </c>
    </row>
    <row r="1147" customFormat="false" ht="15" hidden="false" customHeight="false" outlineLevel="0" collapsed="false">
      <c r="A1147" s="19" t="n">
        <v>1146</v>
      </c>
      <c r="B1147" s="30" t="s">
        <v>925</v>
      </c>
      <c r="C1147" s="44" t="n">
        <v>45556</v>
      </c>
      <c r="D1147" s="30" t="s">
        <v>50</v>
      </c>
      <c r="E1147" s="30" t="s">
        <v>109</v>
      </c>
      <c r="F1147" s="30" t="s">
        <v>175</v>
      </c>
      <c r="G1147" s="31" t="n">
        <v>309</v>
      </c>
      <c r="H1147" s="19"/>
      <c r="I1147" s="32" t="n">
        <v>0.15</v>
      </c>
      <c r="J1147" s="30" t="s">
        <v>52</v>
      </c>
      <c r="K1147" s="30" t="s">
        <v>47</v>
      </c>
      <c r="L1147" s="30" t="s">
        <v>89</v>
      </c>
      <c r="M1147" s="31" t="n">
        <f aca="false">AVERAGEIF($E$2:$E$1197,E1147,$G$2:$G$1197)</f>
        <v>186.056291390729</v>
      </c>
      <c r="N1147" s="19" t="str">
        <f aca="false">IF(G1147&gt;M1147*3,"نعم","لا")</f>
        <v>لا</v>
      </c>
      <c r="O1147" s="19" t="str">
        <f aca="false">IF(OR(C1147="",ISNUMBER(C1147)),"لا","نعم")</f>
        <v>لا</v>
      </c>
      <c r="P1147" s="19" t="str">
        <f aca="false">IF(COUNTIF($B$2:B1147,B1147)&gt;1,"مكرر","فريد")</f>
        <v>فريد</v>
      </c>
      <c r="Q1147" s="19" t="str">
        <f aca="false">IF(COUNTBLANK(D1147:L1147)&gt;0,"نعم","لا")</f>
        <v>نعم</v>
      </c>
    </row>
    <row r="1148" customFormat="false" ht="15" hidden="false" customHeight="false" outlineLevel="0" collapsed="false">
      <c r="A1148" s="19" t="n">
        <v>1147</v>
      </c>
      <c r="B1148" s="30" t="s">
        <v>669</v>
      </c>
      <c r="C1148" s="44" t="n">
        <v>45474</v>
      </c>
      <c r="D1148" s="30" t="s">
        <v>60</v>
      </c>
      <c r="E1148" s="30" t="s">
        <v>105</v>
      </c>
      <c r="F1148" s="30" t="s">
        <v>79</v>
      </c>
      <c r="G1148" s="31" t="n">
        <v>2109</v>
      </c>
      <c r="H1148" s="19" t="n">
        <v>1</v>
      </c>
      <c r="I1148" s="32" t="n">
        <v>0</v>
      </c>
      <c r="J1148" s="30" t="s">
        <v>55</v>
      </c>
      <c r="K1148" s="30" t="s">
        <v>47</v>
      </c>
      <c r="L1148" s="30" t="s">
        <v>76</v>
      </c>
      <c r="M1148" s="31" t="n">
        <f aca="false">AVERAGEIF($E$2:$E$1197,E1148,$G$2:$G$1197)</f>
        <v>2870.26771653543</v>
      </c>
      <c r="N1148" s="19" t="str">
        <f aca="false">IF(G1148&gt;M1148*3,"نعم","لا")</f>
        <v>لا</v>
      </c>
      <c r="O1148" s="19" t="str">
        <f aca="false">IF(OR(C1148="",ISNUMBER(C1148)),"لا","نعم")</f>
        <v>لا</v>
      </c>
      <c r="P1148" s="19" t="str">
        <f aca="false">IF(COUNTIF($B$2:B1148,B1148)&gt;1,"مكرر","فريد")</f>
        <v>فريد</v>
      </c>
      <c r="Q1148" s="19" t="str">
        <f aca="false">IF(COUNTBLANK(D1148:L1148)&gt;0,"نعم","لا")</f>
        <v>لا</v>
      </c>
    </row>
    <row r="1149" customFormat="false" ht="15" hidden="false" customHeight="false" outlineLevel="0" collapsed="false">
      <c r="A1149" s="19" t="n">
        <v>1148</v>
      </c>
      <c r="B1149" s="30" t="s">
        <v>544</v>
      </c>
      <c r="C1149" s="44" t="n">
        <v>45429</v>
      </c>
      <c r="D1149" s="30" t="s">
        <v>50</v>
      </c>
      <c r="E1149" s="30" t="s">
        <v>107</v>
      </c>
      <c r="F1149" s="30" t="s">
        <v>115</v>
      </c>
      <c r="G1149" s="31" t="n">
        <v>5109</v>
      </c>
      <c r="H1149" s="19" t="n">
        <v>1</v>
      </c>
      <c r="I1149" s="32" t="n">
        <v>0.1</v>
      </c>
      <c r="J1149" s="30" t="s">
        <v>55</v>
      </c>
      <c r="K1149" s="30" t="s">
        <v>47</v>
      </c>
      <c r="L1149" s="30" t="s">
        <v>89</v>
      </c>
      <c r="M1149" s="31" t="n">
        <f aca="false">AVERAGEIF($E$2:$E$1197,E1149,$G$2:$G$1197)</f>
        <v>4981.14563106796</v>
      </c>
      <c r="N1149" s="19" t="str">
        <f aca="false">IF(G1149&gt;M1149*3,"نعم","لا")</f>
        <v>لا</v>
      </c>
      <c r="O1149" s="19" t="str">
        <f aca="false">IF(OR(C1149="",ISNUMBER(C1149)),"لا","نعم")</f>
        <v>لا</v>
      </c>
      <c r="P1149" s="19" t="str">
        <f aca="false">IF(COUNTIF($B$2:B1149,B1149)&gt;1,"مكرر","فريد")</f>
        <v>مكرر</v>
      </c>
      <c r="Q1149" s="19" t="str">
        <f aca="false">IF(COUNTBLANK(D1149:L1149)&gt;0,"نعم","لا")</f>
        <v>لا</v>
      </c>
    </row>
    <row r="1150" customFormat="false" ht="15" hidden="false" customHeight="false" outlineLevel="0" collapsed="false">
      <c r="A1150" s="19" t="n">
        <v>1149</v>
      </c>
      <c r="B1150" s="30" t="s">
        <v>261</v>
      </c>
      <c r="C1150" s="44" t="n">
        <v>45327</v>
      </c>
      <c r="D1150" s="30" t="s">
        <v>50</v>
      </c>
      <c r="E1150" s="30" t="s">
        <v>107</v>
      </c>
      <c r="F1150" s="30" t="s">
        <v>114</v>
      </c>
      <c r="G1150" s="31" t="n">
        <v>5009</v>
      </c>
      <c r="H1150" s="19" t="n">
        <v>1</v>
      </c>
      <c r="I1150" s="32" t="n">
        <v>0.05</v>
      </c>
      <c r="J1150" s="30" t="s">
        <v>52</v>
      </c>
      <c r="K1150" s="30" t="s">
        <v>51</v>
      </c>
      <c r="L1150" s="30" t="s">
        <v>84</v>
      </c>
      <c r="M1150" s="31" t="n">
        <f aca="false">AVERAGEIF($E$2:$E$1197,E1150,$G$2:$G$1197)</f>
        <v>4981.14563106796</v>
      </c>
      <c r="N1150" s="19" t="str">
        <f aca="false">IF(G1150&gt;M1150*3,"نعم","لا")</f>
        <v>لا</v>
      </c>
      <c r="O1150" s="19" t="str">
        <f aca="false">IF(OR(C1150="",ISNUMBER(C1150)),"لا","نعم")</f>
        <v>لا</v>
      </c>
      <c r="P1150" s="19" t="str">
        <f aca="false">IF(COUNTIF($B$2:B1150,B1150)&gt;1,"مكرر","فريد")</f>
        <v>فريد</v>
      </c>
      <c r="Q1150" s="19" t="str">
        <f aca="false">IF(COUNTBLANK(D1150:L1150)&gt;0,"نعم","لا")</f>
        <v>لا</v>
      </c>
    </row>
    <row r="1151" customFormat="false" ht="15" hidden="false" customHeight="false" outlineLevel="0" collapsed="false">
      <c r="A1151" s="19" t="n">
        <v>1150</v>
      </c>
      <c r="B1151" s="30" t="s">
        <v>1044</v>
      </c>
      <c r="C1151" s="44" t="n">
        <v>45595</v>
      </c>
      <c r="D1151" s="30" t="s">
        <v>50</v>
      </c>
      <c r="E1151" s="30" t="s">
        <v>105</v>
      </c>
      <c r="F1151" s="30" t="s">
        <v>90</v>
      </c>
      <c r="G1151" s="31" t="n">
        <v>3609</v>
      </c>
      <c r="H1151" s="19" t="n">
        <v>2</v>
      </c>
      <c r="I1151" s="32" t="n">
        <v>0</v>
      </c>
      <c r="J1151" s="30" t="s">
        <v>58</v>
      </c>
      <c r="K1151" s="30" t="s">
        <v>47</v>
      </c>
      <c r="L1151" s="30" t="s">
        <v>94</v>
      </c>
      <c r="M1151" s="31" t="n">
        <f aca="false">AVERAGEIF($E$2:$E$1197,E1151,$G$2:$G$1197)</f>
        <v>2870.26771653543</v>
      </c>
      <c r="N1151" s="19" t="str">
        <f aca="false">IF(G1151&gt;M1151*3,"نعم","لا")</f>
        <v>لا</v>
      </c>
      <c r="O1151" s="19" t="str">
        <f aca="false">IF(OR(C1151="",ISNUMBER(C1151)),"لا","نعم")</f>
        <v>لا</v>
      </c>
      <c r="P1151" s="19" t="str">
        <f aca="false">IF(COUNTIF($B$2:B1151,B1151)&gt;1,"مكرر","فريد")</f>
        <v>فريد</v>
      </c>
      <c r="Q1151" s="19" t="str">
        <f aca="false">IF(COUNTBLANK(D1151:L1151)&gt;0,"نعم","لا")</f>
        <v>لا</v>
      </c>
    </row>
    <row r="1152" customFormat="false" ht="15" hidden="false" customHeight="false" outlineLevel="0" collapsed="false">
      <c r="A1152" s="19" t="n">
        <v>1151</v>
      </c>
      <c r="B1152" s="30" t="s">
        <v>723</v>
      </c>
      <c r="C1152" s="30" t="s">
        <v>1498</v>
      </c>
      <c r="D1152" s="30" t="s">
        <v>54</v>
      </c>
      <c r="E1152" s="30" t="s">
        <v>109</v>
      </c>
      <c r="F1152" s="30" t="s">
        <v>192</v>
      </c>
      <c r="G1152" s="31" t="n">
        <v>289</v>
      </c>
      <c r="H1152" s="19" t="n">
        <v>1</v>
      </c>
      <c r="I1152" s="32" t="n">
        <v>0</v>
      </c>
      <c r="J1152" s="30" t="s">
        <v>48</v>
      </c>
      <c r="K1152" s="30" t="s">
        <v>47</v>
      </c>
      <c r="L1152" s="30" t="s">
        <v>94</v>
      </c>
      <c r="M1152" s="31" t="n">
        <f aca="false">AVERAGEIF($E$2:$E$1197,E1152,$G$2:$G$1197)</f>
        <v>186.056291390729</v>
      </c>
      <c r="N1152" s="19" t="str">
        <f aca="false">IF(G1152&gt;M1152*3,"نعم","لا")</f>
        <v>لا</v>
      </c>
      <c r="O1152" s="19" t="str">
        <f aca="false">IF(OR(C1152="",ISNUMBER(C1152)),"لا","نعم")</f>
        <v>نعم</v>
      </c>
      <c r="P1152" s="19" t="str">
        <f aca="false">IF(COUNTIF($B$2:B1152,B1152)&gt;1,"مكرر","فريد")</f>
        <v>فريد</v>
      </c>
      <c r="Q1152" s="19" t="str">
        <f aca="false">IF(COUNTBLANK(D1152:L1152)&gt;0,"نعم","لا")</f>
        <v>لا</v>
      </c>
    </row>
    <row r="1153" customFormat="false" ht="15" hidden="false" customHeight="false" outlineLevel="0" collapsed="false">
      <c r="A1153" s="19" t="n">
        <v>1152</v>
      </c>
      <c r="B1153" s="30" t="s">
        <v>922</v>
      </c>
      <c r="C1153" s="30" t="s">
        <v>1499</v>
      </c>
      <c r="D1153" s="30" t="s">
        <v>46</v>
      </c>
      <c r="E1153" s="30" t="s">
        <v>113</v>
      </c>
      <c r="F1153" s="30" t="s">
        <v>100</v>
      </c>
      <c r="G1153" s="31" t="n">
        <v>469</v>
      </c>
      <c r="H1153" s="19" t="n">
        <v>1</v>
      </c>
      <c r="I1153" s="32" t="n">
        <v>0.1</v>
      </c>
      <c r="J1153" s="30" t="s">
        <v>48</v>
      </c>
      <c r="K1153" s="30" t="s">
        <v>47</v>
      </c>
      <c r="L1153" s="30" t="s">
        <v>89</v>
      </c>
      <c r="M1153" s="31" t="n">
        <f aca="false">AVERAGEIF($E$2:$E$1197,E1153,$G$2:$G$1197)</f>
        <v>545.358823529412</v>
      </c>
      <c r="N1153" s="19" t="str">
        <f aca="false">IF(G1153&gt;M1153*3,"نعم","لا")</f>
        <v>لا</v>
      </c>
      <c r="O1153" s="19" t="str">
        <f aca="false">IF(OR(C1153="",ISNUMBER(C1153)),"لا","نعم")</f>
        <v>نعم</v>
      </c>
      <c r="P1153" s="19" t="str">
        <f aca="false">IF(COUNTIF($B$2:B1153,B1153)&gt;1,"مكرر","فريد")</f>
        <v>فريد</v>
      </c>
      <c r="Q1153" s="19" t="str">
        <f aca="false">IF(COUNTBLANK(D1153:L1153)&gt;0,"نعم","لا")</f>
        <v>لا</v>
      </c>
    </row>
    <row r="1154" customFormat="false" ht="15" hidden="false" customHeight="false" outlineLevel="0" collapsed="false">
      <c r="A1154" s="19" t="n">
        <v>1153</v>
      </c>
      <c r="B1154" s="30" t="s">
        <v>405</v>
      </c>
      <c r="C1154" s="44" t="n">
        <v>45378</v>
      </c>
      <c r="D1154" s="30" t="s">
        <v>54</v>
      </c>
      <c r="E1154" s="30" t="s">
        <v>105</v>
      </c>
      <c r="F1154" s="30" t="s">
        <v>85</v>
      </c>
      <c r="G1154" s="31" t="n">
        <v>2919</v>
      </c>
      <c r="H1154" s="19" t="n">
        <v>2</v>
      </c>
      <c r="I1154" s="32" t="n">
        <v>0.15</v>
      </c>
      <c r="J1154" s="30" t="s">
        <v>52</v>
      </c>
      <c r="K1154" s="30" t="s">
        <v>47</v>
      </c>
      <c r="L1154" s="30" t="s">
        <v>94</v>
      </c>
      <c r="M1154" s="31" t="n">
        <f aca="false">AVERAGEIF($E$2:$E$1197,E1154,$G$2:$G$1197)</f>
        <v>2870.26771653543</v>
      </c>
      <c r="N1154" s="19" t="str">
        <f aca="false">IF(G1154&gt;M1154*3,"نعم","لا")</f>
        <v>لا</v>
      </c>
      <c r="O1154" s="19" t="str">
        <f aca="false">IF(OR(C1154="",ISNUMBER(C1154)),"لا","نعم")</f>
        <v>لا</v>
      </c>
      <c r="P1154" s="19" t="str">
        <f aca="false">IF(COUNTIF($B$2:B1154,B1154)&gt;1,"مكرر","فريد")</f>
        <v>فريد</v>
      </c>
      <c r="Q1154" s="19" t="str">
        <f aca="false">IF(COUNTBLANK(D1154:L1154)&gt;0,"نعم","لا")</f>
        <v>لا</v>
      </c>
    </row>
    <row r="1155" customFormat="false" ht="15" hidden="false" customHeight="false" outlineLevel="0" collapsed="false">
      <c r="A1155" s="19" t="n">
        <v>1154</v>
      </c>
      <c r="B1155" s="30" t="s">
        <v>183</v>
      </c>
      <c r="C1155" s="44" t="n">
        <v>45297</v>
      </c>
      <c r="D1155" s="30" t="s">
        <v>1353</v>
      </c>
      <c r="E1155" s="30" t="s">
        <v>107</v>
      </c>
      <c r="F1155" s="30" t="s">
        <v>184</v>
      </c>
      <c r="G1155" s="31" t="n">
        <v>7079</v>
      </c>
      <c r="H1155" s="19" t="n">
        <v>1</v>
      </c>
      <c r="I1155" s="32" t="n">
        <v>0</v>
      </c>
      <c r="J1155" s="30" t="s">
        <v>48</v>
      </c>
      <c r="K1155" s="30" t="s">
        <v>47</v>
      </c>
      <c r="L1155" s="30" t="s">
        <v>76</v>
      </c>
      <c r="M1155" s="31" t="n">
        <f aca="false">AVERAGEIF($E$2:$E$1197,E1155,$G$2:$G$1197)</f>
        <v>4981.14563106796</v>
      </c>
      <c r="N1155" s="19" t="str">
        <f aca="false">IF(G1155&gt;M1155*3,"نعم","لا")</f>
        <v>لا</v>
      </c>
      <c r="O1155" s="19" t="str">
        <f aca="false">IF(OR(C1155="",ISNUMBER(C1155)),"لا","نعم")</f>
        <v>لا</v>
      </c>
      <c r="P1155" s="19" t="str">
        <f aca="false">IF(COUNTIF($B$2:B1155,B1155)&gt;1,"مكرر","فريد")</f>
        <v>فريد</v>
      </c>
      <c r="Q1155" s="19" t="str">
        <f aca="false">IF(COUNTBLANK(D1155:L1155)&gt;0,"نعم","لا")</f>
        <v>لا</v>
      </c>
    </row>
    <row r="1156" customFormat="false" ht="15" hidden="false" customHeight="false" outlineLevel="0" collapsed="false">
      <c r="A1156" s="19" t="n">
        <v>1155</v>
      </c>
      <c r="B1156" s="30" t="s">
        <v>480</v>
      </c>
      <c r="C1156" s="44" t="n">
        <v>45405</v>
      </c>
      <c r="D1156" s="30" t="s">
        <v>50</v>
      </c>
      <c r="E1156" s="30" t="s">
        <v>111</v>
      </c>
      <c r="F1156" s="30" t="s">
        <v>118</v>
      </c>
      <c r="G1156" s="31" t="n">
        <v>359</v>
      </c>
      <c r="H1156" s="19" t="n">
        <v>1</v>
      </c>
      <c r="I1156" s="32" t="n">
        <v>0</v>
      </c>
      <c r="J1156" s="30" t="s">
        <v>48</v>
      </c>
      <c r="K1156" s="30" t="s">
        <v>47</v>
      </c>
      <c r="L1156" s="30" t="s">
        <v>81</v>
      </c>
      <c r="M1156" s="31" t="n">
        <f aca="false">AVERAGEIF($E$2:$E$1197,E1156,$G$2:$G$1197)</f>
        <v>366.306569343066</v>
      </c>
      <c r="N1156" s="19" t="str">
        <f aca="false">IF(G1156&gt;M1156*3,"نعم","لا")</f>
        <v>لا</v>
      </c>
      <c r="O1156" s="19" t="str">
        <f aca="false">IF(OR(C1156="",ISNUMBER(C1156)),"لا","نعم")</f>
        <v>لا</v>
      </c>
      <c r="P1156" s="19" t="str">
        <f aca="false">IF(COUNTIF($B$2:B1156,B1156)&gt;1,"مكرر","فريد")</f>
        <v>فريد</v>
      </c>
      <c r="Q1156" s="19" t="str">
        <f aca="false">IF(COUNTBLANK(D1156:L1156)&gt;0,"نعم","لا")</f>
        <v>لا</v>
      </c>
    </row>
    <row r="1157" customFormat="false" ht="15" hidden="false" customHeight="false" outlineLevel="0" collapsed="false">
      <c r="A1157" s="19" t="n">
        <v>1156</v>
      </c>
      <c r="B1157" s="30" t="s">
        <v>755</v>
      </c>
      <c r="C1157" s="44" t="n">
        <v>45505</v>
      </c>
      <c r="D1157" s="30" t="s">
        <v>60</v>
      </c>
      <c r="E1157" s="30" t="s">
        <v>113</v>
      </c>
      <c r="F1157" s="30" t="s">
        <v>121</v>
      </c>
      <c r="G1157" s="31" t="n">
        <v>169</v>
      </c>
      <c r="H1157" s="19" t="n">
        <v>1</v>
      </c>
      <c r="I1157" s="32" t="n">
        <v>0.05</v>
      </c>
      <c r="J1157" s="30" t="s">
        <v>1348</v>
      </c>
      <c r="K1157" s="30" t="s">
        <v>47</v>
      </c>
      <c r="L1157" s="30" t="s">
        <v>76</v>
      </c>
      <c r="M1157" s="31" t="n">
        <f aca="false">AVERAGEIF($E$2:$E$1197,E1157,$G$2:$G$1197)</f>
        <v>545.358823529412</v>
      </c>
      <c r="N1157" s="19" t="str">
        <f aca="false">IF(G1157&gt;M1157*3,"نعم","لا")</f>
        <v>لا</v>
      </c>
      <c r="O1157" s="19" t="str">
        <f aca="false">IF(OR(C1157="",ISNUMBER(C1157)),"لا","نعم")</f>
        <v>لا</v>
      </c>
      <c r="P1157" s="19" t="str">
        <f aca="false">IF(COUNTIF($B$2:B1157,B1157)&gt;1,"مكرر","فريد")</f>
        <v>فريد</v>
      </c>
      <c r="Q1157" s="19" t="str">
        <f aca="false">IF(COUNTBLANK(D1157:L1157)&gt;0,"نعم","لا")</f>
        <v>لا</v>
      </c>
    </row>
    <row r="1158" customFormat="false" ht="15" hidden="false" customHeight="false" outlineLevel="0" collapsed="false">
      <c r="A1158" s="19" t="n">
        <v>1157</v>
      </c>
      <c r="B1158" s="30" t="s">
        <v>550</v>
      </c>
      <c r="C1158" s="44" t="n">
        <v>45431</v>
      </c>
      <c r="D1158" s="30" t="s">
        <v>60</v>
      </c>
      <c r="E1158" s="30" t="s">
        <v>105</v>
      </c>
      <c r="F1158" s="30" t="s">
        <v>82</v>
      </c>
      <c r="G1158" s="31" t="n">
        <v>2879</v>
      </c>
      <c r="H1158" s="19" t="n">
        <v>3</v>
      </c>
      <c r="I1158" s="32" t="n">
        <v>0</v>
      </c>
      <c r="J1158" s="30" t="s">
        <v>48</v>
      </c>
      <c r="K1158" s="30" t="s">
        <v>47</v>
      </c>
      <c r="L1158" s="30" t="s">
        <v>78</v>
      </c>
      <c r="M1158" s="31" t="n">
        <f aca="false">AVERAGEIF($E$2:$E$1197,E1158,$G$2:$G$1197)</f>
        <v>2870.26771653543</v>
      </c>
      <c r="N1158" s="19" t="str">
        <f aca="false">IF(G1158&gt;M1158*3,"نعم","لا")</f>
        <v>لا</v>
      </c>
      <c r="O1158" s="19" t="str">
        <f aca="false">IF(OR(C1158="",ISNUMBER(C1158)),"لا","نعم")</f>
        <v>لا</v>
      </c>
      <c r="P1158" s="19" t="str">
        <f aca="false">IF(COUNTIF($B$2:B1158,B1158)&gt;1,"مكرر","فريد")</f>
        <v>فريد</v>
      </c>
      <c r="Q1158" s="19" t="str">
        <f aca="false">IF(COUNTBLANK(D1158:L1158)&gt;0,"نعم","لا")</f>
        <v>لا</v>
      </c>
    </row>
    <row r="1159" customFormat="false" ht="15" hidden="false" customHeight="false" outlineLevel="0" collapsed="false">
      <c r="A1159" s="19" t="n">
        <v>1158</v>
      </c>
      <c r="B1159" s="30" t="s">
        <v>336</v>
      </c>
      <c r="C1159" s="44" t="n">
        <v>45357</v>
      </c>
      <c r="D1159" s="30" t="s">
        <v>54</v>
      </c>
      <c r="E1159" s="30" t="s">
        <v>105</v>
      </c>
      <c r="F1159" s="30" t="s">
        <v>82</v>
      </c>
      <c r="G1159" s="31" t="n">
        <v>2969</v>
      </c>
      <c r="H1159" s="19" t="n">
        <v>1</v>
      </c>
      <c r="I1159" s="32" t="n">
        <v>0.1</v>
      </c>
      <c r="J1159" s="30" t="s">
        <v>48</v>
      </c>
      <c r="K1159" s="30" t="s">
        <v>47</v>
      </c>
      <c r="L1159" s="30" t="s">
        <v>99</v>
      </c>
      <c r="M1159" s="31" t="n">
        <f aca="false">AVERAGEIF($E$2:$E$1197,E1159,$G$2:$G$1197)</f>
        <v>2870.26771653543</v>
      </c>
      <c r="N1159" s="19" t="str">
        <f aca="false">IF(G1159&gt;M1159*3,"نعم","لا")</f>
        <v>لا</v>
      </c>
      <c r="O1159" s="19" t="str">
        <f aca="false">IF(OR(C1159="",ISNUMBER(C1159)),"لا","نعم")</f>
        <v>لا</v>
      </c>
      <c r="P1159" s="19" t="str">
        <f aca="false">IF(COUNTIF($B$2:B1159,B1159)&gt;1,"مكرر","فريد")</f>
        <v>فريد</v>
      </c>
      <c r="Q1159" s="19" t="str">
        <f aca="false">IF(COUNTBLANK(D1159:L1159)&gt;0,"نعم","لا")</f>
        <v>لا</v>
      </c>
    </row>
    <row r="1160" customFormat="false" ht="15" hidden="false" customHeight="false" outlineLevel="0" collapsed="false">
      <c r="A1160" s="19" t="n">
        <v>1159</v>
      </c>
      <c r="B1160" s="30" t="s">
        <v>986</v>
      </c>
      <c r="C1160" s="44" t="n">
        <v>45576</v>
      </c>
      <c r="D1160" s="30" t="s">
        <v>50</v>
      </c>
      <c r="E1160" s="30" t="s">
        <v>107</v>
      </c>
      <c r="F1160" s="30" t="s">
        <v>115</v>
      </c>
      <c r="G1160" s="31" t="n">
        <v>4119</v>
      </c>
      <c r="H1160" s="19" t="n">
        <v>1</v>
      </c>
      <c r="I1160" s="32" t="n">
        <v>0.05</v>
      </c>
      <c r="J1160" s="30" t="s">
        <v>52</v>
      </c>
      <c r="K1160" s="30" t="s">
        <v>47</v>
      </c>
      <c r="L1160" s="30" t="s">
        <v>86</v>
      </c>
      <c r="M1160" s="31" t="n">
        <f aca="false">AVERAGEIF($E$2:$E$1197,E1160,$G$2:$G$1197)</f>
        <v>4981.14563106796</v>
      </c>
      <c r="N1160" s="19" t="str">
        <f aca="false">IF(G1160&gt;M1160*3,"نعم","لا")</f>
        <v>لا</v>
      </c>
      <c r="O1160" s="19" t="str">
        <f aca="false">IF(OR(C1160="",ISNUMBER(C1160)),"لا","نعم")</f>
        <v>لا</v>
      </c>
      <c r="P1160" s="19" t="str">
        <f aca="false">IF(COUNTIF($B$2:B1160,B1160)&gt;1,"مكرر","فريد")</f>
        <v>فريد</v>
      </c>
      <c r="Q1160" s="19" t="str">
        <f aca="false">IF(COUNTBLANK(D1160:L1160)&gt;0,"نعم","لا")</f>
        <v>لا</v>
      </c>
    </row>
    <row r="1161" customFormat="false" ht="15" hidden="false" customHeight="false" outlineLevel="0" collapsed="false">
      <c r="A1161" s="19" t="n">
        <v>1160</v>
      </c>
      <c r="B1161" s="30" t="s">
        <v>194</v>
      </c>
      <c r="C1161" s="44" t="n">
        <v>45299</v>
      </c>
      <c r="D1161" s="30" t="s">
        <v>60</v>
      </c>
      <c r="E1161" s="30" t="s">
        <v>105</v>
      </c>
      <c r="F1161" s="30" t="s">
        <v>179</v>
      </c>
      <c r="G1161" s="31" t="n">
        <v>2929</v>
      </c>
      <c r="H1161" s="19" t="n">
        <v>1</v>
      </c>
      <c r="I1161" s="32" t="n">
        <v>0.05</v>
      </c>
      <c r="J1161" s="30" t="s">
        <v>55</v>
      </c>
      <c r="K1161" s="30" t="s">
        <v>47</v>
      </c>
      <c r="L1161" s="30" t="s">
        <v>84</v>
      </c>
      <c r="M1161" s="31" t="n">
        <f aca="false">AVERAGEIF($E$2:$E$1197,E1161,$G$2:$G$1197)</f>
        <v>2870.26771653543</v>
      </c>
      <c r="N1161" s="19" t="str">
        <f aca="false">IF(G1161&gt;M1161*3,"نعم","لا")</f>
        <v>لا</v>
      </c>
      <c r="O1161" s="19" t="str">
        <f aca="false">IF(OR(C1161="",ISNUMBER(C1161)),"لا","نعم")</f>
        <v>لا</v>
      </c>
      <c r="P1161" s="19" t="str">
        <f aca="false">IF(COUNTIF($B$2:B1161,B1161)&gt;1,"مكرر","فريد")</f>
        <v>فريد</v>
      </c>
      <c r="Q1161" s="19" t="str">
        <f aca="false">IF(COUNTBLANK(D1161:L1161)&gt;0,"نعم","لا")</f>
        <v>لا</v>
      </c>
    </row>
    <row r="1162" customFormat="false" ht="15" hidden="false" customHeight="false" outlineLevel="0" collapsed="false">
      <c r="A1162" s="19" t="n">
        <v>1161</v>
      </c>
      <c r="B1162" s="30" t="s">
        <v>802</v>
      </c>
      <c r="C1162" s="44" t="n">
        <v>45516</v>
      </c>
      <c r="D1162" s="30" t="s">
        <v>50</v>
      </c>
      <c r="E1162" s="30" t="s">
        <v>107</v>
      </c>
      <c r="F1162" s="30" t="s">
        <v>272</v>
      </c>
      <c r="G1162" s="31" t="n">
        <v>6049</v>
      </c>
      <c r="H1162" s="19" t="n">
        <v>5</v>
      </c>
      <c r="I1162" s="32" t="n">
        <v>0</v>
      </c>
      <c r="J1162" s="30" t="s">
        <v>55</v>
      </c>
      <c r="K1162" s="30" t="s">
        <v>51</v>
      </c>
      <c r="L1162" s="30" t="s">
        <v>84</v>
      </c>
      <c r="M1162" s="31" t="n">
        <f aca="false">AVERAGEIF($E$2:$E$1197,E1162,$G$2:$G$1197)</f>
        <v>4981.14563106796</v>
      </c>
      <c r="N1162" s="19" t="str">
        <f aca="false">IF(G1162&gt;M1162*3,"نعم","لا")</f>
        <v>لا</v>
      </c>
      <c r="O1162" s="19" t="str">
        <f aca="false">IF(OR(C1162="",ISNUMBER(C1162)),"لا","نعم")</f>
        <v>لا</v>
      </c>
      <c r="P1162" s="19" t="str">
        <f aca="false">IF(COUNTIF($B$2:B1162,B1162)&gt;1,"مكرر","فريد")</f>
        <v>فريد</v>
      </c>
      <c r="Q1162" s="19" t="str">
        <f aca="false">IF(COUNTBLANK(D1162:L1162)&gt;0,"نعم","لا")</f>
        <v>لا</v>
      </c>
    </row>
    <row r="1163" customFormat="false" ht="15" hidden="false" customHeight="false" outlineLevel="0" collapsed="false">
      <c r="A1163" s="19" t="n">
        <v>1162</v>
      </c>
      <c r="B1163" s="30" t="s">
        <v>481</v>
      </c>
      <c r="C1163" s="44" t="n">
        <v>45406</v>
      </c>
      <c r="D1163" s="30" t="s">
        <v>50</v>
      </c>
      <c r="E1163" s="30" t="s">
        <v>107</v>
      </c>
      <c r="F1163" s="30" t="s">
        <v>184</v>
      </c>
      <c r="G1163" s="31" t="n">
        <v>2289</v>
      </c>
      <c r="H1163" s="19"/>
      <c r="I1163" s="32" t="n">
        <v>0.1</v>
      </c>
      <c r="J1163" s="30" t="s">
        <v>52</v>
      </c>
      <c r="K1163" s="30" t="s">
        <v>47</v>
      </c>
      <c r="L1163" s="30" t="s">
        <v>81</v>
      </c>
      <c r="M1163" s="31" t="n">
        <f aca="false">AVERAGEIF($E$2:$E$1197,E1163,$G$2:$G$1197)</f>
        <v>4981.14563106796</v>
      </c>
      <c r="N1163" s="19" t="str">
        <f aca="false">IF(G1163&gt;M1163*3,"نعم","لا")</f>
        <v>لا</v>
      </c>
      <c r="O1163" s="19" t="str">
        <f aca="false">IF(OR(C1163="",ISNUMBER(C1163)),"لا","نعم")</f>
        <v>لا</v>
      </c>
      <c r="P1163" s="19" t="str">
        <f aca="false">IF(COUNTIF($B$2:B1163,B1163)&gt;1,"مكرر","فريد")</f>
        <v>مكرر</v>
      </c>
      <c r="Q1163" s="19" t="str">
        <f aca="false">IF(COUNTBLANK(D1163:L1163)&gt;0,"نعم","لا")</f>
        <v>نعم</v>
      </c>
    </row>
    <row r="1164" customFormat="false" ht="15" hidden="false" customHeight="false" outlineLevel="0" collapsed="false">
      <c r="A1164" s="19" t="n">
        <v>1163</v>
      </c>
      <c r="B1164" s="30" t="s">
        <v>980</v>
      </c>
      <c r="C1164" s="44" t="n">
        <v>45574</v>
      </c>
      <c r="D1164" s="30" t="s">
        <v>57</v>
      </c>
      <c r="E1164" s="30" t="s">
        <v>105</v>
      </c>
      <c r="F1164" s="30" t="s">
        <v>90</v>
      </c>
      <c r="G1164" s="31" t="n">
        <v>3059</v>
      </c>
      <c r="H1164" s="19" t="n">
        <v>2</v>
      </c>
      <c r="I1164" s="32" t="n">
        <v>0.05</v>
      </c>
      <c r="J1164" s="30" t="s">
        <v>58</v>
      </c>
      <c r="K1164" s="30" t="s">
        <v>47</v>
      </c>
      <c r="L1164" s="30" t="s">
        <v>86</v>
      </c>
      <c r="M1164" s="31" t="n">
        <f aca="false">AVERAGEIF($E$2:$E$1197,E1164,$G$2:$G$1197)</f>
        <v>2870.26771653543</v>
      </c>
      <c r="N1164" s="19" t="str">
        <f aca="false">IF(G1164&gt;M1164*3,"نعم","لا")</f>
        <v>لا</v>
      </c>
      <c r="O1164" s="19" t="str">
        <f aca="false">IF(OR(C1164="",ISNUMBER(C1164)),"لا","نعم")</f>
        <v>لا</v>
      </c>
      <c r="P1164" s="19" t="str">
        <f aca="false">IF(COUNTIF($B$2:B1164,B1164)&gt;1,"مكرر","فريد")</f>
        <v>فريد</v>
      </c>
      <c r="Q1164" s="19" t="str">
        <f aca="false">IF(COUNTBLANK(D1164:L1164)&gt;0,"نعم","لا")</f>
        <v>لا</v>
      </c>
    </row>
    <row r="1165" customFormat="false" ht="15" hidden="false" customHeight="false" outlineLevel="0" collapsed="false">
      <c r="A1165" s="19" t="n">
        <v>1164</v>
      </c>
      <c r="B1165" s="30" t="s">
        <v>1500</v>
      </c>
      <c r="C1165" s="44" t="n">
        <v>45493</v>
      </c>
      <c r="D1165" s="30" t="s">
        <v>54</v>
      </c>
      <c r="E1165" s="30" t="s">
        <v>105</v>
      </c>
      <c r="F1165" s="30" t="s">
        <v>179</v>
      </c>
      <c r="G1165" s="31" t="n">
        <v>1739</v>
      </c>
      <c r="H1165" s="19" t="n">
        <v>0</v>
      </c>
      <c r="I1165" s="32" t="n">
        <v>0</v>
      </c>
      <c r="J1165" s="30" t="s">
        <v>48</v>
      </c>
      <c r="K1165" s="30" t="s">
        <v>47</v>
      </c>
      <c r="L1165" s="30" t="s">
        <v>94</v>
      </c>
      <c r="M1165" s="31" t="n">
        <f aca="false">AVERAGEIF($E$2:$E$1197,E1165,$G$2:$G$1197)</f>
        <v>2870.26771653543</v>
      </c>
      <c r="N1165" s="19" t="str">
        <f aca="false">IF(G1165&gt;M1165*3,"نعم","لا")</f>
        <v>لا</v>
      </c>
      <c r="O1165" s="19" t="str">
        <f aca="false">IF(OR(C1165="",ISNUMBER(C1165)),"لا","نعم")</f>
        <v>لا</v>
      </c>
      <c r="P1165" s="19" t="str">
        <f aca="false">IF(COUNTIF($B$2:B1165,B1165)&gt;1,"مكرر","فريد")</f>
        <v>فريد</v>
      </c>
      <c r="Q1165" s="19" t="str">
        <f aca="false">IF(COUNTBLANK(D1165:L1165)&gt;0,"نعم","لا")</f>
        <v>لا</v>
      </c>
    </row>
    <row r="1166" customFormat="false" ht="15" hidden="false" customHeight="false" outlineLevel="0" collapsed="false">
      <c r="A1166" s="19" t="n">
        <v>1165</v>
      </c>
      <c r="B1166" s="30" t="s">
        <v>664</v>
      </c>
      <c r="C1166" s="44" t="n">
        <v>45473</v>
      </c>
      <c r="D1166" s="30" t="s">
        <v>50</v>
      </c>
      <c r="E1166" s="30" t="s">
        <v>107</v>
      </c>
      <c r="F1166" s="30" t="s">
        <v>272</v>
      </c>
      <c r="G1166" s="31" t="n">
        <v>6469</v>
      </c>
      <c r="H1166" s="19" t="n">
        <v>2</v>
      </c>
      <c r="I1166" s="32" t="n">
        <v>0.15</v>
      </c>
      <c r="J1166" s="30" t="s">
        <v>58</v>
      </c>
      <c r="K1166" s="30" t="s">
        <v>47</v>
      </c>
      <c r="L1166" s="30" t="s">
        <v>99</v>
      </c>
      <c r="M1166" s="31" t="n">
        <f aca="false">AVERAGEIF($E$2:$E$1197,E1166,$G$2:$G$1197)</f>
        <v>4981.14563106796</v>
      </c>
      <c r="N1166" s="19" t="str">
        <f aca="false">IF(G1166&gt;M1166*3,"نعم","لا")</f>
        <v>لا</v>
      </c>
      <c r="O1166" s="19" t="str">
        <f aca="false">IF(OR(C1166="",ISNUMBER(C1166)),"لا","نعم")</f>
        <v>لا</v>
      </c>
      <c r="P1166" s="19" t="str">
        <f aca="false">IF(COUNTIF($B$2:B1166,B1166)&gt;1,"مكرر","فريد")</f>
        <v>مكرر</v>
      </c>
      <c r="Q1166" s="19" t="str">
        <f aca="false">IF(COUNTBLANK(D1166:L1166)&gt;0,"نعم","لا")</f>
        <v>لا</v>
      </c>
    </row>
    <row r="1167" customFormat="false" ht="15" hidden="false" customHeight="false" outlineLevel="0" collapsed="false">
      <c r="A1167" s="19" t="n">
        <v>1166</v>
      </c>
      <c r="B1167" s="30" t="s">
        <v>839</v>
      </c>
      <c r="C1167" s="44" t="n">
        <v>45526</v>
      </c>
      <c r="D1167" s="30" t="s">
        <v>54</v>
      </c>
      <c r="E1167" s="30" t="s">
        <v>109</v>
      </c>
      <c r="F1167" s="30" t="s">
        <v>192</v>
      </c>
      <c r="G1167" s="31" t="n">
        <v>179</v>
      </c>
      <c r="H1167" s="19" t="n">
        <v>2</v>
      </c>
      <c r="I1167" s="32" t="n">
        <v>0.05</v>
      </c>
      <c r="J1167" s="30" t="s">
        <v>52</v>
      </c>
      <c r="K1167" s="30" t="s">
        <v>47</v>
      </c>
      <c r="L1167" s="30" t="s">
        <v>86</v>
      </c>
      <c r="M1167" s="31" t="n">
        <f aca="false">AVERAGEIF($E$2:$E$1197,E1167,$G$2:$G$1197)</f>
        <v>186.056291390729</v>
      </c>
      <c r="N1167" s="19" t="str">
        <f aca="false">IF(G1167&gt;M1167*3,"نعم","لا")</f>
        <v>لا</v>
      </c>
      <c r="O1167" s="19" t="str">
        <f aca="false">IF(OR(C1167="",ISNUMBER(C1167)),"لا","نعم")</f>
        <v>لا</v>
      </c>
      <c r="P1167" s="19" t="str">
        <f aca="false">IF(COUNTIF($B$2:B1167,B1167)&gt;1,"مكرر","فريد")</f>
        <v>فريد</v>
      </c>
      <c r="Q1167" s="19" t="str">
        <f aca="false">IF(COUNTBLANK(D1167:L1167)&gt;0,"نعم","لا")</f>
        <v>لا</v>
      </c>
    </row>
    <row r="1168" customFormat="false" ht="15" hidden="false" customHeight="false" outlineLevel="0" collapsed="false">
      <c r="A1168" s="19" t="n">
        <v>1167</v>
      </c>
      <c r="B1168" s="30" t="s">
        <v>1100</v>
      </c>
      <c r="C1168" s="44" t="n">
        <v>45607</v>
      </c>
      <c r="D1168" s="30" t="s">
        <v>50</v>
      </c>
      <c r="E1168" s="30" t="s">
        <v>111</v>
      </c>
      <c r="F1168" s="30" t="s">
        <v>118</v>
      </c>
      <c r="G1168" s="31" t="n">
        <v>209</v>
      </c>
      <c r="H1168" s="19" t="n">
        <v>1</v>
      </c>
      <c r="I1168" s="32"/>
      <c r="J1168" s="30" t="s">
        <v>52</v>
      </c>
      <c r="K1168" s="30" t="s">
        <v>47</v>
      </c>
      <c r="L1168" s="30" t="s">
        <v>81</v>
      </c>
      <c r="M1168" s="31" t="n">
        <f aca="false">AVERAGEIF($E$2:$E$1197,E1168,$G$2:$G$1197)</f>
        <v>366.306569343066</v>
      </c>
      <c r="N1168" s="19" t="str">
        <f aca="false">IF(G1168&gt;M1168*3,"نعم","لا")</f>
        <v>لا</v>
      </c>
      <c r="O1168" s="19" t="str">
        <f aca="false">IF(OR(C1168="",ISNUMBER(C1168)),"لا","نعم")</f>
        <v>لا</v>
      </c>
      <c r="P1168" s="19" t="str">
        <f aca="false">IF(COUNTIF($B$2:B1168,B1168)&gt;1,"مكرر","فريد")</f>
        <v>فريد</v>
      </c>
      <c r="Q1168" s="19" t="str">
        <f aca="false">IF(COUNTBLANK(D1168:L1168)&gt;0,"نعم","لا")</f>
        <v>نعم</v>
      </c>
    </row>
    <row r="1169" customFormat="false" ht="15" hidden="false" customHeight="false" outlineLevel="0" collapsed="false">
      <c r="A1169" s="19" t="n">
        <v>1168</v>
      </c>
      <c r="B1169" s="30" t="s">
        <v>358</v>
      </c>
      <c r="C1169" s="44" t="n">
        <v>45363</v>
      </c>
      <c r="D1169" s="30" t="s">
        <v>46</v>
      </c>
      <c r="E1169" s="30" t="s">
        <v>109</v>
      </c>
      <c r="F1169" s="30" t="s">
        <v>110</v>
      </c>
      <c r="G1169" s="31" t="n">
        <v>129</v>
      </c>
      <c r="H1169" s="19" t="n">
        <v>2</v>
      </c>
      <c r="I1169" s="32" t="n">
        <v>0</v>
      </c>
      <c r="J1169" s="30" t="s">
        <v>58</v>
      </c>
      <c r="K1169" s="30" t="s">
        <v>47</v>
      </c>
      <c r="L1169" s="30" t="s">
        <v>89</v>
      </c>
      <c r="M1169" s="31" t="n">
        <f aca="false">AVERAGEIF($E$2:$E$1197,E1169,$G$2:$G$1197)</f>
        <v>186.056291390729</v>
      </c>
      <c r="N1169" s="19" t="str">
        <f aca="false">IF(G1169&gt;M1169*3,"نعم","لا")</f>
        <v>لا</v>
      </c>
      <c r="O1169" s="19" t="str">
        <f aca="false">IF(OR(C1169="",ISNUMBER(C1169)),"لا","نعم")</f>
        <v>لا</v>
      </c>
      <c r="P1169" s="19" t="str">
        <f aca="false">IF(COUNTIF($B$2:B1169,B1169)&gt;1,"مكرر","فريد")</f>
        <v>فريد</v>
      </c>
      <c r="Q1169" s="19" t="str">
        <f aca="false">IF(COUNTBLANK(D1169:L1169)&gt;0,"نعم","لا")</f>
        <v>لا</v>
      </c>
    </row>
    <row r="1170" customFormat="false" ht="15" hidden="false" customHeight="false" outlineLevel="0" collapsed="false">
      <c r="A1170" s="19" t="n">
        <v>1169</v>
      </c>
      <c r="B1170" s="30" t="s">
        <v>1120</v>
      </c>
      <c r="C1170" s="44" t="n">
        <v>45612</v>
      </c>
      <c r="D1170" s="30" t="s">
        <v>1361</v>
      </c>
      <c r="E1170" s="30" t="s">
        <v>107</v>
      </c>
      <c r="F1170" s="30" t="s">
        <v>184</v>
      </c>
      <c r="G1170" s="31" t="n">
        <v>6309</v>
      </c>
      <c r="H1170" s="19" t="n">
        <v>1</v>
      </c>
      <c r="I1170" s="32" t="n">
        <v>0.15</v>
      </c>
      <c r="J1170" s="30" t="s">
        <v>55</v>
      </c>
      <c r="K1170" s="30" t="s">
        <v>47</v>
      </c>
      <c r="L1170" s="30" t="s">
        <v>99</v>
      </c>
      <c r="M1170" s="31" t="n">
        <f aca="false">AVERAGEIF($E$2:$E$1197,E1170,$G$2:$G$1197)</f>
        <v>4981.14563106796</v>
      </c>
      <c r="N1170" s="19" t="str">
        <f aca="false">IF(G1170&gt;M1170*3,"نعم","لا")</f>
        <v>لا</v>
      </c>
      <c r="O1170" s="19" t="str">
        <f aca="false">IF(OR(C1170="",ISNUMBER(C1170)),"لا","نعم")</f>
        <v>لا</v>
      </c>
      <c r="P1170" s="19" t="str">
        <f aca="false">IF(COUNTIF($B$2:B1170,B1170)&gt;1,"مكرر","فريد")</f>
        <v>فريد</v>
      </c>
      <c r="Q1170" s="19" t="str">
        <f aca="false">IF(COUNTBLANK(D1170:L1170)&gt;0,"نعم","لا")</f>
        <v>لا</v>
      </c>
    </row>
    <row r="1171" customFormat="false" ht="15" hidden="false" customHeight="false" outlineLevel="0" collapsed="false">
      <c r="A1171" s="19" t="n">
        <v>1170</v>
      </c>
      <c r="B1171" s="30" t="s">
        <v>850</v>
      </c>
      <c r="C1171" s="44" t="n">
        <v>45529</v>
      </c>
      <c r="D1171" s="30" t="s">
        <v>60</v>
      </c>
      <c r="E1171" s="30" t="s">
        <v>111</v>
      </c>
      <c r="F1171" s="30" t="s">
        <v>1386</v>
      </c>
      <c r="G1171" s="31" t="n">
        <v>389</v>
      </c>
      <c r="H1171" s="19" t="n">
        <v>1</v>
      </c>
      <c r="I1171" s="32" t="n">
        <v>0.05</v>
      </c>
      <c r="J1171" s="30" t="s">
        <v>52</v>
      </c>
      <c r="K1171" s="30" t="s">
        <v>47</v>
      </c>
      <c r="L1171" s="30" t="s">
        <v>84</v>
      </c>
      <c r="M1171" s="31" t="n">
        <f aca="false">AVERAGEIF($E$2:$E$1197,E1171,$G$2:$G$1197)</f>
        <v>366.306569343066</v>
      </c>
      <c r="N1171" s="19" t="str">
        <f aca="false">IF(G1171&gt;M1171*3,"نعم","لا")</f>
        <v>لا</v>
      </c>
      <c r="O1171" s="19" t="str">
        <f aca="false">IF(OR(C1171="",ISNUMBER(C1171)),"لا","نعم")</f>
        <v>لا</v>
      </c>
      <c r="P1171" s="19" t="str">
        <f aca="false">IF(COUNTIF($B$2:B1171,B1171)&gt;1,"مكرر","فريد")</f>
        <v>فريد</v>
      </c>
      <c r="Q1171" s="19" t="str">
        <f aca="false">IF(COUNTBLANK(D1171:L1171)&gt;0,"نعم","لا")</f>
        <v>لا</v>
      </c>
    </row>
    <row r="1172" customFormat="false" ht="15" hidden="false" customHeight="false" outlineLevel="0" collapsed="false">
      <c r="A1172" s="19" t="n">
        <v>1171</v>
      </c>
      <c r="B1172" s="30" t="s">
        <v>672</v>
      </c>
      <c r="C1172" s="30" t="s">
        <v>1501</v>
      </c>
      <c r="D1172" s="30" t="s">
        <v>50</v>
      </c>
      <c r="E1172" s="30" t="s">
        <v>109</v>
      </c>
      <c r="F1172" s="30" t="s">
        <v>192</v>
      </c>
      <c r="G1172" s="31" t="n">
        <v>249</v>
      </c>
      <c r="H1172" s="19" t="n">
        <v>10</v>
      </c>
      <c r="I1172" s="32" t="n">
        <v>0.1</v>
      </c>
      <c r="J1172" s="30" t="s">
        <v>48</v>
      </c>
      <c r="K1172" s="30" t="s">
        <v>51</v>
      </c>
      <c r="L1172" s="30" t="s">
        <v>76</v>
      </c>
      <c r="M1172" s="31" t="n">
        <f aca="false">AVERAGEIF($E$2:$E$1197,E1172,$G$2:$G$1197)</f>
        <v>186.056291390729</v>
      </c>
      <c r="N1172" s="19" t="str">
        <f aca="false">IF(G1172&gt;M1172*3,"نعم","لا")</f>
        <v>لا</v>
      </c>
      <c r="O1172" s="19" t="str">
        <f aca="false">IF(OR(C1172="",ISNUMBER(C1172)),"لا","نعم")</f>
        <v>نعم</v>
      </c>
      <c r="P1172" s="19" t="str">
        <f aca="false">IF(COUNTIF($B$2:B1172,B1172)&gt;1,"مكرر","فريد")</f>
        <v>فريد</v>
      </c>
      <c r="Q1172" s="19" t="str">
        <f aca="false">IF(COUNTBLANK(D1172:L1172)&gt;0,"نعم","لا")</f>
        <v>لا</v>
      </c>
    </row>
    <row r="1173" customFormat="false" ht="15" hidden="false" customHeight="false" outlineLevel="0" collapsed="false">
      <c r="A1173" s="19" t="n">
        <v>1172</v>
      </c>
      <c r="B1173" s="30" t="s">
        <v>1225</v>
      </c>
      <c r="C1173" s="44" t="n">
        <v>45637</v>
      </c>
      <c r="D1173" s="30" t="s">
        <v>50</v>
      </c>
      <c r="E1173" s="30" t="s">
        <v>113</v>
      </c>
      <c r="F1173" s="30" t="s">
        <v>121</v>
      </c>
      <c r="G1173" s="31" t="n">
        <v>409</v>
      </c>
      <c r="H1173" s="19" t="n">
        <v>1</v>
      </c>
      <c r="I1173" s="32" t="n">
        <v>0.1</v>
      </c>
      <c r="J1173" s="30" t="s">
        <v>48</v>
      </c>
      <c r="K1173" s="30" t="s">
        <v>47</v>
      </c>
      <c r="L1173" s="30" t="s">
        <v>96</v>
      </c>
      <c r="M1173" s="31" t="n">
        <f aca="false">AVERAGEIF($E$2:$E$1197,E1173,$G$2:$G$1197)</f>
        <v>545.358823529412</v>
      </c>
      <c r="N1173" s="19" t="str">
        <f aca="false">IF(G1173&gt;M1173*3,"نعم","لا")</f>
        <v>لا</v>
      </c>
      <c r="O1173" s="19" t="str">
        <f aca="false">IF(OR(C1173="",ISNUMBER(C1173)),"لا","نعم")</f>
        <v>لا</v>
      </c>
      <c r="P1173" s="19" t="str">
        <f aca="false">IF(COUNTIF($B$2:B1173,B1173)&gt;1,"مكرر","فريد")</f>
        <v>فريد</v>
      </c>
      <c r="Q1173" s="19" t="str">
        <f aca="false">IF(COUNTBLANK(D1173:L1173)&gt;0,"نعم","لا")</f>
        <v>لا</v>
      </c>
    </row>
    <row r="1174" customFormat="false" ht="15" hidden="false" customHeight="false" outlineLevel="0" collapsed="false">
      <c r="A1174" s="19" t="n">
        <v>1173</v>
      </c>
      <c r="B1174" s="30" t="s">
        <v>635</v>
      </c>
      <c r="C1174" s="44" t="n">
        <v>45463</v>
      </c>
      <c r="D1174" s="30" t="s">
        <v>54</v>
      </c>
      <c r="E1174" s="30" t="s">
        <v>105</v>
      </c>
      <c r="F1174" s="30" t="s">
        <v>82</v>
      </c>
      <c r="G1174" s="31" t="n">
        <v>3799</v>
      </c>
      <c r="H1174" s="19" t="n">
        <v>1</v>
      </c>
      <c r="I1174" s="32" t="n">
        <v>0</v>
      </c>
      <c r="J1174" s="30" t="s">
        <v>48</v>
      </c>
      <c r="K1174" s="30" t="s">
        <v>47</v>
      </c>
      <c r="L1174" s="30" t="s">
        <v>76</v>
      </c>
      <c r="M1174" s="31" t="n">
        <f aca="false">AVERAGEIF($E$2:$E$1197,E1174,$G$2:$G$1197)</f>
        <v>2870.26771653543</v>
      </c>
      <c r="N1174" s="19" t="str">
        <f aca="false">IF(G1174&gt;M1174*3,"نعم","لا")</f>
        <v>لا</v>
      </c>
      <c r="O1174" s="19" t="str">
        <f aca="false">IF(OR(C1174="",ISNUMBER(C1174)),"لا","نعم")</f>
        <v>لا</v>
      </c>
      <c r="P1174" s="19" t="str">
        <f aca="false">IF(COUNTIF($B$2:B1174,B1174)&gt;1,"مكرر","فريد")</f>
        <v>فريد</v>
      </c>
      <c r="Q1174" s="19" t="str">
        <f aca="false">IF(COUNTBLANK(D1174:L1174)&gt;0,"نعم","لا")</f>
        <v>لا</v>
      </c>
    </row>
    <row r="1175" customFormat="false" ht="15" hidden="false" customHeight="false" outlineLevel="0" collapsed="false">
      <c r="A1175" s="19" t="n">
        <v>1174</v>
      </c>
      <c r="B1175" s="30" t="s">
        <v>1000</v>
      </c>
      <c r="C1175" s="44" t="n">
        <v>45584</v>
      </c>
      <c r="D1175" s="30" t="s">
        <v>1450</v>
      </c>
      <c r="E1175" s="30" t="s">
        <v>111</v>
      </c>
      <c r="F1175" s="30" t="s">
        <v>122</v>
      </c>
      <c r="G1175" s="31" t="n">
        <v>129</v>
      </c>
      <c r="H1175" s="19" t="n">
        <v>1</v>
      </c>
      <c r="I1175" s="32" t="n">
        <v>0.1</v>
      </c>
      <c r="J1175" s="30" t="s">
        <v>55</v>
      </c>
      <c r="K1175" s="30" t="s">
        <v>47</v>
      </c>
      <c r="L1175" s="30" t="s">
        <v>94</v>
      </c>
      <c r="M1175" s="31" t="n">
        <f aca="false">AVERAGEIF($E$2:$E$1197,E1175,$G$2:$G$1197)</f>
        <v>366.306569343066</v>
      </c>
      <c r="N1175" s="19" t="str">
        <f aca="false">IF(G1175&gt;M1175*3,"نعم","لا")</f>
        <v>لا</v>
      </c>
      <c r="O1175" s="19" t="str">
        <f aca="false">IF(OR(C1175="",ISNUMBER(C1175)),"لا","نعم")</f>
        <v>لا</v>
      </c>
      <c r="P1175" s="19" t="str">
        <f aca="false">IF(COUNTIF($B$2:B1175,B1175)&gt;1,"مكرر","فريد")</f>
        <v>فريد</v>
      </c>
      <c r="Q1175" s="19" t="str">
        <f aca="false">IF(COUNTBLANK(D1175:L1175)&gt;0,"نعم","لا")</f>
        <v>لا</v>
      </c>
    </row>
    <row r="1176" customFormat="false" ht="15" hidden="false" customHeight="false" outlineLevel="0" collapsed="false">
      <c r="A1176" s="19" t="n">
        <v>1175</v>
      </c>
      <c r="B1176" s="30" t="s">
        <v>898</v>
      </c>
      <c r="C1176" s="44" t="n">
        <v>45544</v>
      </c>
      <c r="D1176" s="30" t="s">
        <v>60</v>
      </c>
      <c r="E1176" s="30" t="s">
        <v>105</v>
      </c>
      <c r="F1176" s="30" t="s">
        <v>179</v>
      </c>
      <c r="G1176" s="31" t="n">
        <v>1719</v>
      </c>
      <c r="H1176" s="19" t="n">
        <v>8</v>
      </c>
      <c r="I1176" s="32" t="n">
        <v>0.1</v>
      </c>
      <c r="J1176" s="30" t="s">
        <v>55</v>
      </c>
      <c r="K1176" s="30" t="s">
        <v>51</v>
      </c>
      <c r="L1176" s="30" t="s">
        <v>86</v>
      </c>
      <c r="M1176" s="31" t="n">
        <f aca="false">AVERAGEIF($E$2:$E$1197,E1176,$G$2:$G$1197)</f>
        <v>2870.26771653543</v>
      </c>
      <c r="N1176" s="19" t="str">
        <f aca="false">IF(G1176&gt;M1176*3,"نعم","لا")</f>
        <v>لا</v>
      </c>
      <c r="O1176" s="19" t="str">
        <f aca="false">IF(OR(C1176="",ISNUMBER(C1176)),"لا","نعم")</f>
        <v>لا</v>
      </c>
      <c r="P1176" s="19" t="str">
        <f aca="false">IF(COUNTIF($B$2:B1176,B1176)&gt;1,"مكرر","فريد")</f>
        <v>فريد</v>
      </c>
      <c r="Q1176" s="19" t="str">
        <f aca="false">IF(COUNTBLANK(D1176:L1176)&gt;0,"نعم","لا")</f>
        <v>لا</v>
      </c>
    </row>
    <row r="1177" customFormat="false" ht="15" hidden="false" customHeight="false" outlineLevel="0" collapsed="false">
      <c r="A1177" s="19" t="n">
        <v>1176</v>
      </c>
      <c r="B1177" s="30" t="s">
        <v>418</v>
      </c>
      <c r="C1177" s="44" t="n">
        <v>45380</v>
      </c>
      <c r="D1177" s="30" t="s">
        <v>50</v>
      </c>
      <c r="E1177" s="30" t="s">
        <v>111</v>
      </c>
      <c r="F1177" s="30" t="s">
        <v>108</v>
      </c>
      <c r="G1177" s="31" t="n">
        <v>489</v>
      </c>
      <c r="H1177" s="19" t="n">
        <v>2</v>
      </c>
      <c r="I1177" s="32" t="n">
        <v>0.1</v>
      </c>
      <c r="J1177" s="30" t="s">
        <v>52</v>
      </c>
      <c r="K1177" s="30" t="s">
        <v>47</v>
      </c>
      <c r="L1177" s="30" t="s">
        <v>84</v>
      </c>
      <c r="M1177" s="31" t="n">
        <f aca="false">AVERAGEIF($E$2:$E$1197,E1177,$G$2:$G$1197)</f>
        <v>366.306569343066</v>
      </c>
      <c r="N1177" s="19" t="str">
        <f aca="false">IF(G1177&gt;M1177*3,"نعم","لا")</f>
        <v>لا</v>
      </c>
      <c r="O1177" s="19" t="str">
        <f aca="false">IF(OR(C1177="",ISNUMBER(C1177)),"لا","نعم")</f>
        <v>لا</v>
      </c>
      <c r="P1177" s="19" t="str">
        <f aca="false">IF(COUNTIF($B$2:B1177,B1177)&gt;1,"مكرر","فريد")</f>
        <v>فريد</v>
      </c>
      <c r="Q1177" s="19" t="str">
        <f aca="false">IF(COUNTBLANK(D1177:L1177)&gt;0,"نعم","لا")</f>
        <v>لا</v>
      </c>
    </row>
    <row r="1178" customFormat="false" ht="15" hidden="false" customHeight="false" outlineLevel="0" collapsed="false">
      <c r="A1178" s="19" t="n">
        <v>1177</v>
      </c>
      <c r="B1178" s="30" t="s">
        <v>191</v>
      </c>
      <c r="C1178" s="44" t="n">
        <v>45299</v>
      </c>
      <c r="D1178" s="30" t="s">
        <v>50</v>
      </c>
      <c r="E1178" s="30" t="s">
        <v>109</v>
      </c>
      <c r="F1178" s="30" t="s">
        <v>192</v>
      </c>
      <c r="G1178" s="31" t="n">
        <v>279</v>
      </c>
      <c r="H1178" s="19" t="n">
        <v>1</v>
      </c>
      <c r="I1178" s="32"/>
      <c r="J1178" s="30" t="s">
        <v>48</v>
      </c>
      <c r="K1178" s="30" t="s">
        <v>47</v>
      </c>
      <c r="L1178" s="30" t="s">
        <v>76</v>
      </c>
      <c r="M1178" s="31" t="n">
        <f aca="false">AVERAGEIF($E$2:$E$1197,E1178,$G$2:$G$1197)</f>
        <v>186.056291390729</v>
      </c>
      <c r="N1178" s="19" t="str">
        <f aca="false">IF(G1178&gt;M1178*3,"نعم","لا")</f>
        <v>لا</v>
      </c>
      <c r="O1178" s="19" t="str">
        <f aca="false">IF(OR(C1178="",ISNUMBER(C1178)),"لا","نعم")</f>
        <v>لا</v>
      </c>
      <c r="P1178" s="19" t="str">
        <f aca="false">IF(COUNTIF($B$2:B1178,B1178)&gt;1,"مكرر","فريد")</f>
        <v>فريد</v>
      </c>
      <c r="Q1178" s="19" t="str">
        <f aca="false">IF(COUNTBLANK(D1178:L1178)&gt;0,"نعم","لا")</f>
        <v>نعم</v>
      </c>
    </row>
    <row r="1179" customFormat="false" ht="15" hidden="false" customHeight="false" outlineLevel="0" collapsed="false">
      <c r="A1179" s="19" t="n">
        <v>1178</v>
      </c>
      <c r="B1179" s="30" t="s">
        <v>618</v>
      </c>
      <c r="C1179" s="30" t="s">
        <v>1421</v>
      </c>
      <c r="D1179" s="30" t="s">
        <v>54</v>
      </c>
      <c r="E1179" s="30" t="s">
        <v>107</v>
      </c>
      <c r="F1179" s="30" t="s">
        <v>184</v>
      </c>
      <c r="G1179" s="31" t="n">
        <v>5389</v>
      </c>
      <c r="H1179" s="19" t="n">
        <v>1</v>
      </c>
      <c r="I1179" s="32" t="n">
        <v>0.05</v>
      </c>
      <c r="J1179" s="30" t="s">
        <v>52</v>
      </c>
      <c r="K1179" s="30" t="s">
        <v>47</v>
      </c>
      <c r="L1179" s="30" t="s">
        <v>92</v>
      </c>
      <c r="M1179" s="31" t="n">
        <f aca="false">AVERAGEIF($E$2:$E$1197,E1179,$G$2:$G$1197)</f>
        <v>4981.14563106796</v>
      </c>
      <c r="N1179" s="19" t="str">
        <f aca="false">IF(G1179&gt;M1179*3,"نعم","لا")</f>
        <v>لا</v>
      </c>
      <c r="O1179" s="19" t="str">
        <f aca="false">IF(OR(C1179="",ISNUMBER(C1179)),"لا","نعم")</f>
        <v>نعم</v>
      </c>
      <c r="P1179" s="19" t="str">
        <f aca="false">IF(COUNTIF($B$2:B1179,B1179)&gt;1,"مكرر","فريد")</f>
        <v>فريد</v>
      </c>
      <c r="Q1179" s="19" t="str">
        <f aca="false">IF(COUNTBLANK(D1179:L1179)&gt;0,"نعم","لا")</f>
        <v>لا</v>
      </c>
    </row>
    <row r="1180" customFormat="false" ht="15" hidden="false" customHeight="false" outlineLevel="0" collapsed="false">
      <c r="A1180" s="19" t="n">
        <v>1179</v>
      </c>
      <c r="B1180" s="30" t="s">
        <v>443</v>
      </c>
      <c r="C1180" s="44" t="n">
        <v>45388</v>
      </c>
      <c r="D1180" s="30" t="s">
        <v>46</v>
      </c>
      <c r="E1180" s="30" t="s">
        <v>109</v>
      </c>
      <c r="F1180" s="30" t="s">
        <v>171</v>
      </c>
      <c r="G1180" s="31" t="n">
        <v>119</v>
      </c>
      <c r="H1180" s="19" t="n">
        <v>1</v>
      </c>
      <c r="I1180" s="32" t="n">
        <v>0</v>
      </c>
      <c r="J1180" s="30" t="s">
        <v>52</v>
      </c>
      <c r="K1180" s="30" t="s">
        <v>47</v>
      </c>
      <c r="L1180" s="30" t="s">
        <v>86</v>
      </c>
      <c r="M1180" s="31" t="n">
        <f aca="false">AVERAGEIF($E$2:$E$1197,E1180,$G$2:$G$1197)</f>
        <v>186.056291390729</v>
      </c>
      <c r="N1180" s="19" t="str">
        <f aca="false">IF(G1180&gt;M1180*3,"نعم","لا")</f>
        <v>لا</v>
      </c>
      <c r="O1180" s="19" t="str">
        <f aca="false">IF(OR(C1180="",ISNUMBER(C1180)),"لا","نعم")</f>
        <v>لا</v>
      </c>
      <c r="P1180" s="19" t="str">
        <f aca="false">IF(COUNTIF($B$2:B1180,B1180)&gt;1,"مكرر","فريد")</f>
        <v>فريد</v>
      </c>
      <c r="Q1180" s="19" t="str">
        <f aca="false">IF(COUNTBLANK(D1180:L1180)&gt;0,"نعم","لا")</f>
        <v>لا</v>
      </c>
    </row>
    <row r="1181" customFormat="false" ht="15" hidden="false" customHeight="false" outlineLevel="0" collapsed="false">
      <c r="A1181" s="19" t="n">
        <v>1180</v>
      </c>
      <c r="B1181" s="30" t="s">
        <v>1101</v>
      </c>
      <c r="C1181" s="44" t="n">
        <v>45607</v>
      </c>
      <c r="D1181" s="30" t="s">
        <v>54</v>
      </c>
      <c r="E1181" s="30" t="s">
        <v>111</v>
      </c>
      <c r="F1181" s="30" t="s">
        <v>108</v>
      </c>
      <c r="G1181" s="31" t="n">
        <v>289</v>
      </c>
      <c r="H1181" s="19" t="n">
        <v>2</v>
      </c>
      <c r="I1181" s="32" t="n">
        <v>0</v>
      </c>
      <c r="J1181" s="30" t="s">
        <v>52</v>
      </c>
      <c r="K1181" s="30" t="s">
        <v>47</v>
      </c>
      <c r="L1181" s="30" t="s">
        <v>94</v>
      </c>
      <c r="M1181" s="31" t="n">
        <f aca="false">AVERAGEIF($E$2:$E$1197,E1181,$G$2:$G$1197)</f>
        <v>366.306569343066</v>
      </c>
      <c r="N1181" s="19" t="str">
        <f aca="false">IF(G1181&gt;M1181*3,"نعم","لا")</f>
        <v>لا</v>
      </c>
      <c r="O1181" s="19" t="str">
        <f aca="false">IF(OR(C1181="",ISNUMBER(C1181)),"لا","نعم")</f>
        <v>لا</v>
      </c>
      <c r="P1181" s="19" t="str">
        <f aca="false">IF(COUNTIF($B$2:B1181,B1181)&gt;1,"مكرر","فريد")</f>
        <v>فريد</v>
      </c>
      <c r="Q1181" s="19" t="str">
        <f aca="false">IF(COUNTBLANK(D1181:L1181)&gt;0,"نعم","لا")</f>
        <v>لا</v>
      </c>
    </row>
    <row r="1182" customFormat="false" ht="15" hidden="false" customHeight="false" outlineLevel="0" collapsed="false">
      <c r="A1182" s="19" t="n">
        <v>1181</v>
      </c>
      <c r="B1182" s="30" t="s">
        <v>547</v>
      </c>
      <c r="C1182" s="44" t="n">
        <v>45429</v>
      </c>
      <c r="D1182" s="30" t="s">
        <v>57</v>
      </c>
      <c r="E1182" s="30" t="s">
        <v>113</v>
      </c>
      <c r="F1182" s="30" t="s">
        <v>95</v>
      </c>
      <c r="G1182" s="31" t="n">
        <v>489</v>
      </c>
      <c r="H1182" s="19" t="n">
        <v>1</v>
      </c>
      <c r="I1182" s="32" t="n">
        <v>0.15</v>
      </c>
      <c r="J1182" s="30" t="s">
        <v>48</v>
      </c>
      <c r="K1182" s="30" t="s">
        <v>47</v>
      </c>
      <c r="L1182" s="30" t="s">
        <v>81</v>
      </c>
      <c r="M1182" s="31" t="n">
        <f aca="false">AVERAGEIF($E$2:$E$1197,E1182,$G$2:$G$1197)</f>
        <v>545.358823529412</v>
      </c>
      <c r="N1182" s="19" t="str">
        <f aca="false">IF(G1182&gt;M1182*3,"نعم","لا")</f>
        <v>لا</v>
      </c>
      <c r="O1182" s="19" t="str">
        <f aca="false">IF(OR(C1182="",ISNUMBER(C1182)),"لا","نعم")</f>
        <v>لا</v>
      </c>
      <c r="P1182" s="19" t="str">
        <f aca="false">IF(COUNTIF($B$2:B1182,B1182)&gt;1,"مكرر","فريد")</f>
        <v>فريد</v>
      </c>
      <c r="Q1182" s="19" t="str">
        <f aca="false">IF(COUNTBLANK(D1182:L1182)&gt;0,"نعم","لا")</f>
        <v>لا</v>
      </c>
    </row>
    <row r="1183" customFormat="false" ht="15" hidden="false" customHeight="false" outlineLevel="0" collapsed="false">
      <c r="A1183" s="19" t="n">
        <v>1182</v>
      </c>
      <c r="B1183" s="30" t="s">
        <v>955</v>
      </c>
      <c r="C1183" s="44" t="n">
        <v>45566</v>
      </c>
      <c r="D1183" s="30" t="s">
        <v>46</v>
      </c>
      <c r="E1183" s="30" t="s">
        <v>113</v>
      </c>
      <c r="F1183" s="30" t="s">
        <v>100</v>
      </c>
      <c r="G1183" s="31" t="n">
        <v>179</v>
      </c>
      <c r="H1183" s="19" t="n">
        <v>1</v>
      </c>
      <c r="I1183" s="32" t="n">
        <v>0.2</v>
      </c>
      <c r="J1183" s="30" t="s">
        <v>52</v>
      </c>
      <c r="K1183" s="30" t="s">
        <v>47</v>
      </c>
      <c r="L1183" s="30" t="s">
        <v>92</v>
      </c>
      <c r="M1183" s="31" t="n">
        <f aca="false">AVERAGEIF($E$2:$E$1197,E1183,$G$2:$G$1197)</f>
        <v>545.358823529412</v>
      </c>
      <c r="N1183" s="19" t="str">
        <f aca="false">IF(G1183&gt;M1183*3,"نعم","لا")</f>
        <v>لا</v>
      </c>
      <c r="O1183" s="19" t="str">
        <f aca="false">IF(OR(C1183="",ISNUMBER(C1183)),"لا","نعم")</f>
        <v>لا</v>
      </c>
      <c r="P1183" s="19" t="str">
        <f aca="false">IF(COUNTIF($B$2:B1183,B1183)&gt;1,"مكرر","فريد")</f>
        <v>فريد</v>
      </c>
      <c r="Q1183" s="19" t="str">
        <f aca="false">IF(COUNTBLANK(D1183:L1183)&gt;0,"نعم","لا")</f>
        <v>لا</v>
      </c>
    </row>
    <row r="1184" customFormat="false" ht="15" hidden="false" customHeight="false" outlineLevel="0" collapsed="false">
      <c r="A1184" s="19" t="n">
        <v>1183</v>
      </c>
      <c r="B1184" s="30" t="s">
        <v>1502</v>
      </c>
      <c r="C1184" s="30" t="s">
        <v>1503</v>
      </c>
      <c r="D1184" s="30"/>
      <c r="E1184" s="30" t="s">
        <v>111</v>
      </c>
      <c r="F1184" s="30" t="s">
        <v>122</v>
      </c>
      <c r="G1184" s="31" t="n">
        <v>529</v>
      </c>
      <c r="H1184" s="19" t="n">
        <v>1</v>
      </c>
      <c r="I1184" s="32" t="n">
        <v>0.15</v>
      </c>
      <c r="J1184" s="30" t="s">
        <v>48</v>
      </c>
      <c r="K1184" s="30" t="s">
        <v>47</v>
      </c>
      <c r="L1184" s="30" t="s">
        <v>78</v>
      </c>
      <c r="M1184" s="31" t="n">
        <f aca="false">AVERAGEIF($E$2:$E$1197,E1184,$G$2:$G$1197)</f>
        <v>366.306569343066</v>
      </c>
      <c r="N1184" s="19" t="str">
        <f aca="false">IF(G1184&gt;M1184*3,"نعم","لا")</f>
        <v>لا</v>
      </c>
      <c r="O1184" s="19" t="str">
        <f aca="false">IF(OR(C1184="",ISNUMBER(C1184)),"لا","نعم")</f>
        <v>نعم</v>
      </c>
      <c r="P1184" s="19" t="str">
        <f aca="false">IF(COUNTIF($B$2:B1184,B1184)&gt;1,"مكرر","فريد")</f>
        <v>فريد</v>
      </c>
      <c r="Q1184" s="19" t="str">
        <f aca="false">IF(COUNTBLANK(D1184:L1184)&gt;0,"نعم","لا")</f>
        <v>نعم</v>
      </c>
    </row>
    <row r="1185" customFormat="false" ht="15" hidden="false" customHeight="false" outlineLevel="0" collapsed="false">
      <c r="A1185" s="19" t="n">
        <v>1184</v>
      </c>
      <c r="B1185" s="30" t="s">
        <v>919</v>
      </c>
      <c r="C1185" s="44" t="n">
        <v>45554</v>
      </c>
      <c r="D1185" s="30" t="s">
        <v>50</v>
      </c>
      <c r="E1185" s="30" t="s">
        <v>109</v>
      </c>
      <c r="F1185" s="30" t="s">
        <v>93</v>
      </c>
      <c r="G1185" s="31" t="n">
        <v>139</v>
      </c>
      <c r="H1185" s="19" t="n">
        <v>3</v>
      </c>
      <c r="I1185" s="32" t="n">
        <v>0.1</v>
      </c>
      <c r="J1185" s="30" t="s">
        <v>52</v>
      </c>
      <c r="K1185" s="30" t="s">
        <v>47</v>
      </c>
      <c r="L1185" s="30" t="s">
        <v>94</v>
      </c>
      <c r="M1185" s="31" t="n">
        <f aca="false">AVERAGEIF($E$2:$E$1197,E1185,$G$2:$G$1197)</f>
        <v>186.056291390729</v>
      </c>
      <c r="N1185" s="19" t="str">
        <f aca="false">IF(G1185&gt;M1185*3,"نعم","لا")</f>
        <v>لا</v>
      </c>
      <c r="O1185" s="19" t="str">
        <f aca="false">IF(OR(C1185="",ISNUMBER(C1185)),"لا","نعم")</f>
        <v>لا</v>
      </c>
      <c r="P1185" s="19" t="str">
        <f aca="false">IF(COUNTIF($B$2:B1185,B1185)&gt;1,"مكرر","فريد")</f>
        <v>فريد</v>
      </c>
      <c r="Q1185" s="19" t="str">
        <f aca="false">IF(COUNTBLANK(D1185:L1185)&gt;0,"نعم","لا")</f>
        <v>لا</v>
      </c>
    </row>
    <row r="1186" customFormat="false" ht="15" hidden="false" customHeight="false" outlineLevel="0" collapsed="false">
      <c r="A1186" s="19" t="n">
        <v>1185</v>
      </c>
      <c r="B1186" s="30" t="s">
        <v>301</v>
      </c>
      <c r="C1186" s="44" t="n">
        <v>45341</v>
      </c>
      <c r="D1186" s="30" t="s">
        <v>57</v>
      </c>
      <c r="E1186" s="30" t="s">
        <v>105</v>
      </c>
      <c r="F1186" s="30" t="s">
        <v>82</v>
      </c>
      <c r="G1186" s="31" t="n">
        <v>3679</v>
      </c>
      <c r="H1186" s="19" t="n">
        <v>5</v>
      </c>
      <c r="I1186" s="32" t="n">
        <v>0.05</v>
      </c>
      <c r="J1186" s="30" t="s">
        <v>52</v>
      </c>
      <c r="K1186" s="30" t="s">
        <v>51</v>
      </c>
      <c r="L1186" s="30" t="s">
        <v>94</v>
      </c>
      <c r="M1186" s="31" t="n">
        <f aca="false">AVERAGEIF($E$2:$E$1197,E1186,$G$2:$G$1197)</f>
        <v>2870.26771653543</v>
      </c>
      <c r="N1186" s="19" t="str">
        <f aca="false">IF(G1186&gt;M1186*3,"نعم","لا")</f>
        <v>لا</v>
      </c>
      <c r="O1186" s="19" t="str">
        <f aca="false">IF(OR(C1186="",ISNUMBER(C1186)),"لا","نعم")</f>
        <v>لا</v>
      </c>
      <c r="P1186" s="19" t="str">
        <f aca="false">IF(COUNTIF($B$2:B1186,B1186)&gt;1,"مكرر","فريد")</f>
        <v>فريد</v>
      </c>
      <c r="Q1186" s="19" t="str">
        <f aca="false">IF(COUNTBLANK(D1186:L1186)&gt;0,"نعم","لا")</f>
        <v>لا</v>
      </c>
    </row>
    <row r="1187" customFormat="false" ht="15" hidden="false" customHeight="false" outlineLevel="0" collapsed="false">
      <c r="A1187" s="19" t="n">
        <v>1186</v>
      </c>
      <c r="B1187" s="30" t="s">
        <v>1019</v>
      </c>
      <c r="C1187" s="44" t="n">
        <v>45588</v>
      </c>
      <c r="D1187" s="30" t="s">
        <v>54</v>
      </c>
      <c r="E1187" s="30" t="s">
        <v>111</v>
      </c>
      <c r="F1187" s="30" t="s">
        <v>120</v>
      </c>
      <c r="G1187" s="31" t="n">
        <v>109</v>
      </c>
      <c r="H1187" s="19" t="n">
        <v>4</v>
      </c>
      <c r="I1187" s="32" t="n">
        <v>0.05</v>
      </c>
      <c r="J1187" s="30" t="s">
        <v>52</v>
      </c>
      <c r="K1187" s="30" t="s">
        <v>51</v>
      </c>
      <c r="L1187" s="30" t="s">
        <v>76</v>
      </c>
      <c r="M1187" s="31" t="n">
        <f aca="false">AVERAGEIF($E$2:$E$1197,E1187,$G$2:$G$1197)</f>
        <v>366.306569343066</v>
      </c>
      <c r="N1187" s="19" t="str">
        <f aca="false">IF(G1187&gt;M1187*3,"نعم","لا")</f>
        <v>لا</v>
      </c>
      <c r="O1187" s="19" t="str">
        <f aca="false">IF(OR(C1187="",ISNUMBER(C1187)),"لا","نعم")</f>
        <v>لا</v>
      </c>
      <c r="P1187" s="19" t="str">
        <f aca="false">IF(COUNTIF($B$2:B1187,B1187)&gt;1,"مكرر","فريد")</f>
        <v>فريد</v>
      </c>
      <c r="Q1187" s="19" t="str">
        <f aca="false">IF(COUNTBLANK(D1187:L1187)&gt;0,"نعم","لا")</f>
        <v>لا</v>
      </c>
    </row>
    <row r="1188" customFormat="false" ht="15" hidden="false" customHeight="false" outlineLevel="0" collapsed="false">
      <c r="A1188" s="19" t="n">
        <v>1187</v>
      </c>
      <c r="B1188" s="30" t="s">
        <v>1267</v>
      </c>
      <c r="C1188" s="44" t="n">
        <v>45649</v>
      </c>
      <c r="D1188" s="30" t="s">
        <v>50</v>
      </c>
      <c r="E1188" s="30" t="s">
        <v>109</v>
      </c>
      <c r="F1188" s="30" t="s">
        <v>192</v>
      </c>
      <c r="G1188" s="31" t="n">
        <v>89</v>
      </c>
      <c r="H1188" s="19" t="n">
        <v>1</v>
      </c>
      <c r="I1188" s="32" t="n">
        <v>0</v>
      </c>
      <c r="J1188" s="30" t="s">
        <v>52</v>
      </c>
      <c r="K1188" s="30" t="s">
        <v>47</v>
      </c>
      <c r="L1188" s="30" t="s">
        <v>86</v>
      </c>
      <c r="M1188" s="31" t="n">
        <f aca="false">AVERAGEIF($E$2:$E$1197,E1188,$G$2:$G$1197)</f>
        <v>186.056291390729</v>
      </c>
      <c r="N1188" s="19" t="str">
        <f aca="false">IF(G1188&gt;M1188*3,"نعم","لا")</f>
        <v>لا</v>
      </c>
      <c r="O1188" s="19" t="str">
        <f aca="false">IF(OR(C1188="",ISNUMBER(C1188)),"لا","نعم")</f>
        <v>لا</v>
      </c>
      <c r="P1188" s="19" t="str">
        <f aca="false">IF(COUNTIF($B$2:B1188,B1188)&gt;1,"مكرر","فريد")</f>
        <v>فريد</v>
      </c>
      <c r="Q1188" s="19" t="str">
        <f aca="false">IF(COUNTBLANK(D1188:L1188)&gt;0,"نعم","لا")</f>
        <v>لا</v>
      </c>
    </row>
    <row r="1189" customFormat="false" ht="15" hidden="false" customHeight="false" outlineLevel="0" collapsed="false">
      <c r="A1189" s="19" t="n">
        <v>1188</v>
      </c>
      <c r="B1189" s="30" t="s">
        <v>257</v>
      </c>
      <c r="C1189" s="44" t="n">
        <v>45325</v>
      </c>
      <c r="D1189" s="30" t="s">
        <v>46</v>
      </c>
      <c r="E1189" s="30" t="s">
        <v>109</v>
      </c>
      <c r="F1189" s="30" t="s">
        <v>93</v>
      </c>
      <c r="G1189" s="31" t="n">
        <v>229</v>
      </c>
      <c r="H1189" s="19" t="n">
        <v>1</v>
      </c>
      <c r="I1189" s="32" t="n">
        <v>0</v>
      </c>
      <c r="J1189" s="30" t="s">
        <v>48</v>
      </c>
      <c r="K1189" s="30" t="s">
        <v>47</v>
      </c>
      <c r="L1189" s="30" t="s">
        <v>94</v>
      </c>
      <c r="M1189" s="31" t="n">
        <f aca="false">AVERAGEIF($E$2:$E$1197,E1189,$G$2:$G$1197)</f>
        <v>186.056291390729</v>
      </c>
      <c r="N1189" s="19" t="str">
        <f aca="false">IF(G1189&gt;M1189*3,"نعم","لا")</f>
        <v>لا</v>
      </c>
      <c r="O1189" s="19" t="str">
        <f aca="false">IF(OR(C1189="",ISNUMBER(C1189)),"لا","نعم")</f>
        <v>لا</v>
      </c>
      <c r="P1189" s="19" t="str">
        <f aca="false">IF(COUNTIF($B$2:B1189,B1189)&gt;1,"مكرر","فريد")</f>
        <v>مكرر</v>
      </c>
      <c r="Q1189" s="19" t="str">
        <f aca="false">IF(COUNTBLANK(D1189:L1189)&gt;0,"نعم","لا")</f>
        <v>لا</v>
      </c>
    </row>
    <row r="1190" customFormat="false" ht="15" hidden="false" customHeight="false" outlineLevel="0" collapsed="false">
      <c r="A1190" s="19" t="n">
        <v>1189</v>
      </c>
      <c r="B1190" s="30" t="s">
        <v>1504</v>
      </c>
      <c r="C1190" s="44" t="n">
        <v>45412</v>
      </c>
      <c r="D1190" s="30"/>
      <c r="E1190" s="30" t="s">
        <v>105</v>
      </c>
      <c r="F1190" s="30" t="s">
        <v>79</v>
      </c>
      <c r="G1190" s="31" t="n">
        <v>2109</v>
      </c>
      <c r="H1190" s="19" t="n">
        <v>1</v>
      </c>
      <c r="I1190" s="32" t="n">
        <v>0.05</v>
      </c>
      <c r="J1190" s="30" t="s">
        <v>55</v>
      </c>
      <c r="K1190" s="30" t="s">
        <v>47</v>
      </c>
      <c r="L1190" s="30" t="s">
        <v>84</v>
      </c>
      <c r="M1190" s="31" t="n">
        <f aca="false">AVERAGEIF($E$2:$E$1197,E1190,$G$2:$G$1197)</f>
        <v>2870.26771653543</v>
      </c>
      <c r="N1190" s="19" t="str">
        <f aca="false">IF(G1190&gt;M1190*3,"نعم","لا")</f>
        <v>لا</v>
      </c>
      <c r="O1190" s="19" t="str">
        <f aca="false">IF(OR(C1190="",ISNUMBER(C1190)),"لا","نعم")</f>
        <v>لا</v>
      </c>
      <c r="P1190" s="19" t="str">
        <f aca="false">IF(COUNTIF($B$2:B1190,B1190)&gt;1,"مكرر","فريد")</f>
        <v>فريد</v>
      </c>
      <c r="Q1190" s="19" t="str">
        <f aca="false">IF(COUNTBLANK(D1190:L1190)&gt;0,"نعم","لا")</f>
        <v>نعم</v>
      </c>
    </row>
    <row r="1191" customFormat="false" ht="15" hidden="false" customHeight="false" outlineLevel="0" collapsed="false">
      <c r="A1191" s="19" t="n">
        <v>1190</v>
      </c>
      <c r="B1191" s="30" t="s">
        <v>627</v>
      </c>
      <c r="C1191" s="44" t="n">
        <v>45459</v>
      </c>
      <c r="D1191" s="30" t="s">
        <v>50</v>
      </c>
      <c r="E1191" s="30" t="s">
        <v>109</v>
      </c>
      <c r="F1191" s="30" t="s">
        <v>171</v>
      </c>
      <c r="G1191" s="31" t="n">
        <v>249</v>
      </c>
      <c r="H1191" s="19" t="n">
        <v>1</v>
      </c>
      <c r="I1191" s="32" t="n">
        <v>0.05</v>
      </c>
      <c r="J1191" s="30" t="s">
        <v>48</v>
      </c>
      <c r="K1191" s="30" t="s">
        <v>47</v>
      </c>
      <c r="L1191" s="30" t="s">
        <v>76</v>
      </c>
      <c r="M1191" s="31" t="n">
        <f aca="false">AVERAGEIF($E$2:$E$1197,E1191,$G$2:$G$1197)</f>
        <v>186.056291390729</v>
      </c>
      <c r="N1191" s="19" t="str">
        <f aca="false">IF(G1191&gt;M1191*3,"نعم","لا")</f>
        <v>لا</v>
      </c>
      <c r="O1191" s="19" t="str">
        <f aca="false">IF(OR(C1191="",ISNUMBER(C1191)),"لا","نعم")</f>
        <v>لا</v>
      </c>
      <c r="P1191" s="19" t="str">
        <f aca="false">IF(COUNTIF($B$2:B1191,B1191)&gt;1,"مكرر","فريد")</f>
        <v>فريد</v>
      </c>
      <c r="Q1191" s="19" t="str">
        <f aca="false">IF(COUNTBLANK(D1191:L1191)&gt;0,"نعم","لا")</f>
        <v>لا</v>
      </c>
    </row>
    <row r="1192" customFormat="false" ht="15" hidden="false" customHeight="false" outlineLevel="0" collapsed="false">
      <c r="A1192" s="19" t="n">
        <v>1191</v>
      </c>
      <c r="B1192" s="30" t="s">
        <v>290</v>
      </c>
      <c r="C1192" s="44" t="n">
        <v>45337</v>
      </c>
      <c r="D1192" s="30" t="s">
        <v>1372</v>
      </c>
      <c r="E1192" s="30" t="s">
        <v>105</v>
      </c>
      <c r="F1192" s="30" t="s">
        <v>90</v>
      </c>
      <c r="G1192" s="31" t="n">
        <v>2709</v>
      </c>
      <c r="H1192" s="19" t="n">
        <v>3</v>
      </c>
      <c r="I1192" s="32" t="n">
        <v>0.15</v>
      </c>
      <c r="J1192" s="30" t="s">
        <v>52</v>
      </c>
      <c r="K1192" s="30" t="s">
        <v>47</v>
      </c>
      <c r="L1192" s="30" t="s">
        <v>94</v>
      </c>
      <c r="M1192" s="31" t="n">
        <f aca="false">AVERAGEIF($E$2:$E$1197,E1192,$G$2:$G$1197)</f>
        <v>2870.26771653543</v>
      </c>
      <c r="N1192" s="19" t="str">
        <f aca="false">IF(G1192&gt;M1192*3,"نعم","لا")</f>
        <v>لا</v>
      </c>
      <c r="O1192" s="19" t="str">
        <f aca="false">IF(OR(C1192="",ISNUMBER(C1192)),"لا","نعم")</f>
        <v>لا</v>
      </c>
      <c r="P1192" s="19" t="str">
        <f aca="false">IF(COUNTIF($B$2:B1192,B1192)&gt;1,"مكرر","فريد")</f>
        <v>فريد</v>
      </c>
      <c r="Q1192" s="19" t="str">
        <f aca="false">IF(COUNTBLANK(D1192:L1192)&gt;0,"نعم","لا")</f>
        <v>لا</v>
      </c>
    </row>
    <row r="1193" customFormat="false" ht="15" hidden="false" customHeight="false" outlineLevel="0" collapsed="false">
      <c r="A1193" s="19" t="n">
        <v>1192</v>
      </c>
      <c r="B1193" s="30" t="s">
        <v>1189</v>
      </c>
      <c r="C1193" s="44" t="n">
        <v>45628</v>
      </c>
      <c r="D1193" s="30" t="s">
        <v>46</v>
      </c>
      <c r="E1193" s="30" t="s">
        <v>109</v>
      </c>
      <c r="F1193" s="30" t="s">
        <v>192</v>
      </c>
      <c r="G1193" s="31" t="n">
        <v>49</v>
      </c>
      <c r="H1193" s="19" t="n">
        <v>1</v>
      </c>
      <c r="I1193" s="32" t="n">
        <v>0</v>
      </c>
      <c r="J1193" s="30" t="s">
        <v>48</v>
      </c>
      <c r="K1193" s="30" t="s">
        <v>47</v>
      </c>
      <c r="L1193" s="30" t="s">
        <v>96</v>
      </c>
      <c r="M1193" s="31" t="n">
        <f aca="false">AVERAGEIF($E$2:$E$1197,E1193,$G$2:$G$1197)</f>
        <v>186.056291390729</v>
      </c>
      <c r="N1193" s="19" t="str">
        <f aca="false">IF(G1193&gt;M1193*3,"نعم","لا")</f>
        <v>لا</v>
      </c>
      <c r="O1193" s="19" t="str">
        <f aca="false">IF(OR(C1193="",ISNUMBER(C1193)),"لا","نعم")</f>
        <v>لا</v>
      </c>
      <c r="P1193" s="19" t="str">
        <f aca="false">IF(COUNTIF($B$2:B1193,B1193)&gt;1,"مكرر","فريد")</f>
        <v>فريد</v>
      </c>
      <c r="Q1193" s="19" t="str">
        <f aca="false">IF(COUNTBLANK(D1193:L1193)&gt;0,"نعم","لا")</f>
        <v>لا</v>
      </c>
    </row>
    <row r="1194" customFormat="false" ht="15" hidden="false" customHeight="false" outlineLevel="0" collapsed="false">
      <c r="A1194" s="19" t="n">
        <v>1193</v>
      </c>
      <c r="B1194" s="30" t="s">
        <v>1240</v>
      </c>
      <c r="C1194" s="44" t="n">
        <v>45643</v>
      </c>
      <c r="D1194" s="30" t="s">
        <v>54</v>
      </c>
      <c r="E1194" s="30" t="s">
        <v>113</v>
      </c>
      <c r="F1194" s="30" t="s">
        <v>95</v>
      </c>
      <c r="G1194" s="31" t="n">
        <v>499</v>
      </c>
      <c r="H1194" s="19" t="n">
        <v>1</v>
      </c>
      <c r="I1194" s="32" t="n">
        <v>0.1</v>
      </c>
      <c r="J1194" s="30" t="s">
        <v>48</v>
      </c>
      <c r="K1194" s="30" t="s">
        <v>47</v>
      </c>
      <c r="L1194" s="30" t="s">
        <v>94</v>
      </c>
      <c r="M1194" s="31" t="n">
        <f aca="false">AVERAGEIF($E$2:$E$1197,E1194,$G$2:$G$1197)</f>
        <v>545.358823529412</v>
      </c>
      <c r="N1194" s="19" t="str">
        <f aca="false">IF(G1194&gt;M1194*3,"نعم","لا")</f>
        <v>لا</v>
      </c>
      <c r="O1194" s="19" t="str">
        <f aca="false">IF(OR(C1194="",ISNUMBER(C1194)),"لا","نعم")</f>
        <v>لا</v>
      </c>
      <c r="P1194" s="19" t="str">
        <f aca="false">IF(COUNTIF($B$2:B1194,B1194)&gt;1,"مكرر","فريد")</f>
        <v>فريد</v>
      </c>
      <c r="Q1194" s="19" t="str">
        <f aca="false">IF(COUNTBLANK(D1194:L1194)&gt;0,"نعم","لا")</f>
        <v>لا</v>
      </c>
    </row>
    <row r="1195" customFormat="false" ht="15" hidden="false" customHeight="false" outlineLevel="0" collapsed="false">
      <c r="A1195" s="19" t="n">
        <v>1194</v>
      </c>
      <c r="B1195" s="30" t="s">
        <v>1274</v>
      </c>
      <c r="C1195" s="44" t="n">
        <v>45652</v>
      </c>
      <c r="D1195" s="30" t="s">
        <v>46</v>
      </c>
      <c r="E1195" s="30" t="s">
        <v>107</v>
      </c>
      <c r="F1195" s="30" t="s">
        <v>184</v>
      </c>
      <c r="G1195" s="31" t="n">
        <v>7319</v>
      </c>
      <c r="H1195" s="19" t="n">
        <v>6</v>
      </c>
      <c r="I1195" s="32" t="n">
        <v>0</v>
      </c>
      <c r="J1195" s="30" t="s">
        <v>1343</v>
      </c>
      <c r="K1195" s="30" t="s">
        <v>51</v>
      </c>
      <c r="L1195" s="30" t="s">
        <v>89</v>
      </c>
      <c r="M1195" s="31" t="n">
        <f aca="false">AVERAGEIF($E$2:$E$1197,E1195,$G$2:$G$1197)</f>
        <v>4981.14563106796</v>
      </c>
      <c r="N1195" s="19" t="str">
        <f aca="false">IF(G1195&gt;M1195*3,"نعم","لا")</f>
        <v>لا</v>
      </c>
      <c r="O1195" s="19" t="str">
        <f aca="false">IF(OR(C1195="",ISNUMBER(C1195)),"لا","نعم")</f>
        <v>لا</v>
      </c>
      <c r="P1195" s="19" t="str">
        <f aca="false">IF(COUNTIF($B$2:B1195,B1195)&gt;1,"مكرر","فريد")</f>
        <v>فريد</v>
      </c>
      <c r="Q1195" s="19" t="str">
        <f aca="false">IF(COUNTBLANK(D1195:L1195)&gt;0,"نعم","لا")</f>
        <v>لا</v>
      </c>
    </row>
    <row r="1196" customFormat="false" ht="15" hidden="false" customHeight="false" outlineLevel="0" collapsed="false">
      <c r="A1196" s="19" t="n">
        <v>1195</v>
      </c>
      <c r="B1196" s="30" t="s">
        <v>1005</v>
      </c>
      <c r="C1196" s="44" t="n">
        <v>45585</v>
      </c>
      <c r="D1196" s="30" t="s">
        <v>50</v>
      </c>
      <c r="E1196" s="30" t="s">
        <v>105</v>
      </c>
      <c r="F1196" s="30" t="s">
        <v>82</v>
      </c>
      <c r="G1196" s="31" t="n">
        <v>3079</v>
      </c>
      <c r="H1196" s="19" t="n">
        <v>1</v>
      </c>
      <c r="I1196" s="32" t="n">
        <v>0</v>
      </c>
      <c r="J1196" s="30" t="s">
        <v>48</v>
      </c>
      <c r="K1196" s="30" t="s">
        <v>47</v>
      </c>
      <c r="L1196" s="30" t="s">
        <v>81</v>
      </c>
      <c r="M1196" s="31" t="n">
        <f aca="false">AVERAGEIF($E$2:$E$1197,E1196,$G$2:$G$1197)</f>
        <v>2870.26771653543</v>
      </c>
      <c r="N1196" s="19" t="str">
        <f aca="false">IF(G1196&gt;M1196*3,"نعم","لا")</f>
        <v>لا</v>
      </c>
      <c r="O1196" s="19" t="str">
        <f aca="false">IF(OR(C1196="",ISNUMBER(C1196)),"لا","نعم")</f>
        <v>لا</v>
      </c>
      <c r="P1196" s="19" t="str">
        <f aca="false">IF(COUNTIF($B$2:B1196,B1196)&gt;1,"مكرر","فريد")</f>
        <v>فريد</v>
      </c>
      <c r="Q1196" s="19" t="str">
        <f aca="false">IF(COUNTBLANK(D1196:L1196)&gt;0,"نعم","لا")</f>
        <v>لا</v>
      </c>
    </row>
    <row r="1197" customFormat="false" ht="15" hidden="false" customHeight="false" outlineLevel="0" collapsed="false">
      <c r="A1197" s="19" t="n">
        <v>1196</v>
      </c>
      <c r="B1197" s="30" t="s">
        <v>1270</v>
      </c>
      <c r="C1197" s="44" t="n">
        <v>45650</v>
      </c>
      <c r="D1197" s="30" t="s">
        <v>1353</v>
      </c>
      <c r="E1197" s="30" t="s">
        <v>105</v>
      </c>
      <c r="F1197" s="30" t="s">
        <v>179</v>
      </c>
      <c r="G1197" s="31" t="n">
        <v>2399</v>
      </c>
      <c r="H1197" s="19" t="n">
        <v>2</v>
      </c>
      <c r="I1197" s="32" t="n">
        <v>0.15</v>
      </c>
      <c r="J1197" s="30" t="s">
        <v>52</v>
      </c>
      <c r="K1197" s="30" t="s">
        <v>47</v>
      </c>
      <c r="L1197" s="30" t="s">
        <v>84</v>
      </c>
      <c r="M1197" s="31" t="n">
        <f aca="false">AVERAGEIF($E$2:$E$1197,E1197,$G$2:$G$1197)</f>
        <v>2870.26771653543</v>
      </c>
      <c r="N1197" s="19" t="str">
        <f aca="false">IF(G1197&gt;M1197*3,"نعم","لا")</f>
        <v>لا</v>
      </c>
      <c r="O1197" s="19" t="str">
        <f aca="false">IF(OR(C1197="",ISNUMBER(C1197)),"لا","نعم")</f>
        <v>لا</v>
      </c>
      <c r="P1197" s="19" t="str">
        <f aca="false">IF(COUNTIF($B$2:B1197,B1197)&gt;1,"مكرر","فريد")</f>
        <v>فريد</v>
      </c>
      <c r="Q1197" s="19" t="str">
        <f aca="false">IF(COUNTBLANK(D1197:L1197)&gt;0,"نعم","لا")</f>
        <v>لا</v>
      </c>
    </row>
  </sheetData>
  <mergeCells count="1">
    <mergeCell ref="S1:X6"/>
  </mergeCells>
  <conditionalFormatting sqref="N2:N1197">
    <cfRule type="cellIs" priority="2" operator="equal" aboveAverage="0" equalAverage="0" bottom="0" percent="0" rank="0" text="" dxfId="8">
      <formula>"نعم"</formula>
    </cfRule>
  </conditionalFormatting>
  <conditionalFormatting sqref="O2:O1197">
    <cfRule type="cellIs" priority="3" operator="equal" aboveAverage="0" equalAverage="0" bottom="0" percent="0" rank="0" text="" dxfId="9">
      <formula>"نعم"</formula>
    </cfRule>
  </conditionalFormatting>
  <conditionalFormatting sqref="P2:P1197">
    <cfRule type="cellIs" priority="4" operator="equal" aboveAverage="0" equalAverage="0" bottom="0" percent="0" rank="0" text="" dxfId="8">
      <formula>"مكرر"</formula>
    </cfRule>
  </conditionalFormatting>
  <conditionalFormatting sqref="Q2:Q1197">
    <cfRule type="cellIs" priority="5" operator="equal" aboveAverage="0" equalAverage="0" bottom="0" percent="0" rank="0" text="" dxfId="9">
      <formula>"نعم"</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4" min="4" style="0" width="20"/>
    <col collapsed="false" customWidth="true" hidden="false" outlineLevel="0" max="6" min="6" style="0" width="20"/>
    <col collapsed="false" customWidth="true" hidden="false" outlineLevel="0" max="8" min="8" style="0" width="20"/>
    <col collapsed="false" customWidth="true" hidden="false" outlineLevel="0" max="11" min="10" style="0" width="20"/>
    <col collapsed="false" customWidth="true" hidden="false" outlineLevel="0" max="14" min="13" style="0" width="20"/>
    <col collapsed="false" customWidth="true" hidden="false" outlineLevel="0" max="16" min="16" style="0" width="20"/>
    <col collapsed="false" customWidth="true" hidden="false" outlineLevel="0" max="18" min="18" style="0" width="20"/>
    <col collapsed="false" customWidth="true" hidden="false" outlineLevel="0" max="20" min="20" style="0" width="20"/>
    <col collapsed="false" customWidth="true" hidden="false" outlineLevel="0" max="22" min="22" style="0" width="20"/>
  </cols>
  <sheetData>
    <row r="1" customFormat="false" ht="15" hidden="false" customHeight="false" outlineLevel="0" collapsed="false">
      <c r="A1" s="49" t="s">
        <v>42</v>
      </c>
      <c r="B1" s="49" t="s">
        <v>119</v>
      </c>
      <c r="D1" s="49" t="s">
        <v>101</v>
      </c>
      <c r="F1" s="49" t="s">
        <v>44</v>
      </c>
      <c r="H1" s="49" t="s">
        <v>43</v>
      </c>
      <c r="J1" s="49" t="s">
        <v>160</v>
      </c>
      <c r="K1" s="49" t="s">
        <v>161</v>
      </c>
      <c r="M1" s="49" t="s">
        <v>1505</v>
      </c>
      <c r="N1" s="49" t="s">
        <v>163</v>
      </c>
      <c r="P1" s="49" t="s">
        <v>129</v>
      </c>
      <c r="R1" s="49" t="s">
        <v>1506</v>
      </c>
      <c r="T1" s="49" t="s">
        <v>1507</v>
      </c>
      <c r="V1" s="49" t="s">
        <v>1508</v>
      </c>
    </row>
    <row r="2" customFormat="false" ht="15" hidden="false" customHeight="false" outlineLevel="0" collapsed="false">
      <c r="A2" s="50" t="s">
        <v>46</v>
      </c>
      <c r="B2" s="50" t="s">
        <v>1509</v>
      </c>
      <c r="D2" s="50" t="s">
        <v>105</v>
      </c>
      <c r="F2" s="50" t="s">
        <v>48</v>
      </c>
      <c r="H2" s="50" t="s">
        <v>47</v>
      </c>
      <c r="J2" s="50" t="n">
        <v>1</v>
      </c>
      <c r="K2" s="50" t="s">
        <v>45</v>
      </c>
      <c r="M2" s="50" t="n">
        <v>1</v>
      </c>
      <c r="N2" s="50" t="s">
        <v>1510</v>
      </c>
      <c r="P2" s="50" t="s">
        <v>76</v>
      </c>
      <c r="R2" s="50" t="s">
        <v>1509</v>
      </c>
      <c r="T2" s="50" t="s">
        <v>31</v>
      </c>
      <c r="V2" s="50" t="s">
        <v>31</v>
      </c>
    </row>
    <row r="3" customFormat="false" ht="15" hidden="false" customHeight="false" outlineLevel="0" collapsed="false">
      <c r="A3" s="50" t="s">
        <v>50</v>
      </c>
      <c r="B3" s="50" t="s">
        <v>1511</v>
      </c>
      <c r="D3" s="50" t="s">
        <v>107</v>
      </c>
      <c r="F3" s="50" t="s">
        <v>52</v>
      </c>
      <c r="H3" s="50" t="s">
        <v>51</v>
      </c>
      <c r="J3" s="50" t="n">
        <v>2</v>
      </c>
      <c r="K3" s="50" t="s">
        <v>49</v>
      </c>
      <c r="M3" s="50" t="n">
        <v>2</v>
      </c>
      <c r="N3" s="50" t="s">
        <v>1512</v>
      </c>
      <c r="P3" s="50" t="s">
        <v>78</v>
      </c>
      <c r="R3" s="50" t="s">
        <v>1511</v>
      </c>
      <c r="T3" s="50" t="s">
        <v>1509</v>
      </c>
      <c r="V3" s="50" t="s">
        <v>105</v>
      </c>
    </row>
    <row r="4" customFormat="false" ht="15" hidden="false" customHeight="false" outlineLevel="0" collapsed="false">
      <c r="A4" s="50" t="s">
        <v>54</v>
      </c>
      <c r="B4" s="50" t="s">
        <v>1513</v>
      </c>
      <c r="D4" s="50" t="s">
        <v>109</v>
      </c>
      <c r="F4" s="50" t="s">
        <v>55</v>
      </c>
      <c r="H4" s="50"/>
      <c r="J4" s="50" t="n">
        <v>3</v>
      </c>
      <c r="K4" s="50" t="s">
        <v>53</v>
      </c>
      <c r="M4" s="50" t="n">
        <v>3</v>
      </c>
      <c r="N4" s="50" t="s">
        <v>1514</v>
      </c>
      <c r="P4" s="50" t="s">
        <v>81</v>
      </c>
      <c r="R4" s="50" t="s">
        <v>1513</v>
      </c>
      <c r="T4" s="50" t="s">
        <v>1511</v>
      </c>
      <c r="V4" s="50" t="s">
        <v>107</v>
      </c>
    </row>
    <row r="5" customFormat="false" ht="15" hidden="false" customHeight="false" outlineLevel="0" collapsed="false">
      <c r="A5" s="50" t="s">
        <v>57</v>
      </c>
      <c r="B5" s="50" t="s">
        <v>1511</v>
      </c>
      <c r="D5" s="50" t="s">
        <v>111</v>
      </c>
      <c r="F5" s="50" t="s">
        <v>58</v>
      </c>
      <c r="H5" s="50"/>
      <c r="J5" s="50" t="n">
        <v>4</v>
      </c>
      <c r="K5" s="50" t="s">
        <v>56</v>
      </c>
      <c r="M5" s="50" t="n">
        <v>4</v>
      </c>
      <c r="N5" s="50" t="s">
        <v>1515</v>
      </c>
      <c r="P5" s="50" t="s">
        <v>84</v>
      </c>
      <c r="R5" s="50"/>
      <c r="T5" s="50" t="s">
        <v>1513</v>
      </c>
      <c r="V5" s="50" t="s">
        <v>109</v>
      </c>
    </row>
    <row r="6" customFormat="false" ht="15" hidden="false" customHeight="false" outlineLevel="0" collapsed="false">
      <c r="A6" s="50" t="s">
        <v>60</v>
      </c>
      <c r="B6" s="50" t="s">
        <v>1511</v>
      </c>
      <c r="D6" s="50" t="s">
        <v>113</v>
      </c>
      <c r="F6" s="50"/>
      <c r="H6" s="50"/>
      <c r="J6" s="50" t="n">
        <v>5</v>
      </c>
      <c r="K6" s="50" t="s">
        <v>59</v>
      </c>
      <c r="M6" s="50" t="n">
        <v>5</v>
      </c>
      <c r="N6" s="50" t="s">
        <v>1516</v>
      </c>
      <c r="P6" s="50" t="s">
        <v>86</v>
      </c>
      <c r="R6" s="50"/>
      <c r="T6" s="50"/>
      <c r="V6" s="50" t="s">
        <v>111</v>
      </c>
    </row>
    <row r="7" customFormat="false" ht="15" hidden="false" customHeight="false" outlineLevel="0" collapsed="false">
      <c r="A7" s="50"/>
      <c r="B7" s="50"/>
      <c r="D7" s="50"/>
      <c r="F7" s="50"/>
      <c r="H7" s="50"/>
      <c r="J7" s="50" t="n">
        <v>6</v>
      </c>
      <c r="K7" s="50" t="s">
        <v>61</v>
      </c>
      <c r="M7" s="50" t="n">
        <v>6</v>
      </c>
      <c r="N7" s="50" t="s">
        <v>1517</v>
      </c>
      <c r="P7" s="50" t="s">
        <v>89</v>
      </c>
      <c r="R7" s="50"/>
      <c r="T7" s="50"/>
      <c r="V7" s="50" t="s">
        <v>113</v>
      </c>
    </row>
    <row r="8" customFormat="false" ht="15" hidden="false" customHeight="false" outlineLevel="0" collapsed="false">
      <c r="A8" s="50"/>
      <c r="B8" s="50"/>
      <c r="D8" s="50"/>
      <c r="F8" s="50"/>
      <c r="H8" s="50"/>
      <c r="J8" s="50" t="n">
        <v>7</v>
      </c>
      <c r="K8" s="50" t="s">
        <v>62</v>
      </c>
      <c r="M8" s="50" t="n">
        <v>7</v>
      </c>
      <c r="N8" s="50" t="s">
        <v>1518</v>
      </c>
      <c r="P8" s="50" t="s">
        <v>92</v>
      </c>
      <c r="R8" s="50"/>
      <c r="T8" s="50"/>
      <c r="V8" s="50"/>
    </row>
    <row r="9" customFormat="false" ht="15" hidden="false" customHeight="false" outlineLevel="0" collapsed="false">
      <c r="A9" s="50"/>
      <c r="B9" s="50"/>
      <c r="D9" s="50"/>
      <c r="F9" s="50"/>
      <c r="H9" s="50"/>
      <c r="J9" s="50" t="n">
        <v>8</v>
      </c>
      <c r="K9" s="50" t="s">
        <v>63</v>
      </c>
      <c r="M9" s="50"/>
      <c r="N9" s="50"/>
      <c r="P9" s="50" t="s">
        <v>94</v>
      </c>
      <c r="R9" s="50"/>
      <c r="T9" s="50"/>
      <c r="V9" s="50"/>
    </row>
    <row r="10" customFormat="false" ht="15" hidden="false" customHeight="false" outlineLevel="0" collapsed="false">
      <c r="A10" s="50"/>
      <c r="B10" s="50"/>
      <c r="D10" s="50"/>
      <c r="F10" s="50"/>
      <c r="H10" s="50"/>
      <c r="J10" s="50" t="n">
        <v>9</v>
      </c>
      <c r="K10" s="50" t="s">
        <v>64</v>
      </c>
      <c r="M10" s="50"/>
      <c r="N10" s="50"/>
      <c r="P10" s="50" t="s">
        <v>96</v>
      </c>
      <c r="R10" s="50"/>
      <c r="T10" s="50"/>
      <c r="V10" s="50"/>
    </row>
    <row r="11" customFormat="false" ht="15" hidden="false" customHeight="false" outlineLevel="0" collapsed="false">
      <c r="A11" s="50"/>
      <c r="B11" s="50"/>
      <c r="D11" s="50"/>
      <c r="F11" s="50"/>
      <c r="H11" s="50"/>
      <c r="J11" s="50" t="n">
        <v>10</v>
      </c>
      <c r="K11" s="50" t="s">
        <v>65</v>
      </c>
      <c r="M11" s="50"/>
      <c r="N11" s="50"/>
      <c r="P11" s="50" t="s">
        <v>99</v>
      </c>
      <c r="R11" s="50"/>
      <c r="T11" s="50"/>
      <c r="V11" s="50"/>
    </row>
    <row r="12" customFormat="false" ht="15" hidden="false" customHeight="false" outlineLevel="0" collapsed="false">
      <c r="A12" s="50"/>
      <c r="B12" s="50"/>
      <c r="D12" s="50"/>
      <c r="F12" s="50"/>
      <c r="H12" s="50"/>
      <c r="J12" s="50" t="n">
        <v>11</v>
      </c>
      <c r="K12" s="50" t="s">
        <v>66</v>
      </c>
      <c r="M12" s="50"/>
      <c r="N12" s="50"/>
      <c r="P12" s="50"/>
      <c r="R12" s="50"/>
      <c r="T12" s="50"/>
      <c r="V12" s="50"/>
    </row>
    <row r="13" customFormat="false" ht="15" hidden="false" customHeight="false" outlineLevel="0" collapsed="false">
      <c r="A13" s="50"/>
      <c r="B13" s="50"/>
      <c r="D13" s="50"/>
      <c r="F13" s="50"/>
      <c r="H13" s="50"/>
      <c r="J13" s="50" t="n">
        <v>12</v>
      </c>
      <c r="K13" s="50" t="s">
        <v>67</v>
      </c>
      <c r="M13" s="50"/>
      <c r="N13" s="50"/>
      <c r="P13" s="50"/>
      <c r="R13" s="50"/>
      <c r="T13" s="50"/>
      <c r="V13" s="50"/>
    </row>
    <row r="14" customFormat="false" ht="15" hidden="false" customHeight="false" outlineLevel="0" collapsed="false">
      <c r="A14" s="50"/>
      <c r="B14" s="50"/>
      <c r="D14" s="50"/>
      <c r="F14" s="50"/>
      <c r="H14" s="50"/>
      <c r="J14" s="50"/>
      <c r="K14" s="50"/>
      <c r="M14" s="50"/>
      <c r="N14" s="50"/>
      <c r="P14" s="50"/>
      <c r="R14" s="50"/>
      <c r="T14" s="50"/>
      <c r="V14" s="5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2026-09-25T22:26:39Z</dcterms:created>
  <dc:creator>Data Analyst Portfolio Project</dc:creator>
  <dc:description/>
  <dc:language>en-US</dc:language>
  <cp:lastModifiedBy/>
  <dcterms:modified xsi:type="dcterms:W3CDTF">2026-09-25T22:26:53Z</dcterms:modified>
  <cp:revision>1</cp:revision>
  <dc:subject>Retail Sales Analysis - Excel Portfolio Project</dc:subject>
  <dc:title>تحليل مبيعات متجر نوفا للإلكترونيات 2024</dc:title>
</cp:coreProperties>
</file>

<file path=docProps/custom.xml><?xml version="1.0" encoding="utf-8"?>
<Properties xmlns="http://schemas.openxmlformats.org/officeDocument/2006/custom-properties" xmlns:vt="http://schemas.openxmlformats.org/officeDocument/2006/docPropsVTypes"/>
</file>